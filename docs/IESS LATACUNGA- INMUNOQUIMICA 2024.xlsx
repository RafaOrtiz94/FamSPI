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MUNO" sheetId="1" r:id="rId5"/>
    <sheet state="visible" name="QUIMICA " sheetId="2" r:id="rId6"/>
  </sheets>
  <definedNames/>
  <calcPr/>
</workbook>
</file>

<file path=xl/sharedStrings.xml><?xml version="1.0" encoding="utf-8"?>
<sst xmlns="http://schemas.openxmlformats.org/spreadsheetml/2006/main" count="269" uniqueCount="188">
  <si>
    <t>CALIBRADORES</t>
  </si>
  <si>
    <t>CANTIDADES MAXIMAS/ CAJA</t>
  </si>
  <si>
    <t>CANTIDADES MAXIMAS / CAJA</t>
  </si>
  <si>
    <t xml:space="preserve">CANTIDADES MAXIMAS/UNIDADES </t>
  </si>
  <si>
    <t xml:space="preserve">PRESENTACION </t>
  </si>
  <si>
    <t>TOTAL ENTREGADOS</t>
  </si>
  <si>
    <t xml:space="preserve">CANTIDADES MAXIMAS / UNIDADES </t>
  </si>
  <si>
    <t>RESTANTES POR ENTREGAR</t>
  </si>
  <si>
    <t>Stock 05/11/2025</t>
  </si>
  <si>
    <t>7/07/2025</t>
  </si>
  <si>
    <t>Stock 08/12/2025</t>
  </si>
  <si>
    <t>DESPACHO EPP. 11432</t>
  </si>
  <si>
    <t>Stock 08/01/2025</t>
  </si>
  <si>
    <t>DESPACHO EPP 11442</t>
  </si>
  <si>
    <t>Calibrator f.a.s.</t>
  </si>
  <si>
    <t>TSH CalSet</t>
  </si>
  <si>
    <t>4 x 1.3</t>
  </si>
  <si>
    <t>12X3</t>
  </si>
  <si>
    <t>no</t>
  </si>
  <si>
    <t>FT3 III CalSet</t>
  </si>
  <si>
    <t>Calibrator f.a.s. Lipids</t>
  </si>
  <si>
    <t>4 x 1</t>
  </si>
  <si>
    <t>3X1</t>
  </si>
  <si>
    <t>CalSet FT4 IV</t>
  </si>
  <si>
    <t>Calibrator f.a.s. CK-MB</t>
  </si>
  <si>
    <t>Tg II CalSet</t>
  </si>
  <si>
    <t>Cfas Proteins U</t>
  </si>
  <si>
    <t>5X1</t>
  </si>
  <si>
    <t>Anti‑TPO CalSet</t>
  </si>
  <si>
    <t>4 x 1.5</t>
  </si>
  <si>
    <t>Calibrator f.a.s.proteins</t>
  </si>
  <si>
    <t>Anti‑Tg CalSet</t>
  </si>
  <si>
    <t>Cfas HbA1c</t>
  </si>
  <si>
    <t>LH CalSet II</t>
  </si>
  <si>
    <t>3X2</t>
  </si>
  <si>
    <t>FSH CS Elecsys V3</t>
  </si>
  <si>
    <t>D-Dimer Gen.2 Calibrator Set</t>
  </si>
  <si>
    <t>Estradiol III CalSet</t>
  </si>
  <si>
    <t>6X0.5</t>
  </si>
  <si>
    <t>Preciset RF</t>
  </si>
  <si>
    <t>Progesterone III CalSet</t>
  </si>
  <si>
    <t>Prolactin II CalSet</t>
  </si>
  <si>
    <t>Testosterone II CalSet II</t>
  </si>
  <si>
    <t>ID</t>
  </si>
  <si>
    <t>CONTROLES</t>
  </si>
  <si>
    <t>HCG+β CalSet</t>
  </si>
  <si>
    <t>Insulin CalSet</t>
  </si>
  <si>
    <t>hGH CalSet</t>
  </si>
  <si>
    <t>PRECINORM PUC</t>
  </si>
  <si>
    <t>4X3</t>
  </si>
  <si>
    <t>total PSA CalSet II</t>
  </si>
  <si>
    <t xml:space="preserve"> </t>
  </si>
  <si>
    <t>free PSA CalSet</t>
  </si>
  <si>
    <t>PRECIPATH PUC</t>
  </si>
  <si>
    <t>AFP CalSet II</t>
  </si>
  <si>
    <t>PreciControl ClinChem Multi 1</t>
  </si>
  <si>
    <t>4x5</t>
  </si>
  <si>
    <t>CEA CalSet</t>
  </si>
  <si>
    <t>PreciControl ClinChem Multi 2</t>
  </si>
  <si>
    <t xml:space="preserve"> 4x5</t>
  </si>
  <si>
    <t>CA 125 II CalSet</t>
  </si>
  <si>
    <t>PreciControl HbA1c norm</t>
  </si>
  <si>
    <t>4X1</t>
  </si>
  <si>
    <t>PreciControl HbA1c path</t>
  </si>
  <si>
    <t>CA 15-3 II CalSet</t>
  </si>
  <si>
    <t>1 / Egreso 9345</t>
  </si>
  <si>
    <t>CA 19-9 CalSet</t>
  </si>
  <si>
    <t>D-Dimer Gen.2 Control I/II</t>
  </si>
  <si>
    <t>CAJA</t>
  </si>
  <si>
    <t>HE4 CalSet</t>
  </si>
  <si>
    <t>RF Control Set</t>
  </si>
  <si>
    <t>Troponin T hs CS Elecsys E2G V1.1</t>
  </si>
  <si>
    <t>1 caja</t>
  </si>
  <si>
    <t>CalSet proBNP</t>
  </si>
  <si>
    <t>CONSUMIBLES</t>
  </si>
  <si>
    <t>Ferritin CalSet</t>
  </si>
  <si>
    <t>Reaction Cell for c 503 / c 513*</t>
  </si>
  <si>
    <t>CalSet Vitamin D total III</t>
  </si>
  <si>
    <t>ECO-D, 40T, cobas c pack green</t>
  </si>
  <si>
    <t>NaOH-D, cobas c pack green</t>
  </si>
  <si>
    <t>falta 9</t>
  </si>
  <si>
    <t>NACl, cobas c pack green</t>
  </si>
  <si>
    <t>ml</t>
  </si>
  <si>
    <t>SMS, cobas c pack green</t>
  </si>
  <si>
    <t>PreciControl Universal</t>
  </si>
  <si>
    <t>4 x 3</t>
  </si>
  <si>
    <t xml:space="preserve">Acid Wash </t>
  </si>
  <si>
    <t>2x2 L</t>
  </si>
  <si>
    <t>PreciControl Multimarker Elecsys,cobas e</t>
  </si>
  <si>
    <t>6 x 2</t>
  </si>
  <si>
    <t>SCCS, 50mL, cobas c pack green</t>
  </si>
  <si>
    <t>50ML</t>
  </si>
  <si>
    <t>PreciControl Tumor Marker Elec</t>
  </si>
  <si>
    <t>falta 1</t>
  </si>
  <si>
    <t xml:space="preserve">Basic Wash </t>
  </si>
  <si>
    <t>PreciControl Cardiac II</t>
  </si>
  <si>
    <t>4 x 2</t>
  </si>
  <si>
    <t>PreciControl Troponin</t>
  </si>
  <si>
    <t>A1CD, cobas c pack green</t>
  </si>
  <si>
    <t>PreciControl ThyroAB</t>
  </si>
  <si>
    <t>RD Standard False Bottom Tube</t>
  </si>
  <si>
    <t>PreciControl HE4</t>
  </si>
  <si>
    <t xml:space="preserve">media funda, no enviar </t>
  </si>
  <si>
    <t>PreciControl Anti‑CCP</t>
  </si>
  <si>
    <t>EcoTergent cobas c 501/502</t>
  </si>
  <si>
    <t>PreciControl Vitamin D total III</t>
  </si>
  <si>
    <t>6 x 1</t>
  </si>
  <si>
    <t>A4 PRINTER PAPER x 500</t>
  </si>
  <si>
    <t>X500</t>
  </si>
  <si>
    <t>GASAS/ MANTENIMIENTOS 1 x100</t>
  </si>
  <si>
    <t>X100</t>
  </si>
  <si>
    <t>PreciControl HIV Gen II</t>
  </si>
  <si>
    <t>3x2x1</t>
  </si>
  <si>
    <t>ALCOHOL PRED PAD X 100</t>
  </si>
  <si>
    <t>PreciControl Rubella IgG</t>
  </si>
  <si>
    <t>Hisopos x 100 (Aplicadores)</t>
  </si>
  <si>
    <t>16 x 1</t>
  </si>
  <si>
    <t>PreciControl Rubella IgM</t>
  </si>
  <si>
    <t>Antigen Excess Reagent (START) (1000 pruebas)</t>
  </si>
  <si>
    <t>Lamp, Halogen</t>
  </si>
  <si>
    <t>8 X 1</t>
  </si>
  <si>
    <t>MEMBRANE EQ.OSMOSIS, AG2521TF 2.5 diam</t>
  </si>
  <si>
    <t>PreciControl Toxo IgG</t>
  </si>
  <si>
    <t>FILTER NOM. P/SEDIMENTS PX10-20XX PURTR (CARBON)</t>
  </si>
  <si>
    <t>PreciControl Toxo IgM</t>
  </si>
  <si>
    <t>16 x 0.67</t>
  </si>
  <si>
    <t>FILTER NOM.P/SEDIMENTS GX05-20XX HYTREX (FIBRA)</t>
  </si>
  <si>
    <t>PreciControl CMV IgG</t>
  </si>
  <si>
    <t>RESINA MUERTA 16kilos</t>
  </si>
  <si>
    <t>NO CODIGO</t>
  </si>
  <si>
    <t>SAL EN GRANO - QUINTAL</t>
  </si>
  <si>
    <t>PreciControl CMV IgM</t>
  </si>
  <si>
    <t>Sistema de Prefiltración</t>
  </si>
  <si>
    <t>Tubo contenedor de resina</t>
  </si>
  <si>
    <t>tinta impresora</t>
  </si>
  <si>
    <t>AssayTip/AssayCup tray</t>
  </si>
  <si>
    <t>3780 T</t>
  </si>
  <si>
    <t xml:space="preserve">ISE Standard low </t>
  </si>
  <si>
    <t>Dijo que ya no enviemos</t>
  </si>
  <si>
    <t>Diluent MultiAssay E2G</t>
  </si>
  <si>
    <t>10X3</t>
  </si>
  <si>
    <t>1X36</t>
  </si>
  <si>
    <t>Diluent Universal E2G</t>
  </si>
  <si>
    <t>ya se le termino los electrolitos hoy</t>
  </si>
  <si>
    <t xml:space="preserve">ISE Standard high </t>
  </si>
  <si>
    <t>Elecsys Progesteron Diluent</t>
  </si>
  <si>
    <t>ISE cleaning solution Sys Clean</t>
  </si>
  <si>
    <t>PreClean M G2 2x2L Elecsys E2G</t>
  </si>
  <si>
    <t>ISE DEPROTEINIZER cobas integra</t>
  </si>
  <si>
    <t>2X2L</t>
  </si>
  <si>
    <t xml:space="preserve">6X21 </t>
  </si>
  <si>
    <t>CleanCell M 2x2 L Elecsys,cobas e</t>
  </si>
  <si>
    <t>Activator</t>
  </si>
  <si>
    <t>9X12</t>
  </si>
  <si>
    <t>ProCell M G2 2x2L Elecsys E2G</t>
  </si>
  <si>
    <t>ISE Diluent Gen.2</t>
  </si>
  <si>
    <t>6 devolver</t>
  </si>
  <si>
    <t>2X2</t>
  </si>
  <si>
    <t xml:space="preserve">Sample cups </t>
  </si>
  <si>
    <t>ISE Internal Stand Gen.2</t>
  </si>
  <si>
    <t>Cobas sample cup 5000pcs</t>
  </si>
  <si>
    <t>ISE Reference Electrolyte, 2L</t>
  </si>
  <si>
    <t>ISD Sample PT Elecsys cobas e 100</t>
  </si>
  <si>
    <t>Folate RBC Hemolyzing Elecsys,cobas e</t>
  </si>
  <si>
    <t>4 X 200</t>
  </si>
  <si>
    <t xml:space="preserve">ISE Reference Electrolyte </t>
  </si>
  <si>
    <t>500ML</t>
  </si>
  <si>
    <t>SARS-CoV-2 Extraction Solution</t>
  </si>
  <si>
    <t>1 x 1000</t>
  </si>
  <si>
    <t>REFERENCE ELECTRODE</t>
  </si>
  <si>
    <t>SARS-CoV-2 Extraction Solution C</t>
  </si>
  <si>
    <t>1 x 500</t>
  </si>
  <si>
    <t>Electrodo sodio</t>
  </si>
  <si>
    <t>Barcode Label 2,5x5,1cm</t>
  </si>
  <si>
    <t>2500 etiquetas</t>
  </si>
  <si>
    <t>A4 PRINTER PAPER</t>
  </si>
  <si>
    <t>Electrodo potasio</t>
  </si>
  <si>
    <t>500 hojas</t>
  </si>
  <si>
    <t>AGUA BIDESTILADA</t>
  </si>
  <si>
    <t>Electrodo cloro</t>
  </si>
  <si>
    <t>EPPENDORF</t>
  </si>
  <si>
    <t>Despachado EPP 11321 F.A.</t>
  </si>
  <si>
    <t xml:space="preserve">MENSUAL </t>
  </si>
  <si>
    <t>Caja por 5 fracos x100 ml</t>
  </si>
  <si>
    <t xml:space="preserve">BIMENSUAL </t>
  </si>
  <si>
    <t xml:space="preserve">CONTROL </t>
  </si>
  <si>
    <t>Reservoir cup Assy</t>
  </si>
  <si>
    <t>Despachado EPP 11317 F.A.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</si>
</sst>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d/mm/yy"/>
    <numFmt numFmtId="167" formatCode="d/m/yy"/>
    <numFmt numFmtId="168" formatCode="dd/mm"/>
  </numFmts>
  <fonts count="13">
    <font>
      <sz val="10.0"/>
      <color rgb="FF000000"/>
      <name val="Arial"/>
      <scheme val="minor"/>
    </font>
    <font>
      <b/>
      <sz val="8.0"/>
      <color rgb="FF000000"/>
      <name val="Calibri"/>
    </font>
    <font>
      <b/>
      <sz val="8.0"/>
      <color rgb="FF000000"/>
      <name val="Tahoma"/>
    </font>
    <font/>
    <font>
      <b/>
      <sz val="8.0"/>
      <color rgb="FF000000"/>
      <name val="Arial"/>
      <scheme val="minor"/>
    </font>
    <font>
      <b/>
      <color rgb="FF000000"/>
      <name val="Arial"/>
      <scheme val="minor"/>
    </font>
    <font>
      <sz val="8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Tahoma"/>
    </font>
    <font>
      <sz val="8.0"/>
      <color theme="1"/>
      <name val="Arial"/>
      <scheme val="minor"/>
    </font>
    <font>
      <sz val="8.0"/>
      <color rgb="FF000000"/>
      <name val="Calibri"/>
    </font>
    <font>
      <sz val="11.0"/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6BCD3E"/>
        <bgColor rgb="FF6BCD3E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2" fontId="4" numFmtId="0" xfId="0" applyAlignment="1" applyBorder="1" applyFill="1" applyFont="1">
      <alignment horizontal="center" readingOrder="0" shrinkToFit="0" vertical="center" wrapText="1"/>
    </xf>
    <xf borderId="3" fillId="2" fontId="2" numFmtId="0" xfId="0" applyAlignment="1" applyBorder="1" applyFill="1" applyFont="1">
      <alignment horizontal="center" readingOrder="0" shrinkToFit="0" vertical="center" wrapText="1"/>
    </xf>
    <xf borderId="3" fillId="2" fontId="2" numFmtId="0" xfId="0" applyAlignment="1" applyBorder="1" applyFill="1" applyFont="1">
      <alignment horizontal="center" readingOrder="0" vertical="center"/>
    </xf>
    <xf borderId="3" fillId="2" fontId="4" numFmtId="164" xfId="0" applyAlignment="1" applyBorder="1" applyFill="1" applyFont="1" applyNumberFormat="1">
      <alignment horizontal="center" readingOrder="0" shrinkToFit="0" vertical="center" wrapText="1"/>
    </xf>
    <xf borderId="3" fillId="2" fontId="4" numFmtId="165" xfId="0" applyAlignment="1" applyBorder="1" applyFill="1" applyFont="1" applyNumberFormat="1">
      <alignment horizontal="center" readingOrder="0" shrinkToFit="0" vertical="center" wrapText="1"/>
    </xf>
    <xf borderId="3" fillId="2" fontId="4" numFmtId="166" xfId="0" applyAlignment="1" applyBorder="1" applyFill="1" applyFont="1" applyNumberFormat="1">
      <alignment horizontal="center" readingOrder="0" shrinkToFit="0" vertical="center" wrapText="1"/>
    </xf>
    <xf borderId="3" fillId="2" fontId="4" numFmtId="165" xfId="0" applyAlignment="1" applyBorder="1" applyFill="1" applyFont="1" applyNumberFormat="1">
      <alignment horizontal="center" readingOrder="0" vertical="center"/>
    </xf>
    <xf borderId="3" fillId="2" fontId="4" numFmtId="164" xfId="0" applyAlignment="1" applyBorder="1" applyFill="1" applyFont="1" applyNumberFormat="1">
      <alignment readingOrder="0" shrinkToFit="0" vertical="center" wrapText="1"/>
    </xf>
    <xf borderId="3" fillId="2" fontId="4" numFmtId="164" xfId="0" applyAlignment="1" applyBorder="1" applyFill="1" applyFont="1" applyNumberFormat="1">
      <alignment horizontal="center" readingOrder="0" vertical="center"/>
    </xf>
    <xf borderId="3" fillId="2" fontId="5" numFmtId="164" xfId="0" applyAlignment="1" applyBorder="1" applyFill="1" applyFont="1" applyNumberFormat="1">
      <alignment horizontal="center" readingOrder="0" shrinkToFit="0" vertical="center" wrapText="1"/>
    </xf>
    <xf borderId="3" fillId="2" fontId="4" numFmtId="167" xfId="0" applyAlignment="1" applyBorder="1" applyFill="1" applyFont="1" applyNumberFormat="1">
      <alignment horizontal="center" readingOrder="0" vertical="center"/>
    </xf>
    <xf borderId="3" fillId="2" fontId="5" numFmtId="164" xfId="0" applyAlignment="1" applyBorder="1" applyFill="1" applyFont="1" applyNumberFormat="1">
      <alignment horizontal="center" readingOrder="0" vertical="center"/>
    </xf>
    <xf borderId="3" fillId="2" fontId="6" numFmtId="168" xfId="0" applyAlignment="1" applyBorder="1" applyFill="1" applyFont="1" applyNumberFormat="1">
      <alignment horizontal="center" readingOrder="0" vertical="center"/>
    </xf>
    <xf borderId="3" fillId="2" fontId="6" numFmtId="166" xfId="0" applyAlignment="1" applyBorder="1" applyFill="1" applyFont="1" applyNumberFormat="1">
      <alignment horizontal="center" readingOrder="0" vertical="center"/>
    </xf>
    <xf borderId="0" fillId="2" fontId="5" numFmtId="164" xfId="0" applyAlignment="1" applyFill="1" applyFont="1" applyNumberFormat="1">
      <alignment readingOrder="0" shrinkToFit="0" vertical="center" wrapText="1"/>
    </xf>
    <xf borderId="0" fillId="2" fontId="7" numFmtId="164" xfId="0" applyAlignment="1" applyFill="1" applyFont="1" applyNumberFormat="1">
      <alignment readingOrder="0" vertical="center"/>
    </xf>
    <xf borderId="3" fillId="2" fontId="6" numFmtId="164" xfId="0" applyAlignment="1" applyBorder="1" applyFill="1" applyFont="1" applyNumberFormat="1">
      <alignment readingOrder="0" vertical="center"/>
    </xf>
    <xf borderId="0" fillId="0" fontId="8" numFmtId="164" xfId="0" applyAlignment="1" applyFont="1" applyNumberFormat="1">
      <alignment readingOrder="0"/>
    </xf>
    <xf borderId="3" fillId="2" fontId="7" numFmtId="164" xfId="0" applyAlignment="1" applyBorder="1" applyFill="1" applyFont="1" applyNumberFormat="1">
      <alignment horizontal="center" readingOrder="0" vertical="center"/>
    </xf>
    <xf borderId="0" fillId="0" fontId="8" numFmtId="164" xfId="0" applyAlignment="1" applyFont="1" applyNumberFormat="1">
      <alignment readingOrder="0" shrinkToFit="0" wrapText="1"/>
    </xf>
    <xf borderId="0" fillId="2" fontId="7" numFmtId="164" xfId="0" applyAlignment="1" applyFill="1" applyFont="1" applyNumberForma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quotePrefix="1" borderId="0" fillId="2" fontId="7" numFmtId="0" xfId="0" applyAlignment="1" applyFill="1" applyFont="1">
      <alignment readingOrder="0" shrinkToFit="0" vertical="center" wrapText="1"/>
    </xf>
    <xf borderId="3" fillId="2" fontId="9" numFmtId="0" xfId="0" applyAlignment="1" applyBorder="1" applyFill="1" applyFont="1">
      <alignment horizontal="right" vertical="bottom"/>
    </xf>
    <xf borderId="0" fillId="2" fontId="7" numFmtId="0" xfId="0" applyAlignment="1" applyFill="1" applyFont="1">
      <alignment readingOrder="0" shrinkToFit="0" vertical="center" wrapText="1"/>
    </xf>
    <xf borderId="3" fillId="2" fontId="9" numFmtId="0" xfId="0" applyAlignment="1" applyBorder="1" applyFill="1" applyFont="1">
      <alignment vertical="bottom"/>
    </xf>
    <xf borderId="3" fillId="2" fontId="6" numFmtId="0" xfId="0" applyAlignment="1" applyBorder="1" applyFill="1" applyFont="1">
      <alignment horizontal="center"/>
    </xf>
    <xf borderId="3" fillId="3" fontId="9" numFmtId="0" xfId="0" applyAlignment="1" applyBorder="1" applyFill="1" applyFont="1">
      <alignment vertical="bottom"/>
    </xf>
    <xf borderId="3" fillId="2" fontId="9" numFmtId="0" xfId="0" applyAlignment="1" applyBorder="1" applyFill="1" applyFont="1">
      <alignment horizontal="center" vertical="bottom"/>
    </xf>
    <xf borderId="3" fillId="0" fontId="10" numFmtId="0" xfId="0" applyAlignment="1" applyBorder="1" applyFont="1">
      <alignment horizontal="center"/>
    </xf>
    <xf borderId="3" fillId="2" fontId="6" numFmtId="0" xfId="0" applyAlignment="1" applyBorder="1" applyFill="1" applyFont="1">
      <alignment horizontal="center" readingOrder="0"/>
    </xf>
    <xf borderId="3" fillId="2" fontId="6" numFmtId="0" xfId="0" applyAlignment="1" applyBorder="1" applyFill="1" applyFont="1">
      <alignment horizontal="center"/>
    </xf>
    <xf borderId="3" fillId="4" fontId="6" numFmtId="0" xfId="0" applyAlignment="1" applyBorder="1" applyFill="1" applyFont="1">
      <alignment horizontal="center" readingOrder="0"/>
    </xf>
    <xf borderId="3" fillId="2" fontId="7" numFmtId="0" xfId="0" applyAlignment="1" applyBorder="1" applyFill="1" applyFont="1">
      <alignment horizontal="center"/>
    </xf>
    <xf borderId="3" fillId="2" fontId="6" numFmtId="0" xfId="0" applyAlignment="1" applyBorder="1" applyFill="1" applyFont="1">
      <alignment readingOrder="0"/>
    </xf>
    <xf borderId="3" fillId="2" fontId="7" numFmtId="0" xfId="0" applyAlignment="1" applyBorder="1" applyFill="1" applyFont="1">
      <alignment horizontal="center" readingOrder="0"/>
    </xf>
    <xf borderId="0" fillId="2" fontId="7" numFmtId="0" xfId="0" applyFill="1" applyFont="1"/>
    <xf borderId="0" fillId="2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3" fillId="2" fontId="11" numFmtId="0" xfId="0" applyAlignment="1" applyBorder="1" applyFill="1" applyFont="1">
      <alignment horizontal="right" vertical="bottom"/>
    </xf>
    <xf borderId="3" fillId="3" fontId="11" numFmtId="0" xfId="0" applyAlignment="1" applyBorder="1" applyFill="1" applyFont="1">
      <alignment vertical="bottom"/>
    </xf>
    <xf borderId="3" fillId="2" fontId="9" numFmtId="0" xfId="0" applyAlignment="1" applyBorder="1" applyFill="1" applyFont="1">
      <alignment horizontal="center" readingOrder="0" vertical="bottom"/>
    </xf>
    <xf borderId="3" fillId="2" fontId="10" numFmtId="0" xfId="0" applyAlignment="1" applyBorder="1" applyFill="1" applyFont="1">
      <alignment horizontal="center"/>
    </xf>
    <xf borderId="3" fillId="5" fontId="6" numFmtId="0" xfId="0" applyAlignment="1" applyBorder="1" applyFill="1" applyFont="1">
      <alignment horizontal="center" readingOrder="0"/>
    </xf>
    <xf borderId="0" fillId="2" fontId="11" numFmtId="0" xfId="0" applyAlignment="1" applyFill="1" applyFont="1">
      <alignment vertical="bottom"/>
    </xf>
    <xf borderId="0" fillId="2" fontId="6" numFmtId="0" xfId="0" applyAlignment="1" applyFill="1" applyFont="1">
      <alignment horizontal="center"/>
    </xf>
    <xf borderId="3" fillId="2" fontId="6" numFmtId="0" xfId="0" applyBorder="1" applyFill="1" applyFont="1"/>
    <xf borderId="3" fillId="2" fontId="1" numFmtId="0" xfId="0" applyAlignment="1" applyBorder="1" applyFill="1" applyFont="1">
      <alignment vertical="bottom"/>
    </xf>
    <xf borderId="3" fillId="2" fontId="4" numFmtId="0" xfId="0" applyAlignment="1" applyBorder="1" applyFill="1" applyFont="1">
      <alignment horizontal="center"/>
    </xf>
    <xf borderId="3" fillId="2" fontId="4" numFmtId="0" xfId="0" applyAlignment="1" applyBorder="1" applyFill="1" applyFont="1">
      <alignment horizontal="center" readingOrder="0"/>
    </xf>
    <xf borderId="3" fillId="2" fontId="4" numFmtId="0" xfId="0" applyBorder="1" applyFill="1" applyFont="1"/>
    <xf borderId="3" fillId="2" fontId="5" numFmtId="0" xfId="0" applyAlignment="1" applyBorder="1" applyFill="1" applyFont="1">
      <alignment horizontal="center"/>
    </xf>
    <xf borderId="0" fillId="2" fontId="5" numFmtId="0" xfId="0" applyFill="1" applyFont="1"/>
    <xf borderId="3" fillId="2" fontId="9" numFmtId="0" xfId="0" applyAlignment="1" applyBorder="1" applyFill="1" applyFont="1">
      <alignment readingOrder="0" vertical="bottom"/>
    </xf>
    <xf borderId="3" fillId="6" fontId="6" numFmtId="0" xfId="0" applyAlignment="1" applyBorder="1" applyFill="1" applyFont="1">
      <alignment horizontal="center" readingOrder="0"/>
    </xf>
    <xf borderId="0" fillId="2" fontId="5" numFmtId="0" xfId="0" applyAlignment="1" applyFill="1" applyFont="1">
      <alignment readingOrder="0"/>
    </xf>
    <xf borderId="3" fillId="3" fontId="9" numFmtId="0" xfId="0" applyAlignment="1" applyBorder="1" applyFill="1" applyFont="1">
      <alignment horizontal="right" vertical="bottom"/>
    </xf>
    <xf borderId="3" fillId="3" fontId="9" numFmtId="0" xfId="0" applyAlignment="1" applyBorder="1" applyFill="1" applyFont="1">
      <alignment horizontal="center" vertical="bottom"/>
    </xf>
    <xf borderId="3" fillId="3" fontId="6" numFmtId="0" xfId="0" applyAlignment="1" applyBorder="1" applyFill="1" applyFont="1">
      <alignment horizontal="center" readingOrder="0"/>
    </xf>
    <xf borderId="3" fillId="3" fontId="6" numFmtId="0" xfId="0" applyAlignment="1" applyBorder="1" applyFill="1" applyFont="1">
      <alignment horizontal="center"/>
    </xf>
    <xf borderId="3" fillId="3" fontId="7" numFmtId="0" xfId="0" applyAlignment="1" applyBorder="1" applyFill="1" applyFont="1">
      <alignment horizontal="center"/>
    </xf>
    <xf borderId="3" fillId="3" fontId="6" numFmtId="0" xfId="0" applyAlignment="1" applyBorder="1" applyFill="1" applyFont="1">
      <alignment readingOrder="0"/>
    </xf>
    <xf borderId="3" fillId="3" fontId="7" numFmtId="0" xfId="0" applyAlignment="1" applyBorder="1" applyFill="1" applyFont="1">
      <alignment horizontal="center" readingOrder="0"/>
    </xf>
    <xf borderId="3" fillId="7" fontId="9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0" fillId="0" fontId="10" numFmtId="0" xfId="0" applyAlignment="1" applyFont="1">
      <alignment horizontal="center"/>
    </xf>
    <xf borderId="3" fillId="2" fontId="11" numFmtId="0" xfId="0" applyAlignment="1" applyBorder="1" applyFill="1" applyFont="1">
      <alignment vertical="bottom"/>
    </xf>
    <xf borderId="3" fillId="2" fontId="12" numFmtId="0" xfId="0" applyAlignment="1" applyBorder="1" applyFill="1" applyFont="1">
      <alignment horizontal="center"/>
    </xf>
    <xf borderId="3" fillId="2" fontId="12" numFmtId="0" xfId="0" applyAlignment="1" applyBorder="1" applyFill="1" applyFont="1">
      <alignment horizontal="center" readingOrder="0"/>
    </xf>
    <xf borderId="0" fillId="2" fontId="12" numFmtId="0" xfId="0" applyFill="1" applyFont="1"/>
    <xf borderId="0" fillId="2" fontId="12" numFmtId="0" xfId="0" applyAlignment="1" applyFill="1" applyFont="1">
      <alignment readingOrder="0"/>
    </xf>
    <xf borderId="3" fillId="8" fontId="9" numFmtId="0" xfId="0" applyAlignment="1" applyBorder="1" applyFill="1" applyFont="1">
      <alignment horizontal="right" vertical="bottom"/>
    </xf>
    <xf borderId="3" fillId="8" fontId="9" numFmtId="0" xfId="0" applyAlignment="1" applyBorder="1" applyFill="1" applyFont="1">
      <alignment vertical="bottom"/>
    </xf>
    <xf borderId="3" fillId="8" fontId="9" numFmtId="0" xfId="0" applyAlignment="1" applyBorder="1" applyFill="1" applyFont="1">
      <alignment horizontal="center" vertical="bottom"/>
    </xf>
    <xf borderId="3" fillId="8" fontId="9" numFmtId="0" xfId="0" applyAlignment="1" applyBorder="1" applyFill="1" applyFont="1">
      <alignment horizontal="center" readingOrder="0" vertical="bottom"/>
    </xf>
    <xf borderId="3" fillId="8" fontId="6" numFmtId="0" xfId="0" applyAlignment="1" applyBorder="1" applyFill="1" applyFont="1">
      <alignment horizontal="center" readingOrder="0"/>
    </xf>
    <xf borderId="3" fillId="8" fontId="6" numFmtId="0" xfId="0" applyAlignment="1" applyBorder="1" applyFill="1" applyFont="1">
      <alignment horizontal="center"/>
    </xf>
    <xf borderId="3" fillId="8" fontId="7" numFmtId="0" xfId="0" applyAlignment="1" applyBorder="1" applyFill="1" applyFont="1">
      <alignment horizontal="center"/>
    </xf>
    <xf borderId="3" fillId="2" fontId="11" numFmtId="0" xfId="0" applyAlignment="1" applyBorder="1" applyFill="1" applyFont="1">
      <alignment readingOrder="0" vertical="bottom"/>
    </xf>
    <xf borderId="3" fillId="8" fontId="6" numFmtId="0" xfId="0" applyAlignment="1" applyBorder="1" applyFill="1" applyFont="1">
      <alignment readingOrder="0"/>
    </xf>
    <xf borderId="3" fillId="8" fontId="7" numFmtId="0" xfId="0" applyAlignment="1" applyBorder="1" applyFill="1" applyFont="1">
      <alignment horizontal="center" readingOrder="0"/>
    </xf>
    <xf borderId="4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3" fillId="3" fontId="9" numFmtId="0" xfId="0" applyAlignment="1" applyBorder="1" applyFill="1" applyFont="1">
      <alignment readingOrder="0" vertical="bottom"/>
    </xf>
    <xf borderId="3" fillId="2" fontId="11" numFmtId="0" xfId="0" applyAlignment="1" applyBorder="1" applyFill="1" applyFont="1">
      <alignment horizontal="center" vertical="bottom"/>
    </xf>
    <xf borderId="3" fillId="2" fontId="11" numFmtId="0" xfId="0" applyAlignment="1" applyBorder="1" applyFill="1" applyFont="1">
      <alignment horizontal="center" readingOrder="0" vertical="bottom"/>
    </xf>
    <xf borderId="0" fillId="2" fontId="7" numFmtId="0" xfId="0" applyAlignment="1" applyFill="1" applyFont="1">
      <alignment horizontal="center"/>
    </xf>
    <xf borderId="0" fillId="2" fontId="6" numFmtId="0" xfId="0" applyFill="1" applyFont="1"/>
    <xf borderId="3" fillId="5" fontId="6" numFmtId="0" xfId="0" applyAlignment="1" applyBorder="1" applyFill="1" applyFont="1">
      <alignment readingOrder="0"/>
    </xf>
    <xf borderId="3" fillId="6" fontId="6" numFmtId="0" xfId="0" applyAlignment="1" applyBorder="1" applyFill="1" applyFont="1">
      <alignment readingOrder="0"/>
    </xf>
    <xf borderId="3" fillId="0" fontId="8" numFmtId="0" xfId="0" applyAlignment="1" applyBorder="1" applyFont="1">
      <alignment horizontal="center"/>
    </xf>
    <xf borderId="0" fillId="0" fontId="10" numFmtId="0" xfId="0" applyFont="1"/>
    <xf borderId="3" fillId="4" fontId="10" numFmtId="0" xfId="0" applyAlignment="1" applyBorder="1" applyFill="1" applyFont="1">
      <alignment readingOrder="0"/>
    </xf>
    <xf borderId="0" fillId="0" fontId="8" numFmtId="0" xfId="0" applyAlignment="1" applyFont="1">
      <alignment horizontal="center"/>
    </xf>
    <xf borderId="0" fillId="2" fontId="7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5.0"/>
    <col customWidth="1" min="3" max="6" width="9.75"/>
    <col customWidth="1" min="7" max="38" width="10.63"/>
    <col customWidth="1" min="39" max="39" width="8.63"/>
    <col customWidth="1" min="40" max="40" width="10.0"/>
    <col customWidth="1" min="41" max="43" width="9.75"/>
  </cols>
  <sheetData>
    <row r="1">
      <c r="A1" s="2" t="s">
        <v>0</v>
      </c>
      <c r="B1" s="3"/>
      <c r="C1" s="5" t="s">
        <v>2</v>
      </c>
      <c r="D1" s="5" t="s">
        <v>6</v>
      </c>
      <c r="E1" s="6" t="s">
        <v>4</v>
      </c>
      <c r="F1" s="4" t="s">
        <v>5</v>
      </c>
      <c r="G1" s="4" t="s">
        <v>7</v>
      </c>
      <c r="H1" s="7">
        <v>45553.0</v>
      </c>
      <c r="I1" s="10">
        <v>45582.0</v>
      </c>
      <c r="J1" s="12">
        <v>45603.0</v>
      </c>
      <c r="K1" s="12">
        <v>45629.0</v>
      </c>
      <c r="L1" s="12">
        <v>45630.0</v>
      </c>
      <c r="M1" s="12">
        <v>45664.0</v>
      </c>
      <c r="N1" s="14">
        <v>45670.0</v>
      </c>
      <c r="O1" s="16">
        <v>45673.0</v>
      </c>
      <c r="P1" s="17">
        <v>45680.0</v>
      </c>
      <c r="Q1" s="20">
        <v>45692.0</v>
      </c>
      <c r="R1" s="22">
        <v>45708.0</v>
      </c>
      <c r="S1" s="22">
        <v>45350.0</v>
      </c>
      <c r="T1" s="22">
        <v>45735.0</v>
      </c>
      <c r="U1" s="15">
        <v>45742.0</v>
      </c>
      <c r="V1" s="19">
        <v>45756.0</v>
      </c>
      <c r="W1" s="19">
        <v>45768.0</v>
      </c>
      <c r="X1" s="19">
        <v>45784.0</v>
      </c>
      <c r="Y1" s="19">
        <v>45810.0</v>
      </c>
      <c r="Z1" s="24">
        <v>45818.0</v>
      </c>
      <c r="AA1" s="24">
        <v>45828.0</v>
      </c>
      <c r="AB1" s="26" t="s">
        <v>9</v>
      </c>
      <c r="AC1" s="19">
        <v>45852.0</v>
      </c>
      <c r="AD1" s="19">
        <v>45861.0</v>
      </c>
      <c r="AE1" s="19">
        <v>45867.0</v>
      </c>
      <c r="AF1" s="19">
        <v>45881.0</v>
      </c>
      <c r="AG1" s="19">
        <v>45909.0</v>
      </c>
      <c r="AH1" s="19">
        <v>45919.0</v>
      </c>
      <c r="AI1" s="24">
        <v>45933.0</v>
      </c>
      <c r="AJ1" s="24">
        <v>45946.0</v>
      </c>
      <c r="AK1" s="24">
        <v>45954.0</v>
      </c>
      <c r="AL1" s="24">
        <v>45968.0</v>
      </c>
      <c r="AM1" s="24">
        <v>45986.0</v>
      </c>
      <c r="AN1" s="24">
        <v>45995.0</v>
      </c>
      <c r="AO1" s="24">
        <v>45999.0</v>
      </c>
      <c r="AP1" s="28" t="s">
        <v>13</v>
      </c>
      <c r="AQ1" s="24">
        <v>45665.0</v>
      </c>
    </row>
    <row r="2">
      <c r="A2" s="27">
        <v>8.44345919E9</v>
      </c>
      <c r="B2" s="31" t="s">
        <v>15</v>
      </c>
      <c r="C2" s="32">
        <v>7.0</v>
      </c>
      <c r="D2" s="32">
        <f t="shared" ref="D2:D28" si="1">C2*2</f>
        <v>14</v>
      </c>
      <c r="E2" s="32" t="s">
        <v>16</v>
      </c>
      <c r="F2" s="34">
        <f t="shared" ref="F2:F67" si="2">SUM(H2:AK2)</f>
        <v>8</v>
      </c>
      <c r="G2" s="34">
        <f t="shared" ref="G2:G28" si="3">D2-F2</f>
        <v>6</v>
      </c>
      <c r="H2" s="34">
        <v>2.0</v>
      </c>
      <c r="I2" s="34"/>
      <c r="J2" s="34">
        <v>0.0</v>
      </c>
      <c r="K2" s="35"/>
      <c r="L2" s="34">
        <v>0.0</v>
      </c>
      <c r="M2" s="34">
        <v>0.0</v>
      </c>
      <c r="N2" s="35"/>
      <c r="O2" s="35"/>
      <c r="P2" s="37"/>
      <c r="Q2" s="38">
        <v>0.0</v>
      </c>
      <c r="R2" s="39">
        <v>2.0</v>
      </c>
      <c r="S2" s="39">
        <v>1.0</v>
      </c>
      <c r="T2" s="39"/>
      <c r="U2" s="39">
        <v>0.0</v>
      </c>
      <c r="V2" s="40"/>
      <c r="W2" s="41">
        <v>1.0</v>
      </c>
      <c r="X2" s="41">
        <v>0.0</v>
      </c>
      <c r="Y2" s="41">
        <v>1.0</v>
      </c>
      <c r="Z2" s="40"/>
      <c r="AA2" s="41">
        <v>1.0</v>
      </c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>
        <v>1.0</v>
      </c>
      <c r="AM2" s="41"/>
      <c r="AN2" s="41"/>
      <c r="AO2" s="41">
        <v>1.0</v>
      </c>
      <c r="AP2" s="41" t="s">
        <v>18</v>
      </c>
      <c r="AQ2" s="41"/>
    </row>
    <row r="3">
      <c r="A3" s="27">
        <v>9.07787119E9</v>
      </c>
      <c r="B3" s="31" t="s">
        <v>19</v>
      </c>
      <c r="C3" s="32">
        <v>6.0</v>
      </c>
      <c r="D3" s="32">
        <f t="shared" si="1"/>
        <v>12</v>
      </c>
      <c r="E3" s="32" t="s">
        <v>21</v>
      </c>
      <c r="F3" s="34">
        <f t="shared" si="2"/>
        <v>10</v>
      </c>
      <c r="G3" s="34">
        <f t="shared" si="3"/>
        <v>2</v>
      </c>
      <c r="H3" s="34">
        <v>2.0</v>
      </c>
      <c r="I3" s="35"/>
      <c r="J3" s="34">
        <v>2.0</v>
      </c>
      <c r="K3" s="35"/>
      <c r="L3" s="34">
        <v>0.0</v>
      </c>
      <c r="M3" s="34">
        <v>0.0</v>
      </c>
      <c r="N3" s="35"/>
      <c r="O3" s="35"/>
      <c r="P3" s="37"/>
      <c r="Q3" s="38">
        <v>1.0</v>
      </c>
      <c r="R3" s="37"/>
      <c r="S3" s="39">
        <v>0.0</v>
      </c>
      <c r="T3" s="39"/>
      <c r="U3" s="39">
        <v>1.0</v>
      </c>
      <c r="V3" s="40"/>
      <c r="W3" s="41">
        <v>0.0</v>
      </c>
      <c r="X3" s="41">
        <v>1.0</v>
      </c>
      <c r="Y3" s="41">
        <v>1.0</v>
      </c>
      <c r="Z3" s="40"/>
      <c r="AA3" s="41">
        <v>2.0</v>
      </c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>
        <v>1.0</v>
      </c>
      <c r="AM3" s="41"/>
      <c r="AN3" s="41"/>
      <c r="AO3" s="41"/>
      <c r="AP3" s="41"/>
      <c r="AQ3" s="41"/>
    </row>
    <row r="4">
      <c r="A4" s="43">
        <v>9.04329219E9</v>
      </c>
      <c r="B4" s="44" t="s">
        <v>23</v>
      </c>
      <c r="C4" s="32">
        <v>7.0</v>
      </c>
      <c r="D4" s="32">
        <f t="shared" si="1"/>
        <v>14</v>
      </c>
      <c r="E4" s="32" t="s">
        <v>21</v>
      </c>
      <c r="F4" s="34">
        <f t="shared" si="2"/>
        <v>11</v>
      </c>
      <c r="G4" s="34">
        <f t="shared" si="3"/>
        <v>3</v>
      </c>
      <c r="H4" s="34">
        <v>2.0</v>
      </c>
      <c r="I4" s="35"/>
      <c r="J4" s="34">
        <v>2.0</v>
      </c>
      <c r="K4" s="35"/>
      <c r="L4" s="34">
        <v>0.0</v>
      </c>
      <c r="M4" s="34">
        <v>0.0</v>
      </c>
      <c r="N4" s="35"/>
      <c r="O4" s="35"/>
      <c r="P4" s="37"/>
      <c r="Q4" s="38">
        <v>2.0</v>
      </c>
      <c r="R4" s="37"/>
      <c r="S4" s="39">
        <v>2.0</v>
      </c>
      <c r="T4" s="39"/>
      <c r="U4" s="39">
        <v>2.0</v>
      </c>
      <c r="V4" s="40"/>
      <c r="W4" s="41">
        <v>0.0</v>
      </c>
      <c r="X4" s="41">
        <v>0.0</v>
      </c>
      <c r="Y4" s="41">
        <v>0.0</v>
      </c>
      <c r="Z4" s="40"/>
      <c r="AA4" s="41">
        <v>1.0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</row>
    <row r="5">
      <c r="A5" s="27">
        <v>8.99140519E9</v>
      </c>
      <c r="B5" s="31" t="s">
        <v>25</v>
      </c>
      <c r="C5" s="45">
        <v>4.0</v>
      </c>
      <c r="D5" s="32">
        <f t="shared" si="1"/>
        <v>8</v>
      </c>
      <c r="E5" s="32" t="s">
        <v>21</v>
      </c>
      <c r="F5" s="34">
        <f t="shared" si="2"/>
        <v>8</v>
      </c>
      <c r="G5" s="34">
        <f t="shared" si="3"/>
        <v>0</v>
      </c>
      <c r="H5" s="34">
        <v>2.0</v>
      </c>
      <c r="I5" s="35"/>
      <c r="J5" s="34">
        <v>2.0</v>
      </c>
      <c r="K5" s="35"/>
      <c r="L5" s="34">
        <v>0.0</v>
      </c>
      <c r="M5" s="34">
        <v>0.0</v>
      </c>
      <c r="N5" s="35"/>
      <c r="O5" s="35"/>
      <c r="P5" s="37"/>
      <c r="Q5" s="38">
        <v>1.0</v>
      </c>
      <c r="R5" s="37"/>
      <c r="S5" s="39">
        <v>1.0</v>
      </c>
      <c r="T5" s="39">
        <v>1.0</v>
      </c>
      <c r="U5" s="39">
        <v>1.0</v>
      </c>
      <c r="V5" s="40"/>
      <c r="W5" s="41">
        <v>0.0</v>
      </c>
      <c r="X5" s="41">
        <v>0.0</v>
      </c>
      <c r="Y5" s="41">
        <v>0.0</v>
      </c>
      <c r="Z5" s="40"/>
      <c r="AA5" s="40"/>
      <c r="AB5" s="40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</row>
    <row r="6">
      <c r="A6" s="27">
        <v>6.47293119E9</v>
      </c>
      <c r="B6" s="31" t="s">
        <v>28</v>
      </c>
      <c r="C6" s="32">
        <v>5.0</v>
      </c>
      <c r="D6" s="32">
        <f t="shared" si="1"/>
        <v>10</v>
      </c>
      <c r="E6" s="32" t="s">
        <v>29</v>
      </c>
      <c r="F6" s="34">
        <f t="shared" si="2"/>
        <v>16</v>
      </c>
      <c r="G6" s="34">
        <f t="shared" si="3"/>
        <v>-6</v>
      </c>
      <c r="H6" s="34">
        <v>2.0</v>
      </c>
      <c r="I6" s="35"/>
      <c r="J6" s="34">
        <v>0.0</v>
      </c>
      <c r="K6" s="34">
        <v>1.0</v>
      </c>
      <c r="L6" s="34">
        <v>1.0</v>
      </c>
      <c r="M6" s="34">
        <v>1.0</v>
      </c>
      <c r="N6" s="35"/>
      <c r="O6" s="35"/>
      <c r="P6" s="39">
        <v>2.0</v>
      </c>
      <c r="Q6" s="38">
        <v>0.0</v>
      </c>
      <c r="R6" s="37"/>
      <c r="S6" s="39">
        <v>2.0</v>
      </c>
      <c r="T6" s="39"/>
      <c r="U6" s="39">
        <v>1.0</v>
      </c>
      <c r="V6" s="40"/>
      <c r="W6" s="41">
        <v>2.0</v>
      </c>
      <c r="X6" s="41">
        <v>0.0</v>
      </c>
      <c r="Y6" s="41">
        <v>1.0</v>
      </c>
      <c r="Z6" s="40"/>
      <c r="AA6" s="41">
        <v>1.0</v>
      </c>
      <c r="AB6" s="41"/>
      <c r="AC6" s="41"/>
      <c r="AD6" s="41"/>
      <c r="AE6" s="41"/>
      <c r="AF6" s="41"/>
      <c r="AG6" s="41">
        <v>2.0</v>
      </c>
      <c r="AH6" s="41"/>
      <c r="AI6" s="41"/>
      <c r="AJ6" s="41"/>
      <c r="AK6" s="41"/>
      <c r="AL6" s="41">
        <v>1.0</v>
      </c>
      <c r="AM6" s="41"/>
      <c r="AN6" s="41"/>
      <c r="AO6" s="41">
        <v>1.0</v>
      </c>
      <c r="AP6" s="41" t="s">
        <v>18</v>
      </c>
      <c r="AQ6" s="41"/>
    </row>
    <row r="7">
      <c r="A7" s="27">
        <v>9.00503019E9</v>
      </c>
      <c r="B7" s="31" t="s">
        <v>31</v>
      </c>
      <c r="C7" s="32">
        <v>5.0</v>
      </c>
      <c r="D7" s="32">
        <f t="shared" si="1"/>
        <v>10</v>
      </c>
      <c r="E7" s="32" t="s">
        <v>29</v>
      </c>
      <c r="F7" s="34">
        <f t="shared" si="2"/>
        <v>8</v>
      </c>
      <c r="G7" s="34">
        <f t="shared" si="3"/>
        <v>2</v>
      </c>
      <c r="H7" s="34">
        <v>2.0</v>
      </c>
      <c r="I7" s="35"/>
      <c r="J7" s="34">
        <v>2.0</v>
      </c>
      <c r="K7" s="35"/>
      <c r="L7" s="34">
        <v>2.0</v>
      </c>
      <c r="M7" s="34">
        <v>0.0</v>
      </c>
      <c r="N7" s="35"/>
      <c r="O7" s="35"/>
      <c r="P7" s="37"/>
      <c r="Q7" s="38">
        <v>0.0</v>
      </c>
      <c r="R7" s="37"/>
      <c r="S7" s="39">
        <v>0.0</v>
      </c>
      <c r="T7" s="39"/>
      <c r="U7" s="39">
        <v>1.0</v>
      </c>
      <c r="V7" s="40"/>
      <c r="W7" s="41">
        <v>0.0</v>
      </c>
      <c r="X7" s="41">
        <v>0.0</v>
      </c>
      <c r="Y7" s="41">
        <v>1.0</v>
      </c>
      <c r="Z7" s="40"/>
      <c r="AA7" s="40"/>
      <c r="AB7" s="40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</row>
    <row r="8">
      <c r="A8" s="27">
        <v>3.56109719E9</v>
      </c>
      <c r="B8" s="31" t="s">
        <v>33</v>
      </c>
      <c r="C8" s="32">
        <v>4.0</v>
      </c>
      <c r="D8" s="32">
        <f t="shared" si="1"/>
        <v>8</v>
      </c>
      <c r="E8" s="32" t="s">
        <v>21</v>
      </c>
      <c r="F8" s="34">
        <f t="shared" si="2"/>
        <v>8</v>
      </c>
      <c r="G8" s="34">
        <f t="shared" si="3"/>
        <v>0</v>
      </c>
      <c r="H8" s="34">
        <v>2.0</v>
      </c>
      <c r="I8" s="35"/>
      <c r="J8" s="34">
        <v>2.0</v>
      </c>
      <c r="K8" s="35"/>
      <c r="L8" s="34">
        <v>0.0</v>
      </c>
      <c r="M8" s="34">
        <v>0.0</v>
      </c>
      <c r="N8" s="35"/>
      <c r="O8" s="35"/>
      <c r="P8" s="39">
        <v>2.0</v>
      </c>
      <c r="Q8" s="38">
        <v>0.0</v>
      </c>
      <c r="R8" s="37"/>
      <c r="S8" s="39">
        <v>0.0</v>
      </c>
      <c r="T8" s="39"/>
      <c r="U8" s="39">
        <v>2.0</v>
      </c>
      <c r="V8" s="40"/>
      <c r="W8" s="41">
        <v>0.0</v>
      </c>
      <c r="X8" s="41">
        <v>0.0</v>
      </c>
      <c r="Y8" s="41">
        <v>0.0</v>
      </c>
      <c r="Z8" s="40"/>
      <c r="AA8" s="40"/>
      <c r="AB8" s="40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>
        <v>1.0</v>
      </c>
      <c r="AO8" s="41">
        <v>2.0</v>
      </c>
      <c r="AP8" s="41" t="s">
        <v>18</v>
      </c>
      <c r="AQ8" s="41"/>
    </row>
    <row r="9">
      <c r="A9" s="27">
        <v>8.93241719E9</v>
      </c>
      <c r="B9" s="31" t="s">
        <v>35</v>
      </c>
      <c r="C9" s="32">
        <v>4.0</v>
      </c>
      <c r="D9" s="32">
        <f t="shared" si="1"/>
        <v>8</v>
      </c>
      <c r="E9" s="32" t="s">
        <v>21</v>
      </c>
      <c r="F9" s="34">
        <f t="shared" si="2"/>
        <v>10</v>
      </c>
      <c r="G9" s="34">
        <f t="shared" si="3"/>
        <v>-2</v>
      </c>
      <c r="H9" s="34">
        <v>2.0</v>
      </c>
      <c r="I9" s="35"/>
      <c r="J9" s="34">
        <v>2.0</v>
      </c>
      <c r="K9" s="35"/>
      <c r="L9" s="34">
        <v>0.0</v>
      </c>
      <c r="M9" s="34">
        <v>0.0</v>
      </c>
      <c r="N9" s="35"/>
      <c r="O9" s="35"/>
      <c r="P9" s="37"/>
      <c r="Q9" s="38">
        <v>1.0</v>
      </c>
      <c r="R9" s="37"/>
      <c r="S9" s="39">
        <v>1.0</v>
      </c>
      <c r="T9" s="39"/>
      <c r="U9" s="39">
        <v>1.0</v>
      </c>
      <c r="V9" s="40"/>
      <c r="W9" s="41">
        <v>1.0</v>
      </c>
      <c r="X9" s="41">
        <v>1.0</v>
      </c>
      <c r="Y9" s="41">
        <v>0.0</v>
      </c>
      <c r="Z9" s="40"/>
      <c r="AA9" s="41">
        <v>1.0</v>
      </c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>
        <v>2.0</v>
      </c>
      <c r="AM9" s="41"/>
      <c r="AN9" s="41"/>
      <c r="AO9" s="41"/>
      <c r="AP9" s="41"/>
      <c r="AQ9" s="41"/>
    </row>
    <row r="10">
      <c r="A10" s="27">
        <v>6.65604819E9</v>
      </c>
      <c r="B10" s="31" t="s">
        <v>37</v>
      </c>
      <c r="C10" s="32">
        <v>6.0</v>
      </c>
      <c r="D10" s="32">
        <f t="shared" si="1"/>
        <v>12</v>
      </c>
      <c r="E10" s="32" t="s">
        <v>21</v>
      </c>
      <c r="F10" s="34">
        <f t="shared" si="2"/>
        <v>8</v>
      </c>
      <c r="G10" s="34">
        <f t="shared" si="3"/>
        <v>4</v>
      </c>
      <c r="H10" s="47">
        <v>2.0</v>
      </c>
      <c r="I10" s="35"/>
      <c r="J10" s="34">
        <v>0.0</v>
      </c>
      <c r="K10" s="35"/>
      <c r="L10" s="34">
        <v>1.0</v>
      </c>
      <c r="M10" s="34">
        <v>1.0</v>
      </c>
      <c r="N10" s="35"/>
      <c r="O10" s="35"/>
      <c r="P10" s="37"/>
      <c r="Q10" s="38">
        <v>0.0</v>
      </c>
      <c r="R10" s="37"/>
      <c r="S10" s="39">
        <v>1.0</v>
      </c>
      <c r="T10" s="39"/>
      <c r="U10" s="39">
        <v>0.0</v>
      </c>
      <c r="V10" s="40"/>
      <c r="W10" s="41">
        <v>0.0</v>
      </c>
      <c r="X10" s="41">
        <v>2.0</v>
      </c>
      <c r="Y10" s="41">
        <v>0.0</v>
      </c>
      <c r="Z10" s="40"/>
      <c r="AA10" s="41">
        <v>1.0</v>
      </c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</row>
    <row r="11">
      <c r="A11" s="27">
        <v>7.09254719E9</v>
      </c>
      <c r="B11" s="31" t="s">
        <v>40</v>
      </c>
      <c r="C11" s="32">
        <v>6.0</v>
      </c>
      <c r="D11" s="32">
        <f t="shared" si="1"/>
        <v>12</v>
      </c>
      <c r="E11" s="32" t="s">
        <v>21</v>
      </c>
      <c r="F11" s="34">
        <f t="shared" si="2"/>
        <v>10</v>
      </c>
      <c r="G11" s="34">
        <f t="shared" si="3"/>
        <v>2</v>
      </c>
      <c r="H11" s="47">
        <v>2.0</v>
      </c>
      <c r="I11" s="35"/>
      <c r="J11" s="34">
        <v>2.0</v>
      </c>
      <c r="K11" s="35"/>
      <c r="L11" s="34">
        <v>2.0</v>
      </c>
      <c r="M11" s="34">
        <v>0.0</v>
      </c>
      <c r="N11" s="35"/>
      <c r="O11" s="35"/>
      <c r="P11" s="37"/>
      <c r="Q11" s="38">
        <v>0.0</v>
      </c>
      <c r="R11" s="37"/>
      <c r="S11" s="39">
        <v>0.0</v>
      </c>
      <c r="T11" s="39"/>
      <c r="U11" s="39">
        <v>1.0</v>
      </c>
      <c r="V11" s="40"/>
      <c r="W11" s="41">
        <v>0.0</v>
      </c>
      <c r="X11" s="41">
        <v>2.0</v>
      </c>
      <c r="Y11" s="41">
        <v>0.0</v>
      </c>
      <c r="Z11" s="40"/>
      <c r="AA11" s="41">
        <v>1.0</v>
      </c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</row>
    <row r="12">
      <c r="A12" s="27">
        <v>3.27735619E9</v>
      </c>
      <c r="B12" s="29" t="s">
        <v>41</v>
      </c>
      <c r="C12" s="32">
        <v>5.0</v>
      </c>
      <c r="D12" s="32">
        <f t="shared" si="1"/>
        <v>10</v>
      </c>
      <c r="E12" s="32" t="s">
        <v>21</v>
      </c>
      <c r="F12" s="34">
        <f t="shared" si="2"/>
        <v>8</v>
      </c>
      <c r="G12" s="34">
        <f t="shared" si="3"/>
        <v>2</v>
      </c>
      <c r="H12" s="34">
        <v>2.0</v>
      </c>
      <c r="I12" s="35"/>
      <c r="J12" s="34">
        <v>2.0</v>
      </c>
      <c r="K12" s="35"/>
      <c r="L12" s="34">
        <v>0.0</v>
      </c>
      <c r="M12" s="34">
        <v>0.0</v>
      </c>
      <c r="N12" s="35"/>
      <c r="O12" s="35"/>
      <c r="P12" s="37"/>
      <c r="Q12" s="38">
        <v>1.0</v>
      </c>
      <c r="R12" s="37"/>
      <c r="S12" s="39">
        <v>0.0</v>
      </c>
      <c r="T12" s="39"/>
      <c r="U12" s="39">
        <v>1.0</v>
      </c>
      <c r="V12" s="40"/>
      <c r="W12" s="41">
        <v>0.0</v>
      </c>
      <c r="X12" s="41">
        <v>0.0</v>
      </c>
      <c r="Y12" s="41">
        <v>1.0</v>
      </c>
      <c r="Z12" s="40"/>
      <c r="AA12" s="41">
        <v>1.0</v>
      </c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>
        <v>1.0</v>
      </c>
      <c r="AP12" s="41" t="s">
        <v>18</v>
      </c>
      <c r="AQ12" s="41"/>
    </row>
    <row r="13">
      <c r="A13" s="27">
        <v>5.20223019E9</v>
      </c>
      <c r="B13" s="31" t="s">
        <v>42</v>
      </c>
      <c r="C13" s="32">
        <v>4.0</v>
      </c>
      <c r="D13" s="32">
        <f t="shared" si="1"/>
        <v>8</v>
      </c>
      <c r="E13" s="32" t="s">
        <v>21</v>
      </c>
      <c r="F13" s="34">
        <f t="shared" si="2"/>
        <v>9</v>
      </c>
      <c r="G13" s="34">
        <f t="shared" si="3"/>
        <v>-1</v>
      </c>
      <c r="H13" s="34">
        <v>1.0</v>
      </c>
      <c r="I13" s="34">
        <v>1.0</v>
      </c>
      <c r="J13" s="34">
        <v>1.0</v>
      </c>
      <c r="K13" s="35"/>
      <c r="L13" s="34">
        <v>0.0</v>
      </c>
      <c r="M13" s="34">
        <v>0.0</v>
      </c>
      <c r="N13" s="35"/>
      <c r="O13" s="35"/>
      <c r="P13" s="37"/>
      <c r="Q13" s="38">
        <v>1.0</v>
      </c>
      <c r="R13" s="37"/>
      <c r="S13" s="39">
        <v>0.0</v>
      </c>
      <c r="T13" s="39"/>
      <c r="U13" s="39">
        <v>1.0</v>
      </c>
      <c r="V13" s="41">
        <v>1.0</v>
      </c>
      <c r="W13" s="41">
        <v>0.0</v>
      </c>
      <c r="X13" s="41">
        <v>0.0</v>
      </c>
      <c r="Y13" s="41">
        <v>0.0</v>
      </c>
      <c r="Z13" s="40"/>
      <c r="AA13" s="40"/>
      <c r="AB13" s="40"/>
      <c r="AF13" s="41">
        <v>2.0</v>
      </c>
      <c r="AG13" s="41">
        <v>1.0</v>
      </c>
      <c r="AH13" s="41"/>
      <c r="AI13" s="41"/>
      <c r="AJ13" s="41"/>
      <c r="AK13" s="41"/>
    </row>
    <row r="14">
      <c r="A14" s="27">
        <v>3.30265219E9</v>
      </c>
      <c r="B14" s="31" t="s">
        <v>45</v>
      </c>
      <c r="C14" s="32">
        <v>4.0</v>
      </c>
      <c r="D14" s="32">
        <f t="shared" si="1"/>
        <v>8</v>
      </c>
      <c r="E14" s="32" t="s">
        <v>21</v>
      </c>
      <c r="F14" s="34">
        <f t="shared" si="2"/>
        <v>8</v>
      </c>
      <c r="G14" s="34">
        <f t="shared" si="3"/>
        <v>0</v>
      </c>
      <c r="H14" s="34">
        <v>2.0</v>
      </c>
      <c r="I14" s="35"/>
      <c r="J14" s="34">
        <v>0.0</v>
      </c>
      <c r="K14" s="35"/>
      <c r="L14" s="34">
        <v>2.0</v>
      </c>
      <c r="M14" s="34">
        <v>0.0</v>
      </c>
      <c r="N14" s="35"/>
      <c r="O14" s="35"/>
      <c r="P14" s="37"/>
      <c r="Q14" s="38">
        <v>1.0</v>
      </c>
      <c r="R14" s="37"/>
      <c r="S14" s="39">
        <v>0.0</v>
      </c>
      <c r="T14" s="39"/>
      <c r="U14" s="39">
        <v>0.0</v>
      </c>
      <c r="V14" s="40"/>
      <c r="W14" s="41">
        <v>0.0</v>
      </c>
      <c r="X14" s="41">
        <v>0.0</v>
      </c>
      <c r="Y14" s="41">
        <v>0.0</v>
      </c>
      <c r="Z14" s="40"/>
      <c r="AA14" s="41">
        <v>1.0</v>
      </c>
      <c r="AB14" s="41"/>
      <c r="AD14" s="41"/>
      <c r="AE14" s="41"/>
      <c r="AF14" s="41"/>
      <c r="AG14" s="41">
        <v>2.0</v>
      </c>
      <c r="AH14" s="41"/>
      <c r="AI14" s="41"/>
      <c r="AJ14" s="41"/>
      <c r="AK14" s="41"/>
      <c r="AL14" s="41"/>
      <c r="AM14" s="41"/>
      <c r="AN14" s="41"/>
      <c r="AO14" s="41">
        <v>1.0</v>
      </c>
      <c r="AP14" s="41">
        <v>11442.0</v>
      </c>
      <c r="AQ14" s="41"/>
    </row>
    <row r="15">
      <c r="A15" s="27">
        <v>1.2017504122E10</v>
      </c>
      <c r="B15" s="31" t="s">
        <v>46</v>
      </c>
      <c r="C15" s="32">
        <v>5.0</v>
      </c>
      <c r="D15" s="32">
        <f t="shared" si="1"/>
        <v>10</v>
      </c>
      <c r="E15" s="32" t="s">
        <v>21</v>
      </c>
      <c r="F15" s="34">
        <f t="shared" si="2"/>
        <v>11</v>
      </c>
      <c r="G15" s="34">
        <f t="shared" si="3"/>
        <v>-1</v>
      </c>
      <c r="H15" s="34">
        <v>2.0</v>
      </c>
      <c r="I15" s="35"/>
      <c r="J15" s="34">
        <v>2.0</v>
      </c>
      <c r="K15" s="35"/>
      <c r="L15" s="34">
        <v>0.0</v>
      </c>
      <c r="M15" s="34">
        <v>0.0</v>
      </c>
      <c r="N15" s="35"/>
      <c r="O15" s="35"/>
      <c r="P15" s="37"/>
      <c r="Q15" s="38">
        <v>2.0</v>
      </c>
      <c r="R15" s="37"/>
      <c r="S15" s="39">
        <v>1.0</v>
      </c>
      <c r="T15" s="39"/>
      <c r="U15" s="39">
        <v>1.0</v>
      </c>
      <c r="V15" s="40"/>
      <c r="W15" s="41">
        <v>1.0</v>
      </c>
      <c r="X15" s="41">
        <v>1.0</v>
      </c>
      <c r="Y15" s="41">
        <v>0.0</v>
      </c>
      <c r="Z15" s="40"/>
      <c r="AA15" s="41">
        <v>1.0</v>
      </c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>
        <v>1.0</v>
      </c>
      <c r="AM15" s="41"/>
      <c r="AN15" s="41"/>
      <c r="AO15" s="41"/>
      <c r="AP15" s="41"/>
      <c r="AQ15" s="41"/>
    </row>
    <row r="16">
      <c r="A16" s="27">
        <v>5.39013319E9</v>
      </c>
      <c r="B16" s="31" t="s">
        <v>47</v>
      </c>
      <c r="C16" s="32">
        <v>7.0</v>
      </c>
      <c r="D16" s="32">
        <f t="shared" si="1"/>
        <v>14</v>
      </c>
      <c r="E16" s="32" t="s">
        <v>21</v>
      </c>
      <c r="F16" s="34">
        <f t="shared" si="2"/>
        <v>7</v>
      </c>
      <c r="G16" s="34">
        <f t="shared" si="3"/>
        <v>7</v>
      </c>
      <c r="H16" s="47">
        <v>2.0</v>
      </c>
      <c r="I16" s="35"/>
      <c r="J16" s="34">
        <v>0.0</v>
      </c>
      <c r="K16" s="34"/>
      <c r="L16" s="34">
        <v>0.0</v>
      </c>
      <c r="M16" s="34">
        <v>0.0</v>
      </c>
      <c r="N16" s="35"/>
      <c r="O16" s="35"/>
      <c r="P16" s="37"/>
      <c r="Q16" s="38">
        <v>1.0</v>
      </c>
      <c r="R16" s="37"/>
      <c r="S16" s="39">
        <v>0.0</v>
      </c>
      <c r="T16" s="39">
        <v>1.0</v>
      </c>
      <c r="U16" s="39">
        <v>1.0</v>
      </c>
      <c r="V16" s="41">
        <v>1.0</v>
      </c>
      <c r="W16" s="41">
        <v>1.0</v>
      </c>
      <c r="X16" s="41">
        <v>0.0</v>
      </c>
      <c r="Y16" s="41">
        <v>0.0</v>
      </c>
      <c r="Z16" s="40"/>
      <c r="AA16" s="40"/>
      <c r="AB16" s="40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</row>
    <row r="17">
      <c r="A17" s="27">
        <v>8.83853419E9</v>
      </c>
      <c r="B17" s="31" t="s">
        <v>50</v>
      </c>
      <c r="C17" s="32">
        <v>6.0</v>
      </c>
      <c r="D17" s="32">
        <f t="shared" si="1"/>
        <v>12</v>
      </c>
      <c r="E17" s="32" t="s">
        <v>21</v>
      </c>
      <c r="F17" s="34">
        <f t="shared" si="2"/>
        <v>8</v>
      </c>
      <c r="G17" s="34">
        <f t="shared" si="3"/>
        <v>4</v>
      </c>
      <c r="H17" s="34">
        <v>2.0</v>
      </c>
      <c r="I17" s="35"/>
      <c r="J17" s="34">
        <v>0.0</v>
      </c>
      <c r="K17" s="35"/>
      <c r="L17" s="34">
        <v>0.0</v>
      </c>
      <c r="M17" s="34">
        <v>0.0</v>
      </c>
      <c r="N17" s="35"/>
      <c r="O17" s="34">
        <v>2.0</v>
      </c>
      <c r="P17" s="39"/>
      <c r="Q17" s="38">
        <v>1.0</v>
      </c>
      <c r="R17" s="37"/>
      <c r="S17" s="39">
        <v>0.0</v>
      </c>
      <c r="T17" s="39"/>
      <c r="U17" s="39">
        <v>0.0</v>
      </c>
      <c r="V17" s="40"/>
      <c r="W17" s="41">
        <v>1.0</v>
      </c>
      <c r="X17" s="41">
        <v>0.0</v>
      </c>
      <c r="Y17" s="41">
        <v>0.0</v>
      </c>
      <c r="Z17" s="40"/>
      <c r="AA17" s="41">
        <v>2.0</v>
      </c>
      <c r="AB17" s="41"/>
      <c r="AC17" s="41"/>
      <c r="AD17" s="41"/>
      <c r="AE17" s="41" t="s">
        <v>51</v>
      </c>
      <c r="AF17" s="41"/>
      <c r="AG17" s="41"/>
      <c r="AH17" s="41"/>
      <c r="AI17" s="41"/>
      <c r="AJ17" s="41"/>
      <c r="AK17" s="41"/>
      <c r="AL17" s="41">
        <v>2.0</v>
      </c>
      <c r="AM17" s="41"/>
      <c r="AN17" s="41"/>
      <c r="AO17" s="41"/>
      <c r="AP17" s="41"/>
      <c r="AQ17" s="41"/>
    </row>
    <row r="18">
      <c r="A18" s="27">
        <v>8.85196419E9</v>
      </c>
      <c r="B18" s="31" t="s">
        <v>52</v>
      </c>
      <c r="C18" s="32">
        <v>6.0</v>
      </c>
      <c r="D18" s="32">
        <f t="shared" si="1"/>
        <v>12</v>
      </c>
      <c r="E18" s="32" t="s">
        <v>21</v>
      </c>
      <c r="F18" s="34">
        <f t="shared" si="2"/>
        <v>12</v>
      </c>
      <c r="G18" s="34">
        <f t="shared" si="3"/>
        <v>0</v>
      </c>
      <c r="H18" s="34">
        <v>2.0</v>
      </c>
      <c r="I18" s="35"/>
      <c r="J18" s="34">
        <v>2.0</v>
      </c>
      <c r="K18" s="35"/>
      <c r="L18" s="34">
        <v>0.0</v>
      </c>
      <c r="M18" s="34">
        <v>1.0</v>
      </c>
      <c r="N18" s="35"/>
      <c r="O18" s="35"/>
      <c r="P18" s="37"/>
      <c r="Q18" s="38">
        <v>0.0</v>
      </c>
      <c r="R18" s="37"/>
      <c r="S18" s="39">
        <v>1.0</v>
      </c>
      <c r="T18" s="39"/>
      <c r="U18" s="39">
        <v>1.0</v>
      </c>
      <c r="V18" s="40"/>
      <c r="W18" s="41">
        <v>0.0</v>
      </c>
      <c r="X18" s="41">
        <v>2.0</v>
      </c>
      <c r="Y18" s="41">
        <v>0.0</v>
      </c>
      <c r="Z18" s="40"/>
      <c r="AA18" s="41">
        <v>1.0</v>
      </c>
      <c r="AB18" s="41"/>
      <c r="AC18" s="41"/>
      <c r="AD18" s="41"/>
      <c r="AE18" s="41"/>
      <c r="AF18" s="41">
        <v>1.0</v>
      </c>
      <c r="AG18" s="41">
        <v>1.0</v>
      </c>
      <c r="AH18" s="41"/>
      <c r="AI18" s="41"/>
      <c r="AJ18" s="41"/>
      <c r="AK18" s="41"/>
      <c r="AL18" s="41">
        <v>1.0</v>
      </c>
      <c r="AM18" s="41"/>
      <c r="AN18" s="41"/>
      <c r="AO18" s="41">
        <v>1.0</v>
      </c>
      <c r="AP18" s="41">
        <v>11442.0</v>
      </c>
      <c r="AQ18" s="41"/>
    </row>
    <row r="19">
      <c r="A19" s="27">
        <v>4.48776119E9</v>
      </c>
      <c r="B19" s="31" t="s">
        <v>54</v>
      </c>
      <c r="C19" s="32">
        <v>5.0</v>
      </c>
      <c r="D19" s="32">
        <f t="shared" si="1"/>
        <v>10</v>
      </c>
      <c r="E19" s="32" t="s">
        <v>21</v>
      </c>
      <c r="F19" s="34">
        <f t="shared" si="2"/>
        <v>8</v>
      </c>
      <c r="G19" s="34">
        <f t="shared" si="3"/>
        <v>2</v>
      </c>
      <c r="H19" s="34">
        <v>2.0</v>
      </c>
      <c r="I19" s="35"/>
      <c r="J19" s="34">
        <v>0.0</v>
      </c>
      <c r="K19" s="35"/>
      <c r="L19" s="34">
        <v>2.0</v>
      </c>
      <c r="M19" s="34">
        <v>0.0</v>
      </c>
      <c r="N19" s="35"/>
      <c r="O19" s="35"/>
      <c r="P19" s="37"/>
      <c r="Q19" s="38">
        <v>2.0</v>
      </c>
      <c r="R19" s="37"/>
      <c r="S19" s="39">
        <v>0.0</v>
      </c>
      <c r="T19" s="39"/>
      <c r="U19" s="39">
        <v>0.0</v>
      </c>
      <c r="V19" s="40"/>
      <c r="W19" s="41">
        <v>1.0</v>
      </c>
      <c r="X19" s="41">
        <v>1.0</v>
      </c>
      <c r="Y19" s="41">
        <v>0.0</v>
      </c>
      <c r="Z19" s="40"/>
      <c r="AA19" s="40"/>
      <c r="AB19" s="40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</row>
    <row r="20">
      <c r="A20" s="27">
        <v>1.1731645322E10</v>
      </c>
      <c r="B20" s="31" t="s">
        <v>57</v>
      </c>
      <c r="C20" s="32">
        <v>4.0</v>
      </c>
      <c r="D20" s="32">
        <f t="shared" si="1"/>
        <v>8</v>
      </c>
      <c r="E20" s="32" t="s">
        <v>21</v>
      </c>
      <c r="F20" s="34">
        <f t="shared" si="2"/>
        <v>6</v>
      </c>
      <c r="G20" s="34">
        <f t="shared" si="3"/>
        <v>2</v>
      </c>
      <c r="H20" s="34">
        <v>2.0</v>
      </c>
      <c r="I20" s="35"/>
      <c r="J20" s="34">
        <v>2.0</v>
      </c>
      <c r="K20" s="35"/>
      <c r="L20" s="34">
        <v>0.0</v>
      </c>
      <c r="M20" s="34">
        <v>0.0</v>
      </c>
      <c r="N20" s="35"/>
      <c r="O20" s="35"/>
      <c r="P20" s="37"/>
      <c r="Q20" s="38">
        <v>0.0</v>
      </c>
      <c r="R20" s="37"/>
      <c r="S20" s="39">
        <v>1.0</v>
      </c>
      <c r="T20" s="39"/>
      <c r="U20" s="39">
        <v>0.0</v>
      </c>
      <c r="V20" s="40"/>
      <c r="W20" s="41">
        <v>1.0</v>
      </c>
      <c r="X20" s="41">
        <v>0.0</v>
      </c>
      <c r="Y20" s="59">
        <v>0.0</v>
      </c>
      <c r="Z20" s="40"/>
      <c r="AA20" s="40"/>
      <c r="AB20" s="40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</row>
    <row r="21">
      <c r="A21" s="60">
        <v>7.03020719E9</v>
      </c>
      <c r="B21" s="31" t="s">
        <v>60</v>
      </c>
      <c r="C21" s="61">
        <v>4.0</v>
      </c>
      <c r="D21" s="61">
        <f t="shared" si="1"/>
        <v>8</v>
      </c>
      <c r="E21" s="61" t="s">
        <v>21</v>
      </c>
      <c r="F21" s="34">
        <f t="shared" si="2"/>
        <v>4</v>
      </c>
      <c r="G21" s="62">
        <f t="shared" si="3"/>
        <v>4</v>
      </c>
      <c r="H21" s="62">
        <v>2.0</v>
      </c>
      <c r="I21" s="63"/>
      <c r="J21" s="62">
        <v>0.0</v>
      </c>
      <c r="K21" s="63"/>
      <c r="L21" s="62">
        <v>0.0</v>
      </c>
      <c r="M21" s="62">
        <v>0.0</v>
      </c>
      <c r="N21" s="63"/>
      <c r="O21" s="63"/>
      <c r="P21" s="64"/>
      <c r="Q21" s="65">
        <v>1.0</v>
      </c>
      <c r="R21" s="64"/>
      <c r="S21" s="66">
        <v>0.0</v>
      </c>
      <c r="T21" s="66"/>
      <c r="U21" s="66">
        <v>0.0</v>
      </c>
      <c r="V21" s="40"/>
      <c r="W21" s="40"/>
      <c r="X21" s="41">
        <v>1.0</v>
      </c>
      <c r="Y21" s="41">
        <v>0.0</v>
      </c>
      <c r="Z21" s="40"/>
      <c r="AA21" s="40"/>
      <c r="AB21" s="40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</row>
    <row r="22">
      <c r="A22" s="27">
        <v>3.045846122E9</v>
      </c>
      <c r="B22" s="31" t="s">
        <v>64</v>
      </c>
      <c r="C22" s="32">
        <v>4.0</v>
      </c>
      <c r="D22" s="32">
        <f t="shared" si="1"/>
        <v>8</v>
      </c>
      <c r="E22" s="32" t="s">
        <v>21</v>
      </c>
      <c r="F22" s="34">
        <f t="shared" si="2"/>
        <v>11</v>
      </c>
      <c r="G22" s="34">
        <f t="shared" si="3"/>
        <v>-3</v>
      </c>
      <c r="H22" s="34">
        <v>2.0</v>
      </c>
      <c r="I22" s="35"/>
      <c r="J22" s="34">
        <v>2.0</v>
      </c>
      <c r="K22" s="35"/>
      <c r="L22" s="34">
        <v>0.0</v>
      </c>
      <c r="M22" s="34">
        <v>0.0</v>
      </c>
      <c r="N22" s="34">
        <v>2.0</v>
      </c>
      <c r="O22" s="35"/>
      <c r="P22" s="37"/>
      <c r="Q22" s="38">
        <v>2.0</v>
      </c>
      <c r="R22" s="37"/>
      <c r="S22" s="39">
        <v>2.0</v>
      </c>
      <c r="T22" s="39"/>
      <c r="U22" s="39">
        <v>0.0</v>
      </c>
      <c r="V22" s="40"/>
      <c r="W22" s="40"/>
      <c r="X22" s="41">
        <v>0.0</v>
      </c>
      <c r="Y22" s="41">
        <v>0.0</v>
      </c>
      <c r="Z22" s="41" t="s">
        <v>65</v>
      </c>
      <c r="AA22" s="40"/>
      <c r="AB22" s="40"/>
      <c r="AC22" s="41"/>
      <c r="AD22" s="41"/>
      <c r="AE22" s="41"/>
      <c r="AF22" s="41">
        <v>1.0</v>
      </c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</row>
    <row r="23">
      <c r="A23" s="27">
        <v>1.1776215122E10</v>
      </c>
      <c r="B23" s="31" t="s">
        <v>66</v>
      </c>
      <c r="C23" s="32">
        <v>5.0</v>
      </c>
      <c r="D23" s="32">
        <f t="shared" si="1"/>
        <v>10</v>
      </c>
      <c r="E23" s="32" t="s">
        <v>21</v>
      </c>
      <c r="F23" s="34">
        <f t="shared" si="2"/>
        <v>7</v>
      </c>
      <c r="G23" s="34">
        <f t="shared" si="3"/>
        <v>3</v>
      </c>
      <c r="H23" s="34">
        <v>2.0</v>
      </c>
      <c r="I23" s="35"/>
      <c r="J23" s="34">
        <v>2.0</v>
      </c>
      <c r="K23" s="35"/>
      <c r="L23" s="34">
        <v>0.0</v>
      </c>
      <c r="M23" s="34">
        <v>0.0</v>
      </c>
      <c r="N23" s="35"/>
      <c r="O23" s="35"/>
      <c r="P23" s="37"/>
      <c r="Q23" s="38">
        <v>1.0</v>
      </c>
      <c r="R23" s="37"/>
      <c r="S23" s="39">
        <v>0.0</v>
      </c>
      <c r="T23" s="39"/>
      <c r="U23" s="39">
        <v>2.0</v>
      </c>
      <c r="V23" s="40"/>
      <c r="W23" s="41">
        <v>0.0</v>
      </c>
      <c r="X23" s="41">
        <v>0.0</v>
      </c>
      <c r="Y23" s="41">
        <v>0.0</v>
      </c>
      <c r="Z23" s="40"/>
      <c r="AA23" s="40"/>
      <c r="AB23" s="40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</row>
    <row r="24">
      <c r="A24" s="27">
        <v>5.95094519E9</v>
      </c>
      <c r="B24" s="31" t="s">
        <v>69</v>
      </c>
      <c r="C24" s="32">
        <v>5.0</v>
      </c>
      <c r="D24" s="32">
        <f t="shared" si="1"/>
        <v>10</v>
      </c>
      <c r="E24" s="32" t="s">
        <v>21</v>
      </c>
      <c r="F24" s="34">
        <f t="shared" si="2"/>
        <v>5</v>
      </c>
      <c r="G24" s="34">
        <f t="shared" si="3"/>
        <v>5</v>
      </c>
      <c r="H24" s="34">
        <v>2.0</v>
      </c>
      <c r="I24" s="35"/>
      <c r="J24" s="34">
        <v>0.0</v>
      </c>
      <c r="K24" s="35"/>
      <c r="L24" s="34">
        <v>0.0</v>
      </c>
      <c r="M24" s="34">
        <v>0.0</v>
      </c>
      <c r="N24" s="35"/>
      <c r="O24" s="35"/>
      <c r="P24" s="37"/>
      <c r="Q24" s="38">
        <v>1.0</v>
      </c>
      <c r="R24" s="37"/>
      <c r="S24" s="39">
        <v>0.0</v>
      </c>
      <c r="T24" s="39"/>
      <c r="U24" s="39">
        <v>1.0</v>
      </c>
      <c r="V24" s="40"/>
      <c r="W24" s="41">
        <v>0.0</v>
      </c>
      <c r="X24" s="41">
        <v>1.0</v>
      </c>
      <c r="Y24" s="41">
        <v>0.0</v>
      </c>
      <c r="Z24" s="40"/>
      <c r="AA24" s="40"/>
      <c r="AB24" s="40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</row>
    <row r="25">
      <c r="A25" s="27">
        <v>9.31537319E9</v>
      </c>
      <c r="B25" s="31" t="s">
        <v>71</v>
      </c>
      <c r="C25" s="32">
        <v>5.0</v>
      </c>
      <c r="D25" s="32">
        <f t="shared" si="1"/>
        <v>10</v>
      </c>
      <c r="E25" s="32" t="s">
        <v>21</v>
      </c>
      <c r="F25" s="34">
        <f t="shared" si="2"/>
        <v>12</v>
      </c>
      <c r="G25" s="34">
        <f t="shared" si="3"/>
        <v>-2</v>
      </c>
      <c r="H25" s="34">
        <v>2.0</v>
      </c>
      <c r="I25" s="35"/>
      <c r="J25" s="34">
        <v>0.0</v>
      </c>
      <c r="K25" s="35"/>
      <c r="L25" s="34">
        <v>0.0</v>
      </c>
      <c r="M25" s="34">
        <v>0.0</v>
      </c>
      <c r="N25" s="35"/>
      <c r="O25" s="35"/>
      <c r="P25" s="37"/>
      <c r="Q25" s="38">
        <v>1.0</v>
      </c>
      <c r="R25" s="37"/>
      <c r="S25" s="39">
        <v>1.0</v>
      </c>
      <c r="T25" s="39">
        <v>1.0</v>
      </c>
      <c r="U25" s="39">
        <v>1.0</v>
      </c>
      <c r="V25" s="40"/>
      <c r="W25" s="41">
        <v>2.0</v>
      </c>
      <c r="X25" s="41">
        <v>0.0</v>
      </c>
      <c r="Y25" s="41">
        <v>0.0</v>
      </c>
      <c r="Z25" s="40"/>
      <c r="AA25" s="41">
        <v>2.0</v>
      </c>
      <c r="AB25" s="41"/>
      <c r="AC25" s="41"/>
      <c r="AD25" s="41"/>
      <c r="AE25" s="41"/>
      <c r="AF25" s="41"/>
      <c r="AG25" s="41"/>
      <c r="AH25" s="41"/>
      <c r="AI25" s="41"/>
      <c r="AJ25" s="41"/>
      <c r="AK25" s="41">
        <v>2.0</v>
      </c>
      <c r="AL25" s="41"/>
      <c r="AM25" s="41"/>
      <c r="AN25" s="41"/>
      <c r="AO25" s="41">
        <v>2.0</v>
      </c>
      <c r="AP25" s="41" t="s">
        <v>18</v>
      </c>
      <c r="AQ25" s="41"/>
    </row>
    <row r="26">
      <c r="A26" s="67">
        <v>8.88427719E9</v>
      </c>
      <c r="B26" s="31" t="s">
        <v>73</v>
      </c>
      <c r="C26" s="32">
        <v>5.0</v>
      </c>
      <c r="D26" s="32">
        <f t="shared" si="1"/>
        <v>10</v>
      </c>
      <c r="E26" s="32" t="s">
        <v>21</v>
      </c>
      <c r="F26" s="34">
        <f t="shared" si="2"/>
        <v>6</v>
      </c>
      <c r="G26" s="34">
        <f t="shared" si="3"/>
        <v>4</v>
      </c>
      <c r="H26" s="34">
        <v>2.0</v>
      </c>
      <c r="I26" s="35"/>
      <c r="J26" s="34">
        <v>0.0</v>
      </c>
      <c r="K26" s="35"/>
      <c r="L26" s="34">
        <v>0.0</v>
      </c>
      <c r="M26" s="34">
        <v>1.0</v>
      </c>
      <c r="N26" s="35"/>
      <c r="O26" s="35"/>
      <c r="P26" s="37"/>
      <c r="Q26" s="38">
        <v>1.0</v>
      </c>
      <c r="R26" s="37"/>
      <c r="S26" s="39">
        <v>0.0</v>
      </c>
      <c r="T26" s="39"/>
      <c r="U26" s="39">
        <v>1.0</v>
      </c>
      <c r="V26" s="40"/>
      <c r="W26" s="41">
        <v>0.0</v>
      </c>
      <c r="X26" s="41">
        <v>0.0</v>
      </c>
      <c r="Y26" s="41">
        <v>0.0</v>
      </c>
      <c r="Z26" s="40"/>
      <c r="AA26" s="41">
        <v>1.0</v>
      </c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</row>
    <row r="27">
      <c r="A27" s="60">
        <v>3.73758619E9</v>
      </c>
      <c r="B27" s="31" t="s">
        <v>75</v>
      </c>
      <c r="C27" s="61">
        <v>5.0</v>
      </c>
      <c r="D27" s="61">
        <f t="shared" si="1"/>
        <v>10</v>
      </c>
      <c r="E27" s="61" t="s">
        <v>21</v>
      </c>
      <c r="F27" s="34">
        <f t="shared" si="2"/>
        <v>8</v>
      </c>
      <c r="G27" s="62">
        <f t="shared" si="3"/>
        <v>2</v>
      </c>
      <c r="H27" s="62">
        <v>2.0</v>
      </c>
      <c r="I27" s="63"/>
      <c r="J27" s="62">
        <v>2.0</v>
      </c>
      <c r="K27" s="63"/>
      <c r="L27" s="62">
        <v>0.0</v>
      </c>
      <c r="M27" s="62">
        <v>0.0</v>
      </c>
      <c r="N27" s="63"/>
      <c r="O27" s="62">
        <v>2.0</v>
      </c>
      <c r="P27" s="64"/>
      <c r="Q27" s="65">
        <v>1.0</v>
      </c>
      <c r="R27" s="64"/>
      <c r="S27" s="66">
        <v>1.0</v>
      </c>
      <c r="T27" s="66"/>
      <c r="U27" s="66">
        <v>0.0</v>
      </c>
      <c r="V27" s="40"/>
      <c r="W27" s="41"/>
      <c r="X27" s="41">
        <v>0.0</v>
      </c>
      <c r="Y27" s="41">
        <v>0.0</v>
      </c>
      <c r="Z27" s="40"/>
      <c r="AA27" s="40"/>
      <c r="AB27" s="40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</row>
    <row r="28">
      <c r="A28" s="27">
        <v>9.03811619E9</v>
      </c>
      <c r="B28" s="31" t="s">
        <v>77</v>
      </c>
      <c r="C28" s="32">
        <v>5.0</v>
      </c>
      <c r="D28" s="32">
        <f t="shared" si="1"/>
        <v>10</v>
      </c>
      <c r="E28" s="32" t="s">
        <v>21</v>
      </c>
      <c r="F28" s="34">
        <f t="shared" si="2"/>
        <v>8</v>
      </c>
      <c r="G28" s="34">
        <f t="shared" si="3"/>
        <v>2</v>
      </c>
      <c r="H28" s="34">
        <v>2.0</v>
      </c>
      <c r="I28" s="35"/>
      <c r="J28" s="34">
        <v>2.0</v>
      </c>
      <c r="K28" s="35"/>
      <c r="L28" s="34">
        <v>0.0</v>
      </c>
      <c r="M28" s="34">
        <v>1.0</v>
      </c>
      <c r="N28" s="35"/>
      <c r="O28" s="35"/>
      <c r="P28" s="37"/>
      <c r="Q28" s="38">
        <v>2.0</v>
      </c>
      <c r="R28" s="37"/>
      <c r="S28" s="39">
        <v>0.0</v>
      </c>
      <c r="T28" s="39"/>
      <c r="U28" s="39">
        <v>0.0</v>
      </c>
      <c r="V28" s="40"/>
      <c r="W28" s="41">
        <v>0.0</v>
      </c>
      <c r="X28" s="41">
        <v>1.0</v>
      </c>
      <c r="Y28" s="41">
        <v>0.0</v>
      </c>
      <c r="Z28" s="40"/>
      <c r="AA28" s="40"/>
      <c r="AB28" s="40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</row>
    <row r="29">
      <c r="A29" s="48"/>
      <c r="B29" s="48"/>
      <c r="C29" s="48"/>
      <c r="D29" s="48"/>
      <c r="E29" s="48"/>
      <c r="F29" s="34">
        <f t="shared" si="2"/>
        <v>0</v>
      </c>
      <c r="G29" s="49"/>
      <c r="H29" s="49"/>
      <c r="I29" s="49"/>
      <c r="J29" s="49"/>
      <c r="K29" s="49"/>
      <c r="L29" s="49"/>
      <c r="M29" s="49"/>
      <c r="N29" s="49"/>
      <c r="O29" s="35"/>
      <c r="P29" s="37"/>
      <c r="Q29" s="50"/>
      <c r="R29" s="37"/>
      <c r="S29" s="37"/>
      <c r="T29" s="37"/>
      <c r="U29" s="37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</row>
    <row r="30">
      <c r="A30" s="68" t="s">
        <v>44</v>
      </c>
      <c r="B30" s="3"/>
      <c r="C30" s="69"/>
      <c r="D30" s="69"/>
      <c r="E30" s="69" t="s">
        <v>82</v>
      </c>
      <c r="F30" s="34">
        <f t="shared" si="2"/>
        <v>0</v>
      </c>
      <c r="G30" s="35"/>
      <c r="H30" s="35"/>
      <c r="I30" s="35"/>
      <c r="J30" s="35"/>
      <c r="K30" s="35"/>
      <c r="L30" s="35"/>
      <c r="M30" s="35"/>
      <c r="N30" s="35"/>
      <c r="O30" s="35"/>
      <c r="P30" s="37"/>
      <c r="Q30" s="50"/>
      <c r="R30" s="37"/>
      <c r="S30" s="37"/>
      <c r="T30" s="37"/>
      <c r="U30" s="37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</row>
    <row r="31">
      <c r="A31" s="27">
        <v>1.173141619E10</v>
      </c>
      <c r="B31" s="29" t="s">
        <v>84</v>
      </c>
      <c r="C31" s="32">
        <v>23.0</v>
      </c>
      <c r="D31" s="32">
        <f>C31*2</f>
        <v>46</v>
      </c>
      <c r="E31" s="32" t="s">
        <v>85</v>
      </c>
      <c r="F31" s="34">
        <f t="shared" si="2"/>
        <v>50</v>
      </c>
      <c r="G31" s="34">
        <f t="shared" ref="G31:G46" si="4">D31-F31</f>
        <v>-4</v>
      </c>
      <c r="H31" s="47">
        <v>4.0</v>
      </c>
      <c r="I31" s="34">
        <v>4.0</v>
      </c>
      <c r="J31" s="34">
        <v>4.0</v>
      </c>
      <c r="K31" s="34"/>
      <c r="L31" s="34">
        <v>8.0</v>
      </c>
      <c r="M31" s="34">
        <v>2.0</v>
      </c>
      <c r="N31" s="35"/>
      <c r="O31" s="35"/>
      <c r="P31" s="37"/>
      <c r="Q31" s="38">
        <v>0.0</v>
      </c>
      <c r="R31" s="37"/>
      <c r="S31" s="39">
        <v>2.0</v>
      </c>
      <c r="T31" s="39"/>
      <c r="U31" s="39">
        <v>4.0</v>
      </c>
      <c r="V31" s="40"/>
      <c r="W31" s="41">
        <v>4.0</v>
      </c>
      <c r="X31" s="41">
        <v>6.0</v>
      </c>
      <c r="Y31" s="41">
        <v>4.0</v>
      </c>
      <c r="Z31" s="40"/>
      <c r="AA31" s="40"/>
      <c r="AB31" s="40"/>
      <c r="AC31" s="41">
        <v>4.0</v>
      </c>
      <c r="AD31" s="41">
        <v>2.0</v>
      </c>
      <c r="AE31" s="41"/>
      <c r="AF31" s="41">
        <v>2.0</v>
      </c>
      <c r="AG31" s="41"/>
      <c r="AH31" s="41"/>
      <c r="AI31" s="41"/>
      <c r="AJ31" s="41"/>
      <c r="AK31" s="41"/>
      <c r="AL31" s="41">
        <v>2.0</v>
      </c>
      <c r="AM31" s="41">
        <v>1.0</v>
      </c>
      <c r="AN31" s="41"/>
      <c r="AO31" s="41">
        <v>2.0</v>
      </c>
      <c r="AP31" s="41" t="s">
        <v>18</v>
      </c>
      <c r="AQ31" s="41">
        <v>1.0</v>
      </c>
    </row>
    <row r="32">
      <c r="A32" s="27">
        <v>5.34178719E9</v>
      </c>
      <c r="B32" s="31" t="s">
        <v>88</v>
      </c>
      <c r="C32" s="32">
        <v>10.0</v>
      </c>
      <c r="D32" s="32">
        <f>C32*3</f>
        <v>30</v>
      </c>
      <c r="E32" s="32" t="s">
        <v>89</v>
      </c>
      <c r="F32" s="34">
        <f t="shared" si="2"/>
        <v>30</v>
      </c>
      <c r="G32" s="34">
        <f t="shared" si="4"/>
        <v>0</v>
      </c>
      <c r="H32" s="47">
        <v>3.0</v>
      </c>
      <c r="I32" s="34"/>
      <c r="J32" s="34">
        <v>0.0</v>
      </c>
      <c r="K32" s="34"/>
      <c r="L32" s="34">
        <v>6.0</v>
      </c>
      <c r="M32" s="34">
        <v>3.0</v>
      </c>
      <c r="N32" s="35"/>
      <c r="O32" s="35"/>
      <c r="P32" s="37"/>
      <c r="Q32" s="38">
        <v>2.0</v>
      </c>
      <c r="R32" s="37"/>
      <c r="S32" s="39">
        <v>0.0</v>
      </c>
      <c r="T32" s="39"/>
      <c r="U32" s="39">
        <v>6.0</v>
      </c>
      <c r="V32" s="40"/>
      <c r="W32" s="41">
        <v>4.0</v>
      </c>
      <c r="X32" s="41">
        <v>0.0</v>
      </c>
      <c r="Y32" s="41">
        <v>2.0</v>
      </c>
      <c r="Z32" s="40"/>
      <c r="AA32" s="40"/>
      <c r="AB32" s="40"/>
      <c r="AC32" s="41">
        <v>2.0</v>
      </c>
      <c r="AD32" s="41"/>
      <c r="AE32" s="41"/>
      <c r="AF32" s="41"/>
      <c r="AG32" s="41"/>
      <c r="AH32" s="41"/>
      <c r="AI32" s="41">
        <v>2.0</v>
      </c>
      <c r="AJ32" s="41"/>
      <c r="AK32" s="41"/>
      <c r="AL32" s="41"/>
      <c r="AM32" s="41"/>
      <c r="AN32" s="41"/>
      <c r="AO32" s="41">
        <v>1.0</v>
      </c>
      <c r="AP32" s="41">
        <v>11442.0</v>
      </c>
      <c r="AQ32" s="41"/>
    </row>
    <row r="33">
      <c r="A33" s="27">
        <v>1.1776452122E10</v>
      </c>
      <c r="B33" s="31" t="s">
        <v>92</v>
      </c>
      <c r="C33" s="32">
        <v>23.0</v>
      </c>
      <c r="D33" s="32">
        <f t="shared" ref="D33:D38" si="5">C33*2</f>
        <v>46</v>
      </c>
      <c r="E33" s="32" t="s">
        <v>85</v>
      </c>
      <c r="F33" s="34">
        <f t="shared" si="2"/>
        <v>48</v>
      </c>
      <c r="G33" s="34">
        <f t="shared" si="4"/>
        <v>-2</v>
      </c>
      <c r="H33" s="47">
        <v>4.0</v>
      </c>
      <c r="I33" s="34">
        <v>4.0</v>
      </c>
      <c r="J33" s="34">
        <v>4.0</v>
      </c>
      <c r="K33" s="35"/>
      <c r="L33" s="34">
        <v>4.0</v>
      </c>
      <c r="M33" s="34">
        <v>2.0</v>
      </c>
      <c r="N33" s="35"/>
      <c r="O33" s="35"/>
      <c r="P33" s="37"/>
      <c r="Q33" s="38">
        <v>2.0</v>
      </c>
      <c r="R33" s="37"/>
      <c r="S33" s="39">
        <v>2.0</v>
      </c>
      <c r="T33" s="39"/>
      <c r="U33" s="39">
        <v>4.0</v>
      </c>
      <c r="V33" s="40"/>
      <c r="W33" s="41">
        <v>4.0</v>
      </c>
      <c r="X33" s="41">
        <v>0.0</v>
      </c>
      <c r="Y33" s="41">
        <v>4.0</v>
      </c>
      <c r="Z33" s="40"/>
      <c r="AA33" s="41">
        <v>4.0</v>
      </c>
      <c r="AB33" s="41"/>
      <c r="AC33" s="41">
        <v>4.0</v>
      </c>
      <c r="AD33" s="41"/>
      <c r="AE33" s="41"/>
      <c r="AF33" s="41">
        <v>2.0</v>
      </c>
      <c r="AG33" s="41">
        <v>2.0</v>
      </c>
      <c r="AH33" s="41"/>
      <c r="AI33" s="41">
        <v>2.0</v>
      </c>
      <c r="AJ33" s="41"/>
      <c r="AK33" s="41"/>
      <c r="AL33" s="41"/>
      <c r="AM33" s="41">
        <v>1.0</v>
      </c>
      <c r="AN33" s="41"/>
      <c r="AO33" s="41">
        <v>2.0</v>
      </c>
      <c r="AP33" s="41" t="s">
        <v>18</v>
      </c>
      <c r="AQ33" s="41"/>
    </row>
    <row r="34">
      <c r="A34" s="27">
        <v>4.91704919E9</v>
      </c>
      <c r="B34" s="31" t="s">
        <v>95</v>
      </c>
      <c r="C34" s="32">
        <v>15.0</v>
      </c>
      <c r="D34" s="32">
        <f t="shared" si="5"/>
        <v>30</v>
      </c>
      <c r="E34" s="32" t="s">
        <v>96</v>
      </c>
      <c r="F34" s="34">
        <f t="shared" si="2"/>
        <v>22</v>
      </c>
      <c r="G34" s="34">
        <f t="shared" si="4"/>
        <v>8</v>
      </c>
      <c r="H34" s="47">
        <v>2.0</v>
      </c>
      <c r="I34" s="34">
        <v>2.0</v>
      </c>
      <c r="J34" s="34">
        <v>2.0</v>
      </c>
      <c r="K34" s="35"/>
      <c r="L34" s="34">
        <v>4.0</v>
      </c>
      <c r="M34" s="34">
        <v>4.0</v>
      </c>
      <c r="N34" s="35"/>
      <c r="O34" s="35"/>
      <c r="P34" s="37"/>
      <c r="Q34" s="38">
        <v>0.0</v>
      </c>
      <c r="R34" s="37"/>
      <c r="S34" s="39">
        <v>2.0</v>
      </c>
      <c r="T34" s="39"/>
      <c r="U34" s="39">
        <v>0.0</v>
      </c>
      <c r="V34" s="40"/>
      <c r="W34" s="41">
        <v>2.0</v>
      </c>
      <c r="X34" s="41">
        <v>0.0</v>
      </c>
      <c r="Y34" s="41">
        <v>2.0</v>
      </c>
      <c r="Z34" s="40"/>
      <c r="AA34" s="40"/>
      <c r="AB34" s="40"/>
      <c r="AC34" s="41">
        <v>2.0</v>
      </c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</row>
    <row r="35">
      <c r="A35" s="27">
        <v>5.09510719E9</v>
      </c>
      <c r="B35" s="31" t="s">
        <v>97</v>
      </c>
      <c r="C35" s="32">
        <v>15.0</v>
      </c>
      <c r="D35" s="32">
        <f t="shared" si="5"/>
        <v>30</v>
      </c>
      <c r="E35" s="32" t="s">
        <v>96</v>
      </c>
      <c r="F35" s="34">
        <f t="shared" si="2"/>
        <v>30</v>
      </c>
      <c r="G35" s="34">
        <f t="shared" si="4"/>
        <v>0</v>
      </c>
      <c r="H35" s="47">
        <v>2.0</v>
      </c>
      <c r="I35" s="34">
        <v>2.0</v>
      </c>
      <c r="J35" s="34">
        <v>2.0</v>
      </c>
      <c r="K35" s="35"/>
      <c r="L35" s="34">
        <v>4.0</v>
      </c>
      <c r="M35" s="34">
        <v>4.0</v>
      </c>
      <c r="N35" s="35"/>
      <c r="O35" s="35"/>
      <c r="P35" s="37"/>
      <c r="Q35" s="38">
        <v>4.0</v>
      </c>
      <c r="R35" s="37"/>
      <c r="S35" s="39">
        <v>2.0</v>
      </c>
      <c r="T35" s="39"/>
      <c r="U35" s="39">
        <v>2.0</v>
      </c>
      <c r="V35" s="40"/>
      <c r="W35" s="41">
        <v>0.0</v>
      </c>
      <c r="X35" s="41">
        <v>2.0</v>
      </c>
      <c r="Y35" s="41">
        <v>2.0</v>
      </c>
      <c r="Z35" s="40"/>
      <c r="AA35" s="41">
        <v>2.0</v>
      </c>
      <c r="AB35" s="41"/>
      <c r="AC35" s="41">
        <v>2.0</v>
      </c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>
        <v>1.0</v>
      </c>
      <c r="AP35" s="41">
        <v>11442.0</v>
      </c>
      <c r="AQ35" s="41"/>
    </row>
    <row r="36">
      <c r="A36" s="27">
        <v>5.042666191E9</v>
      </c>
      <c r="B36" s="31" t="s">
        <v>99</v>
      </c>
      <c r="C36" s="32">
        <v>15.0</v>
      </c>
      <c r="D36" s="32">
        <f t="shared" si="5"/>
        <v>30</v>
      </c>
      <c r="E36" s="32" t="s">
        <v>96</v>
      </c>
      <c r="F36" s="34">
        <f t="shared" si="2"/>
        <v>37</v>
      </c>
      <c r="G36" s="34">
        <f t="shared" si="4"/>
        <v>-7</v>
      </c>
      <c r="H36" s="47">
        <v>2.0</v>
      </c>
      <c r="I36" s="34">
        <v>2.0</v>
      </c>
      <c r="J36" s="34">
        <v>2.0</v>
      </c>
      <c r="K36" s="35"/>
      <c r="L36" s="34">
        <v>4.0</v>
      </c>
      <c r="M36" s="34">
        <v>4.0</v>
      </c>
      <c r="N36" s="35"/>
      <c r="O36" s="35"/>
      <c r="P36" s="37"/>
      <c r="Q36" s="38">
        <v>4.0</v>
      </c>
      <c r="R36" s="37"/>
      <c r="S36" s="39">
        <v>4.0</v>
      </c>
      <c r="T36" s="39"/>
      <c r="U36" s="39">
        <v>3.0</v>
      </c>
      <c r="V36" s="40"/>
      <c r="W36" s="41">
        <v>2.0</v>
      </c>
      <c r="X36" s="41">
        <v>2.0</v>
      </c>
      <c r="Y36" s="41">
        <v>2.0</v>
      </c>
      <c r="Z36" s="40"/>
      <c r="AA36" s="41">
        <v>2.0</v>
      </c>
      <c r="AB36" s="41"/>
      <c r="AC36" s="41">
        <v>2.0</v>
      </c>
      <c r="AD36" s="41"/>
      <c r="AE36" s="41"/>
      <c r="AF36" s="41"/>
      <c r="AG36" s="41">
        <v>2.0</v>
      </c>
      <c r="AH36" s="41"/>
      <c r="AI36" s="41"/>
      <c r="AJ36" s="41"/>
      <c r="AK36" s="41"/>
      <c r="AL36" s="41"/>
      <c r="AM36" s="41"/>
      <c r="AN36" s="41"/>
      <c r="AO36" s="41">
        <v>1.0</v>
      </c>
      <c r="AP36" s="41" t="s">
        <v>18</v>
      </c>
      <c r="AQ36" s="41"/>
    </row>
    <row r="37">
      <c r="A37" s="27">
        <v>5.95095319E9</v>
      </c>
      <c r="B37" s="31" t="s">
        <v>101</v>
      </c>
      <c r="C37" s="32">
        <v>12.0</v>
      </c>
      <c r="D37" s="32">
        <f t="shared" si="5"/>
        <v>24</v>
      </c>
      <c r="E37" s="32" t="s">
        <v>96</v>
      </c>
      <c r="F37" s="34">
        <f t="shared" si="2"/>
        <v>12</v>
      </c>
      <c r="G37" s="34">
        <f t="shared" si="4"/>
        <v>12</v>
      </c>
      <c r="H37" s="47">
        <v>2.0</v>
      </c>
      <c r="I37" s="34">
        <v>2.0</v>
      </c>
      <c r="J37" s="34">
        <v>0.0</v>
      </c>
      <c r="K37" s="35"/>
      <c r="L37" s="34">
        <v>4.0</v>
      </c>
      <c r="M37" s="34">
        <v>0.0</v>
      </c>
      <c r="N37" s="35"/>
      <c r="O37" s="35"/>
      <c r="P37" s="37"/>
      <c r="Q37" s="38">
        <v>4.0</v>
      </c>
      <c r="R37" s="37"/>
      <c r="S37" s="39">
        <v>0.0</v>
      </c>
      <c r="T37" s="39"/>
      <c r="U37" s="39">
        <v>0.0</v>
      </c>
      <c r="V37" s="40"/>
      <c r="W37" s="41">
        <v>0.0</v>
      </c>
      <c r="X37" s="41">
        <v>0.0</v>
      </c>
      <c r="Y37" s="41">
        <v>0.0</v>
      </c>
      <c r="Z37" s="40"/>
      <c r="AA37" s="40"/>
      <c r="AB37" s="40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</row>
    <row r="38">
      <c r="A38" s="27">
        <v>5.03166419E9</v>
      </c>
      <c r="B38" s="31" t="s">
        <v>103</v>
      </c>
      <c r="C38" s="32">
        <v>15.0</v>
      </c>
      <c r="D38" s="32">
        <f t="shared" si="5"/>
        <v>30</v>
      </c>
      <c r="E38" s="32" t="s">
        <v>96</v>
      </c>
      <c r="F38" s="34">
        <f t="shared" si="2"/>
        <v>28</v>
      </c>
      <c r="G38" s="34">
        <f t="shared" si="4"/>
        <v>2</v>
      </c>
      <c r="H38" s="47">
        <v>2.0</v>
      </c>
      <c r="I38" s="34">
        <v>2.0</v>
      </c>
      <c r="J38" s="34">
        <v>2.0</v>
      </c>
      <c r="K38" s="35"/>
      <c r="L38" s="34">
        <v>4.0</v>
      </c>
      <c r="M38" s="34">
        <v>4.0</v>
      </c>
      <c r="N38" s="35"/>
      <c r="O38" s="35"/>
      <c r="P38" s="37"/>
      <c r="Q38" s="38">
        <v>2.0</v>
      </c>
      <c r="R38" s="37"/>
      <c r="S38" s="39">
        <v>2.0</v>
      </c>
      <c r="T38" s="39"/>
      <c r="U38" s="39">
        <v>0.0</v>
      </c>
      <c r="V38" s="40"/>
      <c r="W38" s="41">
        <v>2.0</v>
      </c>
      <c r="X38" s="41">
        <v>0.0</v>
      </c>
      <c r="Y38" s="41">
        <v>2.0</v>
      </c>
      <c r="Z38" s="40"/>
      <c r="AA38" s="41">
        <v>2.0</v>
      </c>
      <c r="AB38" s="41"/>
      <c r="AC38" s="41">
        <v>2.0</v>
      </c>
      <c r="AD38" s="41"/>
      <c r="AE38" s="41"/>
      <c r="AF38" s="41"/>
      <c r="AG38" s="41">
        <v>2.0</v>
      </c>
      <c r="AH38" s="41"/>
      <c r="AI38" s="41"/>
      <c r="AJ38" s="41"/>
      <c r="AK38" s="41"/>
      <c r="AL38" s="41"/>
      <c r="AM38" s="41"/>
      <c r="AN38" s="41"/>
      <c r="AO38" s="41"/>
      <c r="AP38" s="41"/>
      <c r="AQ38" s="41"/>
    </row>
    <row r="39">
      <c r="A39" s="27">
        <v>9.03812419E9</v>
      </c>
      <c r="B39" s="31" t="s">
        <v>105</v>
      </c>
      <c r="C39" s="32">
        <v>20.0</v>
      </c>
      <c r="D39" s="32">
        <f t="shared" ref="D39:D40" si="6">C39*3</f>
        <v>60</v>
      </c>
      <c r="E39" s="32" t="s">
        <v>106</v>
      </c>
      <c r="F39" s="34">
        <f t="shared" si="2"/>
        <v>35</v>
      </c>
      <c r="G39" s="34">
        <f t="shared" si="4"/>
        <v>25</v>
      </c>
      <c r="H39" s="34">
        <v>6.0</v>
      </c>
      <c r="I39" s="35"/>
      <c r="J39" s="34">
        <v>2.0</v>
      </c>
      <c r="K39" s="35"/>
      <c r="L39" s="34">
        <v>6.0</v>
      </c>
      <c r="M39" s="34">
        <v>6.0</v>
      </c>
      <c r="N39" s="35"/>
      <c r="O39" s="35"/>
      <c r="P39" s="37"/>
      <c r="Q39" s="38">
        <v>3.0</v>
      </c>
      <c r="R39" s="37"/>
      <c r="S39" s="39">
        <v>2.0</v>
      </c>
      <c r="T39" s="39"/>
      <c r="U39" s="39">
        <v>0.0</v>
      </c>
      <c r="V39" s="40"/>
      <c r="W39" s="41">
        <v>4.0</v>
      </c>
      <c r="X39" s="41">
        <v>0.0</v>
      </c>
      <c r="Y39" s="41">
        <v>2.0</v>
      </c>
      <c r="Z39" s="40"/>
      <c r="AA39" s="41">
        <v>2.0</v>
      </c>
      <c r="AB39" s="41"/>
      <c r="AC39" s="41">
        <v>2.0</v>
      </c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</row>
    <row r="40">
      <c r="A40" s="76">
        <v>6.92410719E9</v>
      </c>
      <c r="B40" s="77" t="s">
        <v>111</v>
      </c>
      <c r="C40" s="78">
        <v>9.0</v>
      </c>
      <c r="D40" s="78">
        <f t="shared" si="6"/>
        <v>27</v>
      </c>
      <c r="E40" s="79" t="s">
        <v>112</v>
      </c>
      <c r="F40" s="34">
        <f t="shared" si="2"/>
        <v>16</v>
      </c>
      <c r="G40" s="80">
        <f t="shared" si="4"/>
        <v>11</v>
      </c>
      <c r="H40" s="80">
        <v>2.0</v>
      </c>
      <c r="I40" s="81"/>
      <c r="J40" s="80">
        <v>0.0</v>
      </c>
      <c r="K40" s="81"/>
      <c r="L40" s="80">
        <v>6.0</v>
      </c>
      <c r="M40" s="80">
        <v>6.0</v>
      </c>
      <c r="N40" s="81"/>
      <c r="O40" s="81"/>
      <c r="P40" s="82"/>
      <c r="Q40" s="84">
        <v>0.0</v>
      </c>
      <c r="R40" s="82"/>
      <c r="S40" s="85">
        <v>2.0</v>
      </c>
      <c r="T40" s="85"/>
      <c r="U40" s="85">
        <v>0.0</v>
      </c>
      <c r="V40" s="41"/>
      <c r="W40" s="40"/>
      <c r="X40" s="40"/>
      <c r="Y40" s="41">
        <v>0.0</v>
      </c>
      <c r="Z40" s="40"/>
      <c r="AA40" s="40"/>
      <c r="AB40" s="40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</row>
    <row r="41">
      <c r="A41" s="27">
        <v>4.61880719E9</v>
      </c>
      <c r="B41" s="31" t="s">
        <v>114</v>
      </c>
      <c r="C41" s="32">
        <v>3.0</v>
      </c>
      <c r="D41" s="32">
        <f>C41*8</f>
        <v>24</v>
      </c>
      <c r="E41" s="32" t="s">
        <v>116</v>
      </c>
      <c r="F41" s="34">
        <f t="shared" si="2"/>
        <v>13</v>
      </c>
      <c r="G41" s="34">
        <f t="shared" si="4"/>
        <v>11</v>
      </c>
      <c r="H41" s="47">
        <v>2.0</v>
      </c>
      <c r="I41" s="34"/>
      <c r="J41" s="34">
        <v>2.0</v>
      </c>
      <c r="K41" s="35"/>
      <c r="L41" s="34">
        <v>2.0</v>
      </c>
      <c r="M41" s="34">
        <v>2.0</v>
      </c>
      <c r="N41" s="35"/>
      <c r="O41" s="35"/>
      <c r="P41" s="37"/>
      <c r="Q41" s="38">
        <v>1.0</v>
      </c>
      <c r="R41" s="37"/>
      <c r="S41" s="39">
        <v>0.0</v>
      </c>
      <c r="T41" s="39"/>
      <c r="U41" s="39">
        <v>0.0</v>
      </c>
      <c r="V41" s="40"/>
      <c r="W41" s="41">
        <v>2.0</v>
      </c>
      <c r="X41" s="41">
        <v>0.0</v>
      </c>
      <c r="Y41" s="41">
        <v>2.0</v>
      </c>
      <c r="Z41" s="40"/>
      <c r="AA41" s="40"/>
      <c r="AB41" s="40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</row>
    <row r="42">
      <c r="A42" s="27">
        <v>4.61884019E9</v>
      </c>
      <c r="B42" s="31" t="s">
        <v>117</v>
      </c>
      <c r="C42" s="32">
        <v>5.0</v>
      </c>
      <c r="D42" s="32">
        <f>C42*4</f>
        <v>20</v>
      </c>
      <c r="E42" s="32" t="s">
        <v>120</v>
      </c>
      <c r="F42" s="34">
        <f t="shared" si="2"/>
        <v>15</v>
      </c>
      <c r="G42" s="34">
        <f t="shared" si="4"/>
        <v>5</v>
      </c>
      <c r="H42" s="47">
        <v>2.0</v>
      </c>
      <c r="I42" s="34"/>
      <c r="J42" s="34">
        <v>2.0</v>
      </c>
      <c r="K42" s="35"/>
      <c r="L42" s="34">
        <v>2.0</v>
      </c>
      <c r="M42" s="34">
        <v>2.0</v>
      </c>
      <c r="N42" s="35"/>
      <c r="O42" s="35"/>
      <c r="P42" s="37"/>
      <c r="Q42" s="38">
        <v>1.0</v>
      </c>
      <c r="R42" s="37"/>
      <c r="S42" s="39">
        <v>0.0</v>
      </c>
      <c r="T42" s="39"/>
      <c r="U42" s="39">
        <v>0.0</v>
      </c>
      <c r="V42" s="40"/>
      <c r="W42" s="41">
        <v>2.0</v>
      </c>
      <c r="X42" s="41">
        <v>0.0</v>
      </c>
      <c r="Y42" s="41">
        <v>2.0</v>
      </c>
      <c r="Z42" s="40"/>
      <c r="AA42" s="40"/>
      <c r="AB42" s="40"/>
      <c r="AC42" s="41"/>
      <c r="AD42" s="41"/>
      <c r="AE42" s="41"/>
      <c r="AF42" s="41">
        <v>2.0</v>
      </c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>
      <c r="A43" s="27">
        <v>4.61882319E9</v>
      </c>
      <c r="B43" s="31" t="s">
        <v>122</v>
      </c>
      <c r="C43" s="32">
        <v>3.0</v>
      </c>
      <c r="D43" s="32">
        <f t="shared" ref="D43:D46" si="7">C43*8</f>
        <v>24</v>
      </c>
      <c r="E43" s="32" t="s">
        <v>116</v>
      </c>
      <c r="F43" s="34">
        <f t="shared" si="2"/>
        <v>26</v>
      </c>
      <c r="G43" s="34">
        <f t="shared" si="4"/>
        <v>-2</v>
      </c>
      <c r="H43" s="47">
        <v>2.0</v>
      </c>
      <c r="I43" s="34"/>
      <c r="J43" s="34">
        <v>2.0</v>
      </c>
      <c r="K43" s="35"/>
      <c r="L43" s="34">
        <v>2.0</v>
      </c>
      <c r="M43" s="34">
        <v>2.0</v>
      </c>
      <c r="N43" s="35"/>
      <c r="O43" s="35"/>
      <c r="P43" s="37"/>
      <c r="Q43" s="38">
        <v>1.0</v>
      </c>
      <c r="R43" s="37"/>
      <c r="S43" s="39">
        <v>2.0</v>
      </c>
      <c r="T43" s="39"/>
      <c r="U43" s="39">
        <v>0.0</v>
      </c>
      <c r="V43" s="40"/>
      <c r="W43" s="41">
        <v>4.0</v>
      </c>
      <c r="X43" s="41">
        <v>3.0</v>
      </c>
      <c r="Y43" s="41">
        <v>2.0</v>
      </c>
      <c r="Z43" s="40"/>
      <c r="AA43" s="41">
        <v>2.0</v>
      </c>
      <c r="AB43" s="41"/>
      <c r="AC43" s="41">
        <v>2.0</v>
      </c>
      <c r="AD43" s="41"/>
      <c r="AE43" s="41"/>
      <c r="AF43" s="41">
        <v>2.0</v>
      </c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</row>
    <row r="44">
      <c r="A44" s="27">
        <v>4.61886619E9</v>
      </c>
      <c r="B44" s="31" t="s">
        <v>124</v>
      </c>
      <c r="C44" s="32">
        <v>3.0</v>
      </c>
      <c r="D44" s="32">
        <f t="shared" si="7"/>
        <v>24</v>
      </c>
      <c r="E44" s="32" t="s">
        <v>125</v>
      </c>
      <c r="F44" s="34">
        <f t="shared" si="2"/>
        <v>17</v>
      </c>
      <c r="G44" s="34">
        <f t="shared" si="4"/>
        <v>7</v>
      </c>
      <c r="H44" s="47">
        <v>2.0</v>
      </c>
      <c r="I44" s="35"/>
      <c r="J44" s="34">
        <v>2.0</v>
      </c>
      <c r="K44" s="35"/>
      <c r="L44" s="34">
        <v>2.0</v>
      </c>
      <c r="M44" s="34">
        <v>2.0</v>
      </c>
      <c r="N44" s="35"/>
      <c r="O44" s="35"/>
      <c r="P44" s="37"/>
      <c r="Q44" s="38">
        <v>0.0</v>
      </c>
      <c r="R44" s="37"/>
      <c r="S44" s="39">
        <v>0.0</v>
      </c>
      <c r="T44" s="39"/>
      <c r="U44" s="39">
        <v>0.0</v>
      </c>
      <c r="V44" s="40"/>
      <c r="W44" s="41">
        <v>4.0</v>
      </c>
      <c r="X44" s="41">
        <v>3.0</v>
      </c>
      <c r="Y44" s="41">
        <v>2.0</v>
      </c>
      <c r="Z44" s="40"/>
      <c r="AA44" s="40"/>
      <c r="AB44" s="40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</row>
    <row r="45">
      <c r="A45" s="27">
        <v>4.78460019E9</v>
      </c>
      <c r="B45" s="31" t="s">
        <v>127</v>
      </c>
      <c r="C45" s="32">
        <v>3.0</v>
      </c>
      <c r="D45" s="32">
        <f t="shared" si="7"/>
        <v>24</v>
      </c>
      <c r="E45" s="32" t="s">
        <v>116</v>
      </c>
      <c r="F45" s="34">
        <f t="shared" si="2"/>
        <v>18</v>
      </c>
      <c r="G45" s="34">
        <f t="shared" si="4"/>
        <v>6</v>
      </c>
      <c r="H45" s="47">
        <v>2.0</v>
      </c>
      <c r="I45" s="35"/>
      <c r="J45" s="34">
        <v>2.0</v>
      </c>
      <c r="K45" s="35"/>
      <c r="L45" s="34">
        <v>2.0</v>
      </c>
      <c r="M45" s="34">
        <v>2.0</v>
      </c>
      <c r="N45" s="35"/>
      <c r="O45" s="35"/>
      <c r="P45" s="37"/>
      <c r="Q45" s="38">
        <v>0.0</v>
      </c>
      <c r="R45" s="37"/>
      <c r="S45" s="39">
        <v>4.0</v>
      </c>
      <c r="T45" s="39"/>
      <c r="U45" s="39">
        <v>0.0</v>
      </c>
      <c r="V45" s="40"/>
      <c r="W45" s="41">
        <v>2.0</v>
      </c>
      <c r="X45" s="41">
        <v>2.0</v>
      </c>
      <c r="Y45" s="41">
        <v>2.0</v>
      </c>
      <c r="Z45" s="40"/>
      <c r="AA45" s="40"/>
      <c r="AB45" s="40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</row>
    <row r="46">
      <c r="A46" s="27">
        <v>4.78462619E9</v>
      </c>
      <c r="B46" s="31" t="s">
        <v>131</v>
      </c>
      <c r="C46" s="32">
        <v>3.0</v>
      </c>
      <c r="D46" s="32">
        <f t="shared" si="7"/>
        <v>24</v>
      </c>
      <c r="E46" s="32" t="s">
        <v>116</v>
      </c>
      <c r="F46" s="34">
        <f t="shared" si="2"/>
        <v>18</v>
      </c>
      <c r="G46" s="34">
        <f t="shared" si="4"/>
        <v>6</v>
      </c>
      <c r="H46" s="47">
        <v>2.0</v>
      </c>
      <c r="I46" s="35"/>
      <c r="J46" s="34">
        <v>2.0</v>
      </c>
      <c r="K46" s="35"/>
      <c r="L46" s="34">
        <v>2.0</v>
      </c>
      <c r="M46" s="34">
        <v>2.0</v>
      </c>
      <c r="N46" s="35"/>
      <c r="O46" s="35"/>
      <c r="P46" s="37"/>
      <c r="Q46" s="38">
        <v>0.0</v>
      </c>
      <c r="R46" s="37"/>
      <c r="S46" s="39">
        <v>2.0</v>
      </c>
      <c r="T46" s="39"/>
      <c r="U46" s="39">
        <v>0.0</v>
      </c>
      <c r="V46" s="40"/>
      <c r="W46" s="41">
        <v>0.0</v>
      </c>
      <c r="X46" s="41">
        <v>2.0</v>
      </c>
      <c r="Y46" s="41">
        <v>2.0</v>
      </c>
      <c r="Z46" s="40"/>
      <c r="AA46" s="41">
        <v>2.0</v>
      </c>
      <c r="AB46" s="41"/>
      <c r="AC46" s="41">
        <v>2.0</v>
      </c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</row>
    <row r="47">
      <c r="A47" s="48"/>
      <c r="B47" s="48"/>
      <c r="C47" s="48"/>
      <c r="D47" s="32"/>
      <c r="E47" s="48"/>
      <c r="F47" s="34">
        <f t="shared" si="2"/>
        <v>0</v>
      </c>
      <c r="G47" s="49"/>
      <c r="H47" s="49"/>
      <c r="I47" s="49"/>
      <c r="J47" s="49"/>
      <c r="K47" s="49"/>
      <c r="L47" s="49"/>
      <c r="M47" s="49"/>
      <c r="N47" s="49"/>
      <c r="O47" s="35"/>
      <c r="P47" s="37"/>
      <c r="Q47" s="50"/>
      <c r="R47" s="37"/>
      <c r="S47" s="37"/>
      <c r="T47" s="37"/>
      <c r="U47" s="37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</row>
    <row r="48">
      <c r="A48" s="68" t="s">
        <v>74</v>
      </c>
      <c r="B48" s="86"/>
      <c r="C48" s="86"/>
      <c r="D48" s="32"/>
      <c r="E48" s="87"/>
      <c r="F48" s="34">
        <f t="shared" si="2"/>
        <v>0</v>
      </c>
      <c r="G48" s="35"/>
      <c r="H48" s="35"/>
      <c r="I48" s="35"/>
      <c r="J48" s="35"/>
      <c r="K48" s="35"/>
      <c r="L48" s="35"/>
      <c r="M48" s="35"/>
      <c r="N48" s="35"/>
      <c r="O48" s="35"/>
      <c r="P48" s="37"/>
      <c r="Q48" s="50"/>
      <c r="R48" s="37"/>
      <c r="S48" s="37"/>
      <c r="T48" s="37"/>
      <c r="U48" s="37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</row>
    <row r="49">
      <c r="A49" s="27">
        <v>5.694302001E9</v>
      </c>
      <c r="B49" s="29" t="s">
        <v>135</v>
      </c>
      <c r="C49" s="32">
        <v>55.0</v>
      </c>
      <c r="D49" s="32">
        <f>C49*1</f>
        <v>55</v>
      </c>
      <c r="E49" s="32" t="s">
        <v>136</v>
      </c>
      <c r="F49" s="34">
        <f t="shared" si="2"/>
        <v>18</v>
      </c>
      <c r="G49" s="34">
        <f t="shared" ref="G49:G67" si="8">D49-F49</f>
        <v>37</v>
      </c>
      <c r="H49" s="34">
        <v>8.0</v>
      </c>
      <c r="I49" s="34"/>
      <c r="J49" s="34">
        <v>0.0</v>
      </c>
      <c r="K49" s="35"/>
      <c r="L49" s="34">
        <v>0.0</v>
      </c>
      <c r="M49" s="34">
        <v>0.0</v>
      </c>
      <c r="N49" s="35"/>
      <c r="O49" s="35"/>
      <c r="P49" s="37"/>
      <c r="Q49" s="38">
        <v>0.0</v>
      </c>
      <c r="R49" s="37"/>
      <c r="S49" s="39">
        <v>1.0</v>
      </c>
      <c r="T49" s="39"/>
      <c r="U49" s="39">
        <v>2.0</v>
      </c>
      <c r="V49" s="40"/>
      <c r="W49" s="41">
        <v>0.0</v>
      </c>
      <c r="X49" s="41">
        <v>1.0</v>
      </c>
      <c r="Y49" s="41">
        <v>3.0</v>
      </c>
      <c r="Z49" s="40"/>
      <c r="AA49" s="41">
        <v>1.0</v>
      </c>
      <c r="AB49" s="41"/>
      <c r="AC49" s="41">
        <v>2.0</v>
      </c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 t="s">
        <v>138</v>
      </c>
      <c r="AP49" s="41"/>
      <c r="AQ49" s="41"/>
    </row>
    <row r="50" hidden="1">
      <c r="A50" s="27">
        <v>7.29901019E9</v>
      </c>
      <c r="B50" s="29" t="s">
        <v>139</v>
      </c>
      <c r="C50" s="32"/>
      <c r="D50" s="32">
        <f>C50*8</f>
        <v>0</v>
      </c>
      <c r="E50" s="45" t="s">
        <v>141</v>
      </c>
      <c r="F50" s="34">
        <f t="shared" si="2"/>
        <v>0</v>
      </c>
      <c r="G50" s="34">
        <f t="shared" si="8"/>
        <v>0</v>
      </c>
      <c r="H50" s="35"/>
      <c r="I50" s="35"/>
      <c r="J50" s="35"/>
      <c r="K50" s="35"/>
      <c r="L50" s="35"/>
      <c r="M50" s="35"/>
      <c r="N50" s="35"/>
      <c r="O50" s="35"/>
      <c r="P50" s="37"/>
      <c r="Q50" s="50"/>
      <c r="R50" s="37"/>
      <c r="S50" s="37"/>
      <c r="T50" s="37"/>
      <c r="U50" s="37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</row>
    <row r="51">
      <c r="A51" s="27">
        <v>7.29900119E9</v>
      </c>
      <c r="B51" s="29" t="s">
        <v>142</v>
      </c>
      <c r="C51" s="32">
        <v>42.0</v>
      </c>
      <c r="D51" s="32">
        <f>C51*1</f>
        <v>42</v>
      </c>
      <c r="E51" s="45" t="s">
        <v>141</v>
      </c>
      <c r="F51" s="34">
        <f t="shared" si="2"/>
        <v>12</v>
      </c>
      <c r="G51" s="34">
        <f t="shared" si="8"/>
        <v>30</v>
      </c>
      <c r="H51" s="34">
        <v>8.0</v>
      </c>
      <c r="I51" s="35"/>
      <c r="J51" s="34">
        <v>0.0</v>
      </c>
      <c r="K51" s="34"/>
      <c r="L51" s="34">
        <v>0.0</v>
      </c>
      <c r="M51" s="34">
        <v>0.0</v>
      </c>
      <c r="N51" s="35"/>
      <c r="O51" s="35"/>
      <c r="P51" s="37"/>
      <c r="Q51" s="38">
        <v>0.0</v>
      </c>
      <c r="R51" s="37"/>
      <c r="S51" s="37"/>
      <c r="T51" s="39"/>
      <c r="U51" s="39">
        <v>2.0</v>
      </c>
      <c r="V51" s="40"/>
      <c r="W51" s="41">
        <v>0.0</v>
      </c>
      <c r="X51" s="41">
        <v>1.0</v>
      </c>
      <c r="Y51" s="41">
        <v>0.0</v>
      </c>
      <c r="Z51" s="40"/>
      <c r="AA51" s="40"/>
      <c r="AB51" s="40"/>
      <c r="AC51" s="41">
        <v>1.0</v>
      </c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</row>
    <row r="52" hidden="1">
      <c r="A52" s="27">
        <v>9.76258219E9</v>
      </c>
      <c r="B52" s="29" t="s">
        <v>145</v>
      </c>
      <c r="C52" s="89"/>
      <c r="D52" s="89"/>
      <c r="E52" s="71"/>
      <c r="F52" s="34">
        <f t="shared" si="2"/>
        <v>0</v>
      </c>
      <c r="G52" s="34">
        <f t="shared" si="8"/>
        <v>0</v>
      </c>
      <c r="H52" s="35"/>
      <c r="I52" s="35"/>
      <c r="J52" s="35"/>
      <c r="K52" s="35"/>
      <c r="L52" s="35"/>
      <c r="M52" s="35"/>
      <c r="N52" s="35"/>
      <c r="O52" s="35"/>
      <c r="P52" s="37"/>
      <c r="Q52" s="50"/>
      <c r="R52" s="37"/>
      <c r="S52" s="37"/>
      <c r="T52" s="37"/>
      <c r="U52" s="37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</row>
    <row r="53">
      <c r="A53" s="27">
        <v>6.90885319E9</v>
      </c>
      <c r="B53" s="29" t="s">
        <v>147</v>
      </c>
      <c r="C53" s="89">
        <v>25.0</v>
      </c>
      <c r="D53" s="89">
        <f t="shared" ref="D53:D55" si="9">C53*2</f>
        <v>50</v>
      </c>
      <c r="E53" s="90" t="s">
        <v>149</v>
      </c>
      <c r="F53" s="34">
        <f t="shared" si="2"/>
        <v>184</v>
      </c>
      <c r="G53" s="34">
        <f t="shared" si="8"/>
        <v>-134</v>
      </c>
      <c r="H53" s="34">
        <v>10.0</v>
      </c>
      <c r="I53" s="34">
        <v>16.0</v>
      </c>
      <c r="J53" s="34">
        <v>8.0</v>
      </c>
      <c r="K53" s="35"/>
      <c r="L53" s="34">
        <v>28.0</v>
      </c>
      <c r="M53" s="34">
        <v>12.0</v>
      </c>
      <c r="N53" s="35"/>
      <c r="O53" s="35"/>
      <c r="P53" s="37"/>
      <c r="Q53" s="38">
        <v>6.0</v>
      </c>
      <c r="R53" s="37"/>
      <c r="S53" s="39">
        <v>20.0</v>
      </c>
      <c r="T53" s="39"/>
      <c r="U53" s="39">
        <v>20.0</v>
      </c>
      <c r="V53" s="40"/>
      <c r="W53" s="41">
        <v>0.0</v>
      </c>
      <c r="X53" s="41">
        <v>6.0</v>
      </c>
      <c r="Y53" s="41">
        <v>12.0</v>
      </c>
      <c r="Z53" s="40"/>
      <c r="AA53" s="41">
        <v>46.0</v>
      </c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</row>
    <row r="54">
      <c r="A54" s="27">
        <v>4.88029319E9</v>
      </c>
      <c r="B54" s="29" t="s">
        <v>151</v>
      </c>
      <c r="C54" s="89">
        <v>50.0</v>
      </c>
      <c r="D54" s="89">
        <f t="shared" si="9"/>
        <v>100</v>
      </c>
      <c r="E54" s="90" t="s">
        <v>149</v>
      </c>
      <c r="F54" s="34">
        <f t="shared" si="2"/>
        <v>248</v>
      </c>
      <c r="G54" s="34">
        <f t="shared" si="8"/>
        <v>-148</v>
      </c>
      <c r="H54" s="34">
        <v>20.0</v>
      </c>
      <c r="I54" s="34">
        <v>16.0</v>
      </c>
      <c r="J54" s="34">
        <v>8.0</v>
      </c>
      <c r="K54" s="35"/>
      <c r="L54" s="34">
        <v>42.0</v>
      </c>
      <c r="M54" s="34">
        <v>0.0</v>
      </c>
      <c r="N54" s="35"/>
      <c r="O54" s="35"/>
      <c r="P54" s="37"/>
      <c r="Q54" s="38">
        <v>6.0</v>
      </c>
      <c r="R54" s="37"/>
      <c r="S54" s="39">
        <v>12.0</v>
      </c>
      <c r="T54" s="39"/>
      <c r="U54" s="39">
        <v>18.0</v>
      </c>
      <c r="V54" s="40"/>
      <c r="W54" s="41">
        <v>16.0</v>
      </c>
      <c r="X54" s="41">
        <v>16.0</v>
      </c>
      <c r="Y54" s="41">
        <v>20.0</v>
      </c>
      <c r="Z54" s="40"/>
      <c r="AA54" s="41">
        <v>18.0</v>
      </c>
      <c r="AB54" s="41"/>
      <c r="AC54" s="41">
        <v>24.0</v>
      </c>
      <c r="AD54" s="41"/>
      <c r="AE54" s="41"/>
      <c r="AF54" s="41">
        <v>10.0</v>
      </c>
      <c r="AG54" s="41">
        <v>12.0</v>
      </c>
      <c r="AH54" s="41"/>
      <c r="AI54" s="41">
        <v>10.0</v>
      </c>
      <c r="AJ54" s="41"/>
      <c r="AK54" s="41"/>
      <c r="AL54" s="41"/>
      <c r="AM54" s="41"/>
      <c r="AN54" s="41"/>
      <c r="AO54" s="41"/>
      <c r="AP54" s="41"/>
      <c r="AQ54" s="41"/>
    </row>
    <row r="55">
      <c r="A55" s="27">
        <v>6.90879919E9</v>
      </c>
      <c r="B55" s="29" t="s">
        <v>154</v>
      </c>
      <c r="C55" s="89">
        <v>35.0</v>
      </c>
      <c r="D55" s="89">
        <f t="shared" si="9"/>
        <v>70</v>
      </c>
      <c r="E55" s="90" t="s">
        <v>149</v>
      </c>
      <c r="F55" s="34">
        <f t="shared" si="2"/>
        <v>188</v>
      </c>
      <c r="G55" s="34">
        <f t="shared" si="8"/>
        <v>-118</v>
      </c>
      <c r="H55" s="34">
        <v>14.0</v>
      </c>
      <c r="I55" s="34">
        <v>20.0</v>
      </c>
      <c r="J55" s="34">
        <v>8.0</v>
      </c>
      <c r="K55" s="35"/>
      <c r="L55" s="34">
        <v>38.0</v>
      </c>
      <c r="M55" s="34">
        <v>6.0</v>
      </c>
      <c r="N55" s="35"/>
      <c r="O55" s="35"/>
      <c r="P55" s="37"/>
      <c r="Q55" s="38">
        <v>8.0</v>
      </c>
      <c r="R55" s="37"/>
      <c r="S55" s="39">
        <v>4.0</v>
      </c>
      <c r="T55" s="39"/>
      <c r="U55" s="39">
        <v>14.0</v>
      </c>
      <c r="V55" s="40"/>
      <c r="W55" s="41">
        <v>10.0</v>
      </c>
      <c r="X55" s="41">
        <v>0.0</v>
      </c>
      <c r="Y55" s="41">
        <v>10.0</v>
      </c>
      <c r="Z55" s="40"/>
      <c r="AA55" s="41"/>
      <c r="AB55" s="41" t="s">
        <v>156</v>
      </c>
      <c r="AC55" s="41">
        <v>44.0</v>
      </c>
      <c r="AD55" s="41"/>
      <c r="AE55" s="41"/>
      <c r="AF55" s="41">
        <v>10.0</v>
      </c>
      <c r="AG55" s="41"/>
      <c r="AH55" s="41"/>
      <c r="AI55" s="41">
        <v>2.0</v>
      </c>
      <c r="AJ55" s="41"/>
      <c r="AK55" s="41"/>
      <c r="AL55" s="41"/>
      <c r="AM55" s="41"/>
      <c r="AN55" s="41"/>
      <c r="AO55" s="41"/>
      <c r="AP55" s="41"/>
      <c r="AQ55" s="41"/>
    </row>
    <row r="56">
      <c r="A56" s="27">
        <v>4.444191001E9</v>
      </c>
      <c r="B56" s="57" t="s">
        <v>158</v>
      </c>
      <c r="C56" s="32">
        <v>50.0</v>
      </c>
      <c r="D56" s="89">
        <f>C56*1</f>
        <v>50</v>
      </c>
      <c r="E56" s="32">
        <v>250.0</v>
      </c>
      <c r="F56" s="34">
        <f t="shared" si="2"/>
        <v>64</v>
      </c>
      <c r="G56" s="34">
        <f t="shared" si="8"/>
        <v>-14</v>
      </c>
      <c r="H56" s="47">
        <v>3.0</v>
      </c>
      <c r="I56" s="34">
        <v>3.0</v>
      </c>
      <c r="J56" s="34">
        <v>3.0</v>
      </c>
      <c r="K56" s="35"/>
      <c r="L56" s="34">
        <v>12.0</v>
      </c>
      <c r="M56" s="34">
        <v>0.0</v>
      </c>
      <c r="N56" s="35"/>
      <c r="O56" s="35"/>
      <c r="P56" s="37"/>
      <c r="Q56" s="38">
        <v>4.0</v>
      </c>
      <c r="R56" s="37"/>
      <c r="S56" s="39">
        <v>2.0</v>
      </c>
      <c r="T56" s="39"/>
      <c r="U56" s="39">
        <v>3.0</v>
      </c>
      <c r="V56" s="41">
        <v>4.0</v>
      </c>
      <c r="W56" s="41">
        <v>4.0</v>
      </c>
      <c r="X56" s="41">
        <v>4.0</v>
      </c>
      <c r="Y56" s="41">
        <v>4.0</v>
      </c>
      <c r="Z56" s="40"/>
      <c r="AA56" s="40"/>
      <c r="AB56" s="40"/>
      <c r="AC56" s="41">
        <v>2.0</v>
      </c>
      <c r="AD56" s="41"/>
      <c r="AE56" s="41">
        <v>4.0</v>
      </c>
      <c r="AF56" s="41">
        <v>2.0</v>
      </c>
      <c r="AG56" s="41">
        <v>2.0</v>
      </c>
      <c r="AH56" s="41">
        <v>3.0</v>
      </c>
      <c r="AI56" s="41">
        <v>3.0</v>
      </c>
      <c r="AJ56" s="41">
        <v>2.0</v>
      </c>
      <c r="AK56" s="41"/>
      <c r="AL56" s="41">
        <v>3.0</v>
      </c>
      <c r="AM56" s="41">
        <v>2.0</v>
      </c>
      <c r="AN56" s="41"/>
      <c r="AO56" s="41">
        <v>4.0</v>
      </c>
      <c r="AP56" s="41">
        <v>11442.0</v>
      </c>
      <c r="AQ56" s="41"/>
    </row>
    <row r="57" hidden="1">
      <c r="A57" s="27">
        <v>1.0394246001E10</v>
      </c>
      <c r="B57" s="29" t="s">
        <v>160</v>
      </c>
      <c r="C57" s="32"/>
      <c r="D57" s="89"/>
      <c r="E57" s="32">
        <v>5000.0</v>
      </c>
      <c r="F57" s="34">
        <f t="shared" si="2"/>
        <v>0</v>
      </c>
      <c r="G57" s="34">
        <f t="shared" si="8"/>
        <v>0</v>
      </c>
      <c r="H57" s="35"/>
      <c r="I57" s="35"/>
      <c r="J57" s="35"/>
      <c r="K57" s="35"/>
      <c r="L57" s="35"/>
      <c r="M57" s="35"/>
      <c r="N57" s="35"/>
      <c r="O57" s="35"/>
      <c r="P57" s="37"/>
      <c r="Q57" s="50"/>
      <c r="R57" s="37"/>
      <c r="S57" s="37"/>
      <c r="T57" s="37"/>
      <c r="U57" s="37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</row>
    <row r="58" hidden="1">
      <c r="A58" s="27">
        <v>5.88907319E9</v>
      </c>
      <c r="B58" s="29" t="s">
        <v>162</v>
      </c>
      <c r="C58" s="32"/>
      <c r="D58" s="89"/>
      <c r="E58" s="32">
        <v>100.0</v>
      </c>
      <c r="F58" s="34">
        <f t="shared" si="2"/>
        <v>0</v>
      </c>
      <c r="G58" s="34">
        <f t="shared" si="8"/>
        <v>0</v>
      </c>
      <c r="H58" s="35"/>
      <c r="I58" s="35"/>
      <c r="J58" s="35"/>
      <c r="K58" s="35"/>
      <c r="L58" s="35"/>
      <c r="M58" s="35"/>
      <c r="N58" s="35"/>
      <c r="O58" s="35"/>
      <c r="P58" s="37"/>
      <c r="Q58" s="50"/>
      <c r="R58" s="37"/>
      <c r="S58" s="37"/>
      <c r="T58" s="37"/>
      <c r="U58" s="37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</row>
    <row r="59" hidden="1">
      <c r="A59" s="27">
        <v>5.94431719E9</v>
      </c>
      <c r="B59" s="29" t="s">
        <v>163</v>
      </c>
      <c r="C59" s="32"/>
      <c r="D59" s="89"/>
      <c r="E59" s="32" t="s">
        <v>164</v>
      </c>
      <c r="F59" s="34">
        <f t="shared" si="2"/>
        <v>0</v>
      </c>
      <c r="G59" s="34">
        <f t="shared" si="8"/>
        <v>0</v>
      </c>
      <c r="H59" s="35"/>
      <c r="I59" s="35"/>
      <c r="J59" s="35"/>
      <c r="K59" s="35"/>
      <c r="L59" s="35"/>
      <c r="M59" s="35"/>
      <c r="N59" s="35"/>
      <c r="O59" s="35"/>
      <c r="P59" s="37"/>
      <c r="Q59" s="50"/>
      <c r="R59" s="37"/>
      <c r="S59" s="37"/>
      <c r="T59" s="37"/>
      <c r="U59" s="37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</row>
    <row r="60" hidden="1">
      <c r="A60" s="27">
        <v>9.37006419E9</v>
      </c>
      <c r="B60" s="29" t="s">
        <v>167</v>
      </c>
      <c r="C60" s="32"/>
      <c r="D60" s="89"/>
      <c r="E60" s="32" t="s">
        <v>168</v>
      </c>
      <c r="F60" s="34">
        <f t="shared" si="2"/>
        <v>0</v>
      </c>
      <c r="G60" s="34">
        <f t="shared" si="8"/>
        <v>0</v>
      </c>
      <c r="H60" s="35"/>
      <c r="I60" s="35"/>
      <c r="J60" s="35"/>
      <c r="K60" s="35"/>
      <c r="L60" s="35"/>
      <c r="M60" s="35"/>
      <c r="N60" s="35"/>
      <c r="O60" s="35"/>
      <c r="P60" s="37"/>
      <c r="Q60" s="50"/>
      <c r="R60" s="37"/>
      <c r="S60" s="37"/>
      <c r="T60" s="37"/>
      <c r="U60" s="37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</row>
    <row r="61" hidden="1">
      <c r="A61" s="27">
        <v>9.37009919E9</v>
      </c>
      <c r="B61" s="29" t="s">
        <v>170</v>
      </c>
      <c r="C61" s="32"/>
      <c r="D61" s="89"/>
      <c r="E61" s="32" t="s">
        <v>171</v>
      </c>
      <c r="F61" s="34">
        <f t="shared" si="2"/>
        <v>0</v>
      </c>
      <c r="G61" s="34">
        <f t="shared" si="8"/>
        <v>0</v>
      </c>
      <c r="H61" s="35"/>
      <c r="I61" s="35"/>
      <c r="J61" s="35"/>
      <c r="K61" s="35"/>
      <c r="L61" s="35"/>
      <c r="M61" s="35"/>
      <c r="N61" s="35"/>
      <c r="O61" s="35"/>
      <c r="P61" s="37"/>
      <c r="Q61" s="50"/>
      <c r="R61" s="37"/>
      <c r="S61" s="37"/>
      <c r="T61" s="37"/>
      <c r="U61" s="37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</row>
    <row r="62">
      <c r="A62" s="27">
        <v>5.870020001E9</v>
      </c>
      <c r="B62" s="29" t="s">
        <v>173</v>
      </c>
      <c r="C62" s="45">
        <v>132.0</v>
      </c>
      <c r="D62" s="90">
        <v>132.0</v>
      </c>
      <c r="E62" s="32" t="s">
        <v>174</v>
      </c>
      <c r="F62" s="34">
        <f t="shared" si="2"/>
        <v>108</v>
      </c>
      <c r="G62" s="34">
        <f t="shared" si="8"/>
        <v>24</v>
      </c>
      <c r="H62" s="47">
        <v>10.0</v>
      </c>
      <c r="I62" s="34">
        <v>4.0</v>
      </c>
      <c r="J62" s="34">
        <v>4.0</v>
      </c>
      <c r="K62" s="35"/>
      <c r="L62" s="34">
        <v>18.0</v>
      </c>
      <c r="M62" s="34">
        <v>7.0</v>
      </c>
      <c r="N62" s="35"/>
      <c r="O62" s="35"/>
      <c r="P62" s="37"/>
      <c r="Q62" s="38">
        <v>30.0</v>
      </c>
      <c r="R62" s="37"/>
      <c r="S62" s="39">
        <v>0.0</v>
      </c>
      <c r="T62" s="39"/>
      <c r="U62" s="39">
        <v>10.0</v>
      </c>
      <c r="V62" s="40"/>
      <c r="W62" s="41">
        <v>0.0</v>
      </c>
      <c r="X62" s="40"/>
      <c r="Y62" s="41">
        <v>0.0</v>
      </c>
      <c r="Z62" s="40"/>
      <c r="AA62" s="40"/>
      <c r="AB62" s="40"/>
      <c r="AC62" s="41"/>
      <c r="AD62" s="41"/>
      <c r="AE62" s="41">
        <v>10.0</v>
      </c>
      <c r="AF62" s="41">
        <v>5.0</v>
      </c>
      <c r="AG62" s="41"/>
      <c r="AH62" s="41"/>
      <c r="AI62" s="41">
        <v>6.0</v>
      </c>
      <c r="AJ62" s="41">
        <v>4.0</v>
      </c>
      <c r="AK62" s="41"/>
      <c r="AL62" s="41">
        <v>4.0</v>
      </c>
      <c r="AM62" s="41"/>
      <c r="AN62" s="41"/>
      <c r="AO62" s="41">
        <v>9.0</v>
      </c>
      <c r="AP62" s="41">
        <v>11442.0</v>
      </c>
      <c r="AQ62" s="41">
        <v>4.0</v>
      </c>
    </row>
    <row r="63">
      <c r="A63" s="27">
        <v>4.419987001E9</v>
      </c>
      <c r="B63" s="29" t="s">
        <v>175</v>
      </c>
      <c r="C63" s="45">
        <v>15.0</v>
      </c>
      <c r="D63" s="90">
        <v>15.0</v>
      </c>
      <c r="E63" s="32" t="s">
        <v>177</v>
      </c>
      <c r="F63" s="34">
        <f t="shared" si="2"/>
        <v>6</v>
      </c>
      <c r="G63" s="34">
        <f t="shared" si="8"/>
        <v>9</v>
      </c>
      <c r="H63" s="47">
        <v>1.0</v>
      </c>
      <c r="I63" s="35"/>
      <c r="J63" s="34">
        <v>0.0</v>
      </c>
      <c r="K63" s="35"/>
      <c r="L63" s="34">
        <v>2.0</v>
      </c>
      <c r="M63" s="34">
        <v>0.0</v>
      </c>
      <c r="N63" s="35"/>
      <c r="O63" s="35"/>
      <c r="P63" s="39">
        <v>1.0</v>
      </c>
      <c r="Q63" s="38">
        <v>1.0</v>
      </c>
      <c r="R63" s="37"/>
      <c r="S63" s="37"/>
      <c r="T63" s="37"/>
      <c r="U63" s="39">
        <v>1.0</v>
      </c>
      <c r="V63" s="40"/>
      <c r="W63" s="40"/>
      <c r="X63" s="40"/>
      <c r="Y63" s="41">
        <v>0.0</v>
      </c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</row>
    <row r="64">
      <c r="A64" s="71"/>
      <c r="B64" s="29" t="s">
        <v>178</v>
      </c>
      <c r="C64" s="89">
        <v>420.0</v>
      </c>
      <c r="D64" s="89">
        <f>C64*1</f>
        <v>420</v>
      </c>
      <c r="E64" s="71"/>
      <c r="F64" s="34">
        <f t="shared" si="2"/>
        <v>105</v>
      </c>
      <c r="G64" s="34">
        <f t="shared" si="8"/>
        <v>315</v>
      </c>
      <c r="H64" s="47">
        <v>25.0</v>
      </c>
      <c r="I64" s="34"/>
      <c r="J64" s="34">
        <v>0.0</v>
      </c>
      <c r="K64" s="35"/>
      <c r="L64" s="34">
        <v>80.0</v>
      </c>
      <c r="M64" s="34">
        <v>0.0</v>
      </c>
      <c r="N64" s="35"/>
      <c r="O64" s="35"/>
      <c r="P64" s="37"/>
      <c r="Q64" s="38">
        <v>0.0</v>
      </c>
      <c r="R64" s="37"/>
      <c r="S64" s="37"/>
      <c r="T64" s="37"/>
      <c r="U64" s="39">
        <v>0.0</v>
      </c>
      <c r="V64" s="40"/>
      <c r="W64" s="40"/>
      <c r="X64" s="40"/>
      <c r="Y64" s="41">
        <v>0.0</v>
      </c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</row>
    <row r="65">
      <c r="A65" s="71"/>
      <c r="B65" s="29" t="s">
        <v>180</v>
      </c>
      <c r="C65" s="89">
        <v>15.0</v>
      </c>
      <c r="D65" s="89">
        <f>C65*2</f>
        <v>30</v>
      </c>
      <c r="E65" s="71"/>
      <c r="F65" s="34">
        <f t="shared" si="2"/>
        <v>17</v>
      </c>
      <c r="G65" s="34">
        <f t="shared" si="8"/>
        <v>13</v>
      </c>
      <c r="H65" s="47">
        <v>1.0</v>
      </c>
      <c r="I65" s="34"/>
      <c r="J65" s="34">
        <v>1.0</v>
      </c>
      <c r="K65" s="35"/>
      <c r="L65" s="34">
        <v>2.0</v>
      </c>
      <c r="M65" s="34">
        <v>1.0</v>
      </c>
      <c r="N65" s="35"/>
      <c r="O65" s="35"/>
      <c r="P65" s="37"/>
      <c r="Q65" s="38">
        <v>1.0</v>
      </c>
      <c r="R65" s="37"/>
      <c r="S65" s="39">
        <v>1.0</v>
      </c>
      <c r="T65" s="39">
        <v>2.0</v>
      </c>
      <c r="U65" s="39">
        <v>1.0</v>
      </c>
      <c r="V65" s="40"/>
      <c r="W65" s="41">
        <v>1.0</v>
      </c>
      <c r="X65" s="41">
        <v>1.0</v>
      </c>
      <c r="Y65" s="41">
        <v>1.0</v>
      </c>
      <c r="Z65" s="40"/>
      <c r="AA65" s="41">
        <v>1.0</v>
      </c>
      <c r="AB65" s="41"/>
      <c r="AC65" s="41"/>
      <c r="AD65" s="41"/>
      <c r="AE65" s="41"/>
      <c r="AF65" s="41">
        <v>1.0</v>
      </c>
      <c r="AG65" s="41">
        <v>1.0</v>
      </c>
      <c r="AH65" s="41"/>
      <c r="AI65" s="41">
        <v>1.0</v>
      </c>
      <c r="AJ65" s="41"/>
      <c r="AK65" s="41"/>
      <c r="AL65" s="41"/>
      <c r="AM65" s="41"/>
      <c r="AN65" s="41"/>
      <c r="AO65" s="41"/>
      <c r="AP65" s="41"/>
      <c r="AQ65" s="41"/>
    </row>
    <row r="66">
      <c r="A66" s="27">
        <v>1.1298500316E10</v>
      </c>
      <c r="B66" s="29" t="s">
        <v>146</v>
      </c>
      <c r="C66" s="32">
        <v>3.0</v>
      </c>
      <c r="D66" s="89">
        <f>C66*5</f>
        <v>15</v>
      </c>
      <c r="E66" s="29" t="s">
        <v>183</v>
      </c>
      <c r="F66" s="34">
        <f t="shared" si="2"/>
        <v>2</v>
      </c>
      <c r="G66" s="34">
        <f t="shared" si="8"/>
        <v>13</v>
      </c>
      <c r="H66" s="34">
        <v>1.0</v>
      </c>
      <c r="I66" s="35"/>
      <c r="J66" s="34">
        <v>0.0</v>
      </c>
      <c r="K66" s="34"/>
      <c r="L66" s="34">
        <v>0.0</v>
      </c>
      <c r="M66" s="34">
        <v>0.0</v>
      </c>
      <c r="N66" s="35"/>
      <c r="O66" s="35"/>
      <c r="P66" s="37"/>
      <c r="Q66" s="50"/>
      <c r="R66" s="95"/>
      <c r="S66" s="37"/>
      <c r="T66" s="39"/>
      <c r="U66" s="39">
        <v>0.0</v>
      </c>
      <c r="V66" s="40"/>
      <c r="W66" s="40"/>
      <c r="X66" s="40"/>
      <c r="Y66" s="41">
        <v>0.0</v>
      </c>
      <c r="Z66" s="40"/>
      <c r="AA66" s="40"/>
      <c r="AB66" s="40"/>
      <c r="AC66" s="41"/>
      <c r="AD66" s="41"/>
      <c r="AE66" s="41"/>
      <c r="AF66" s="41"/>
      <c r="AG66" s="41"/>
      <c r="AH66" s="41"/>
      <c r="AI66" s="41"/>
      <c r="AJ66" s="41">
        <v>1.0</v>
      </c>
      <c r="AK66" s="41"/>
      <c r="AL66" s="41">
        <v>2.0</v>
      </c>
      <c r="AM66" s="41"/>
      <c r="AN66" s="41"/>
      <c r="AO66" s="41"/>
      <c r="AP66" s="41"/>
      <c r="AQ66" s="41"/>
    </row>
    <row r="67">
      <c r="A67" s="43">
        <v>7.485409001E9</v>
      </c>
      <c r="B67" s="71" t="s">
        <v>186</v>
      </c>
      <c r="C67" s="89">
        <v>14.0</v>
      </c>
      <c r="D67" s="90">
        <v>14.0</v>
      </c>
      <c r="E67" s="83"/>
      <c r="F67" s="34">
        <f t="shared" si="2"/>
        <v>7</v>
      </c>
      <c r="G67" s="34">
        <f t="shared" si="8"/>
        <v>7</v>
      </c>
      <c r="H67" s="34">
        <v>3.0</v>
      </c>
      <c r="I67" s="35"/>
      <c r="J67" s="34">
        <v>1.0</v>
      </c>
      <c r="K67" s="34"/>
      <c r="L67" s="34">
        <v>0.0</v>
      </c>
      <c r="M67" s="34">
        <v>0.0</v>
      </c>
      <c r="N67" s="35"/>
      <c r="O67" s="35"/>
      <c r="P67" s="37"/>
      <c r="Q67" s="50"/>
      <c r="R67" s="39">
        <v>2.0</v>
      </c>
      <c r="S67" s="37"/>
      <c r="T67" s="37"/>
      <c r="U67" s="39">
        <v>0.0</v>
      </c>
      <c r="V67" s="40"/>
      <c r="W67" s="40"/>
      <c r="X67" s="40"/>
      <c r="Y67" s="41">
        <v>0.0</v>
      </c>
      <c r="Z67" s="40"/>
      <c r="AA67" s="40"/>
      <c r="AB67" s="40"/>
      <c r="AC67" s="40"/>
      <c r="AD67" s="40"/>
      <c r="AE67" s="40"/>
      <c r="AF67" s="40"/>
      <c r="AG67" s="40"/>
      <c r="AH67" s="41">
        <v>1.0</v>
      </c>
      <c r="AI67" s="41"/>
      <c r="AJ67" s="41"/>
      <c r="AK67" s="41"/>
      <c r="AL67" s="41"/>
      <c r="AM67" s="41"/>
      <c r="AN67" s="41"/>
      <c r="AO67" s="41">
        <v>1.0</v>
      </c>
      <c r="AP67" s="41" t="s">
        <v>18</v>
      </c>
      <c r="AQ67" s="41" t="s">
        <v>18</v>
      </c>
    </row>
    <row r="68">
      <c r="A68" s="92"/>
      <c r="B68" s="92"/>
      <c r="C68" s="92"/>
      <c r="D68" s="92"/>
      <c r="E68" s="92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91"/>
      <c r="Q68" s="92"/>
      <c r="R68" s="40"/>
      <c r="S68" s="40"/>
      <c r="T68" s="91"/>
      <c r="U68" s="91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99" t="s">
        <v>187</v>
      </c>
      <c r="AN68" s="40"/>
      <c r="AO68" s="40"/>
      <c r="AP68" s="40"/>
      <c r="AQ68" s="40"/>
    </row>
    <row r="69">
      <c r="A69" s="92"/>
      <c r="B69" s="92"/>
      <c r="C69" s="92"/>
      <c r="D69" s="92"/>
      <c r="E69" s="92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91"/>
      <c r="Q69" s="92"/>
      <c r="R69" s="40"/>
      <c r="S69" s="40"/>
      <c r="T69" s="91"/>
      <c r="U69" s="91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</row>
    <row r="70">
      <c r="A70" s="92"/>
      <c r="B70" s="92"/>
      <c r="C70" s="92"/>
      <c r="D70" s="92"/>
      <c r="E70" s="92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91"/>
      <c r="Q70" s="92"/>
      <c r="R70" s="40"/>
      <c r="S70" s="40"/>
      <c r="T70" s="91"/>
      <c r="U70" s="91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</row>
    <row r="71">
      <c r="A71" s="92"/>
      <c r="B71" s="93" t="s">
        <v>182</v>
      </c>
      <c r="C71" s="92"/>
      <c r="D71" s="92"/>
      <c r="E71" s="92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91"/>
      <c r="Q71" s="92"/>
      <c r="R71" s="40"/>
      <c r="S71" s="40"/>
      <c r="T71" s="91"/>
      <c r="U71" s="91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</row>
    <row r="72">
      <c r="A72" s="92"/>
      <c r="B72" s="94" t="s">
        <v>184</v>
      </c>
      <c r="C72" s="92"/>
      <c r="D72" s="92"/>
      <c r="E72" s="92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91"/>
      <c r="Q72" s="92"/>
      <c r="R72" s="40"/>
      <c r="S72" s="40"/>
      <c r="T72" s="91"/>
      <c r="U72" s="91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</row>
    <row r="73">
      <c r="A73" s="96"/>
      <c r="B73" s="96"/>
      <c r="C73" s="96"/>
      <c r="D73" s="96"/>
      <c r="E73" s="96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98"/>
      <c r="Q73" s="96"/>
      <c r="T73" s="98"/>
      <c r="U73" s="98"/>
    </row>
    <row r="74">
      <c r="A74" s="96"/>
      <c r="B74" s="96"/>
      <c r="C74" s="96"/>
      <c r="D74" s="96"/>
      <c r="E74" s="96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98"/>
      <c r="Q74" s="96"/>
      <c r="T74" s="98"/>
      <c r="U74" s="98"/>
    </row>
    <row r="75">
      <c r="A75" s="96"/>
      <c r="B75" s="96"/>
      <c r="C75" s="96"/>
      <c r="D75" s="96"/>
      <c r="E75" s="96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98"/>
      <c r="Q75" s="96"/>
      <c r="T75" s="98"/>
      <c r="U75" s="98"/>
    </row>
    <row r="76">
      <c r="A76" s="96"/>
      <c r="B76" s="96"/>
      <c r="C76" s="96"/>
      <c r="D76" s="96"/>
      <c r="E76" s="96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98"/>
      <c r="Q76" s="96"/>
      <c r="T76" s="98"/>
      <c r="U76" s="98"/>
    </row>
    <row r="77">
      <c r="A77" s="96"/>
      <c r="B77" s="96"/>
      <c r="C77" s="96"/>
      <c r="D77" s="96"/>
      <c r="E77" s="96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98"/>
      <c r="Q77" s="96"/>
      <c r="T77" s="98"/>
      <c r="U77" s="98"/>
    </row>
    <row r="78">
      <c r="A78" s="96"/>
      <c r="B78" s="96"/>
      <c r="C78" s="96"/>
      <c r="D78" s="96"/>
      <c r="E78" s="9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98"/>
      <c r="Q78" s="96"/>
      <c r="T78" s="98"/>
      <c r="U78" s="98"/>
    </row>
    <row r="79">
      <c r="A79" s="96"/>
      <c r="B79" s="96"/>
      <c r="C79" s="96"/>
      <c r="D79" s="96"/>
      <c r="E79" s="96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98"/>
      <c r="Q79" s="96"/>
      <c r="T79" s="98"/>
      <c r="U79" s="98"/>
    </row>
    <row r="80">
      <c r="A80" s="96"/>
      <c r="B80" s="96"/>
      <c r="C80" s="96"/>
      <c r="D80" s="96"/>
      <c r="E80" s="96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98"/>
      <c r="Q80" s="96"/>
      <c r="T80" s="98"/>
      <c r="U80" s="98"/>
    </row>
    <row r="81">
      <c r="A81" s="96"/>
      <c r="B81" s="96"/>
      <c r="C81" s="96"/>
      <c r="D81" s="96"/>
      <c r="E81" s="96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98"/>
      <c r="Q81" s="96"/>
      <c r="T81" s="98"/>
      <c r="U81" s="98"/>
    </row>
    <row r="82">
      <c r="A82" s="96"/>
      <c r="B82" s="96"/>
      <c r="C82" s="96"/>
      <c r="D82" s="96"/>
      <c r="E82" s="96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98"/>
      <c r="Q82" s="96"/>
      <c r="T82" s="98"/>
      <c r="U82" s="98"/>
    </row>
    <row r="83">
      <c r="A83" s="96"/>
      <c r="B83" s="96"/>
      <c r="C83" s="96"/>
      <c r="D83" s="96"/>
      <c r="E83" s="96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98"/>
      <c r="Q83" s="96"/>
      <c r="T83" s="98"/>
      <c r="U83" s="98"/>
    </row>
    <row r="84">
      <c r="A84" s="96"/>
      <c r="B84" s="96"/>
      <c r="C84" s="96"/>
      <c r="D84" s="96"/>
      <c r="E84" s="96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98"/>
      <c r="Q84" s="96"/>
      <c r="T84" s="98"/>
      <c r="U84" s="98"/>
    </row>
    <row r="85">
      <c r="A85" s="96"/>
      <c r="B85" s="96"/>
      <c r="C85" s="96"/>
      <c r="D85" s="96"/>
      <c r="E85" s="96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98"/>
      <c r="Q85" s="96"/>
      <c r="T85" s="98"/>
      <c r="U85" s="98"/>
    </row>
    <row r="86">
      <c r="A86" s="96"/>
      <c r="B86" s="96"/>
      <c r="C86" s="96"/>
      <c r="D86" s="96"/>
      <c r="E86" s="96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98"/>
      <c r="Q86" s="96"/>
      <c r="T86" s="98"/>
      <c r="U86" s="98"/>
    </row>
    <row r="87">
      <c r="A87" s="96"/>
      <c r="B87" s="96"/>
      <c r="C87" s="96"/>
      <c r="D87" s="96"/>
      <c r="E87" s="96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98"/>
      <c r="Q87" s="96"/>
      <c r="T87" s="98"/>
      <c r="U87" s="98"/>
    </row>
    <row r="88">
      <c r="A88" s="96"/>
      <c r="B88" s="96"/>
      <c r="C88" s="96"/>
      <c r="D88" s="96"/>
      <c r="E88" s="96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98"/>
      <c r="Q88" s="96"/>
      <c r="T88" s="98"/>
      <c r="U88" s="98"/>
    </row>
    <row r="89">
      <c r="A89" s="96"/>
      <c r="B89" s="96"/>
      <c r="C89" s="96"/>
      <c r="D89" s="96"/>
      <c r="E89" s="96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98"/>
      <c r="Q89" s="96"/>
      <c r="T89" s="98"/>
      <c r="U89" s="98"/>
    </row>
    <row r="90">
      <c r="A90" s="96"/>
      <c r="B90" s="96"/>
      <c r="C90" s="96"/>
      <c r="D90" s="96"/>
      <c r="E90" s="96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98"/>
      <c r="Q90" s="96"/>
      <c r="T90" s="98"/>
      <c r="U90" s="98"/>
    </row>
    <row r="91">
      <c r="A91" s="96"/>
      <c r="B91" s="96"/>
      <c r="C91" s="96"/>
      <c r="D91" s="96"/>
      <c r="E91" s="96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98"/>
      <c r="Q91" s="96"/>
      <c r="T91" s="98"/>
      <c r="U91" s="98"/>
    </row>
    <row r="92">
      <c r="A92" s="96"/>
      <c r="B92" s="96"/>
      <c r="C92" s="96"/>
      <c r="D92" s="96"/>
      <c r="E92" s="96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98"/>
      <c r="Q92" s="96"/>
      <c r="T92" s="98"/>
      <c r="U92" s="98"/>
    </row>
    <row r="93">
      <c r="A93" s="96"/>
      <c r="B93" s="96"/>
      <c r="C93" s="96"/>
      <c r="D93" s="96"/>
      <c r="E93" s="96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98"/>
      <c r="Q93" s="96"/>
      <c r="T93" s="98"/>
      <c r="U93" s="98"/>
    </row>
    <row r="94">
      <c r="A94" s="96"/>
      <c r="B94" s="96"/>
      <c r="C94" s="96"/>
      <c r="D94" s="96"/>
      <c r="E94" s="96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98"/>
      <c r="Q94" s="96"/>
      <c r="T94" s="98"/>
      <c r="U94" s="98"/>
    </row>
    <row r="95">
      <c r="A95" s="96"/>
      <c r="B95" s="96"/>
      <c r="C95" s="96"/>
      <c r="D95" s="96"/>
      <c r="E95" s="96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98"/>
      <c r="Q95" s="96"/>
      <c r="T95" s="98"/>
      <c r="U95" s="98"/>
    </row>
    <row r="96">
      <c r="A96" s="96"/>
      <c r="B96" s="96"/>
      <c r="C96" s="96"/>
      <c r="D96" s="96"/>
      <c r="E96" s="96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98"/>
      <c r="Q96" s="96"/>
      <c r="T96" s="98"/>
      <c r="U96" s="98"/>
    </row>
    <row r="97">
      <c r="A97" s="96"/>
      <c r="B97" s="96"/>
      <c r="C97" s="96"/>
      <c r="D97" s="96"/>
      <c r="E97" s="96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98"/>
      <c r="Q97" s="96"/>
      <c r="T97" s="98"/>
      <c r="U97" s="98"/>
    </row>
    <row r="98">
      <c r="A98" s="96"/>
      <c r="B98" s="96"/>
      <c r="C98" s="96"/>
      <c r="D98" s="96"/>
      <c r="E98" s="96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98"/>
      <c r="Q98" s="96"/>
      <c r="T98" s="98"/>
      <c r="U98" s="98"/>
    </row>
    <row r="99">
      <c r="A99" s="96"/>
      <c r="B99" s="96"/>
      <c r="C99" s="96"/>
      <c r="D99" s="96"/>
      <c r="E99" s="96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98"/>
      <c r="Q99" s="96"/>
      <c r="T99" s="98"/>
      <c r="U99" s="98"/>
    </row>
    <row r="100">
      <c r="A100" s="96"/>
      <c r="B100" s="96"/>
      <c r="C100" s="96"/>
      <c r="D100" s="96"/>
      <c r="E100" s="96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98"/>
      <c r="Q100" s="96"/>
      <c r="T100" s="98"/>
      <c r="U100" s="98"/>
    </row>
    <row r="101">
      <c r="A101" s="96"/>
      <c r="B101" s="96"/>
      <c r="C101" s="96"/>
      <c r="D101" s="96"/>
      <c r="E101" s="96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98"/>
      <c r="Q101" s="96"/>
      <c r="T101" s="98"/>
      <c r="U101" s="98"/>
    </row>
    <row r="102">
      <c r="A102" s="96"/>
      <c r="B102" s="96"/>
      <c r="C102" s="96"/>
      <c r="D102" s="96"/>
      <c r="E102" s="96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98"/>
      <c r="Q102" s="96"/>
      <c r="T102" s="98"/>
      <c r="U102" s="98"/>
    </row>
    <row r="103">
      <c r="A103" s="96"/>
      <c r="B103" s="96"/>
      <c r="C103" s="96"/>
      <c r="D103" s="96"/>
      <c r="E103" s="96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98"/>
      <c r="Q103" s="96"/>
      <c r="T103" s="98"/>
      <c r="U103" s="98"/>
    </row>
    <row r="104">
      <c r="A104" s="96"/>
      <c r="B104" s="96"/>
      <c r="C104" s="96"/>
      <c r="D104" s="96"/>
      <c r="E104" s="96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98"/>
      <c r="Q104" s="96"/>
      <c r="T104" s="98"/>
      <c r="U104" s="98"/>
    </row>
    <row r="105">
      <c r="A105" s="96"/>
      <c r="B105" s="96"/>
      <c r="C105" s="96"/>
      <c r="D105" s="96"/>
      <c r="E105" s="96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98"/>
      <c r="Q105" s="96"/>
      <c r="T105" s="98"/>
      <c r="U105" s="98"/>
    </row>
    <row r="106">
      <c r="A106" s="96"/>
      <c r="B106" s="96"/>
      <c r="C106" s="96"/>
      <c r="D106" s="96"/>
      <c r="E106" s="96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98"/>
      <c r="Q106" s="96"/>
      <c r="T106" s="98"/>
      <c r="U106" s="98"/>
    </row>
    <row r="107">
      <c r="A107" s="96"/>
      <c r="B107" s="96"/>
      <c r="C107" s="96"/>
      <c r="D107" s="96"/>
      <c r="E107" s="96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98"/>
      <c r="Q107" s="96"/>
      <c r="T107" s="98"/>
      <c r="U107" s="98"/>
    </row>
    <row r="108">
      <c r="A108" s="96"/>
      <c r="B108" s="96"/>
      <c r="C108" s="96"/>
      <c r="D108" s="96"/>
      <c r="E108" s="96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98"/>
      <c r="Q108" s="96"/>
      <c r="T108" s="98"/>
      <c r="U108" s="98"/>
    </row>
    <row r="109">
      <c r="A109" s="96"/>
      <c r="B109" s="96"/>
      <c r="C109" s="96"/>
      <c r="D109" s="96"/>
      <c r="E109" s="96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98"/>
      <c r="Q109" s="96"/>
      <c r="T109" s="98"/>
      <c r="U109" s="98"/>
    </row>
    <row r="110">
      <c r="A110" s="96"/>
      <c r="B110" s="96"/>
      <c r="C110" s="96"/>
      <c r="D110" s="96"/>
      <c r="E110" s="96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98"/>
      <c r="Q110" s="96"/>
      <c r="T110" s="98"/>
      <c r="U110" s="98"/>
    </row>
    <row r="111">
      <c r="A111" s="96"/>
      <c r="B111" s="96"/>
      <c r="C111" s="96"/>
      <c r="D111" s="96"/>
      <c r="E111" s="96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98"/>
      <c r="Q111" s="96"/>
      <c r="T111" s="98"/>
      <c r="U111" s="98"/>
    </row>
    <row r="112">
      <c r="A112" s="96"/>
      <c r="B112" s="96"/>
      <c r="C112" s="96"/>
      <c r="D112" s="96"/>
      <c r="E112" s="96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98"/>
      <c r="Q112" s="96"/>
      <c r="T112" s="98"/>
      <c r="U112" s="98"/>
    </row>
    <row r="113">
      <c r="A113" s="96"/>
      <c r="B113" s="96"/>
      <c r="C113" s="96"/>
      <c r="D113" s="96"/>
      <c r="E113" s="96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98"/>
      <c r="Q113" s="96"/>
      <c r="T113" s="98"/>
      <c r="U113" s="98"/>
    </row>
    <row r="114">
      <c r="A114" s="96"/>
      <c r="B114" s="96"/>
      <c r="C114" s="96"/>
      <c r="D114" s="96"/>
      <c r="E114" s="96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98"/>
      <c r="Q114" s="96"/>
      <c r="T114" s="98"/>
      <c r="U114" s="98"/>
    </row>
    <row r="115">
      <c r="A115" s="96"/>
      <c r="B115" s="96"/>
      <c r="C115" s="96"/>
      <c r="D115" s="96"/>
      <c r="E115" s="96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98"/>
      <c r="Q115" s="96"/>
      <c r="T115" s="98"/>
      <c r="U115" s="98"/>
    </row>
    <row r="116">
      <c r="A116" s="96"/>
      <c r="B116" s="96"/>
      <c r="C116" s="96"/>
      <c r="D116" s="96"/>
      <c r="E116" s="96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98"/>
      <c r="Q116" s="96"/>
      <c r="T116" s="98"/>
      <c r="U116" s="98"/>
    </row>
    <row r="117">
      <c r="A117" s="96"/>
      <c r="B117" s="96"/>
      <c r="C117" s="96"/>
      <c r="D117" s="96"/>
      <c r="E117" s="96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98"/>
      <c r="Q117" s="96"/>
      <c r="T117" s="98"/>
      <c r="U117" s="98"/>
    </row>
    <row r="118">
      <c r="A118" s="96"/>
      <c r="B118" s="96"/>
      <c r="C118" s="96"/>
      <c r="D118" s="96"/>
      <c r="E118" s="96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98"/>
      <c r="Q118" s="96"/>
      <c r="T118" s="98"/>
      <c r="U118" s="98"/>
    </row>
    <row r="119">
      <c r="A119" s="96"/>
      <c r="B119" s="96"/>
      <c r="C119" s="96"/>
      <c r="D119" s="96"/>
      <c r="E119" s="96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98"/>
      <c r="Q119" s="96"/>
      <c r="T119" s="98"/>
      <c r="U119" s="98"/>
    </row>
    <row r="120">
      <c r="A120" s="96"/>
      <c r="B120" s="96"/>
      <c r="C120" s="96"/>
      <c r="D120" s="96"/>
      <c r="E120" s="96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98"/>
      <c r="Q120" s="96"/>
      <c r="T120" s="98"/>
      <c r="U120" s="98"/>
    </row>
    <row r="121">
      <c r="A121" s="96"/>
      <c r="B121" s="96"/>
      <c r="C121" s="96"/>
      <c r="D121" s="96"/>
      <c r="E121" s="96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98"/>
      <c r="Q121" s="96"/>
      <c r="T121" s="98"/>
      <c r="U121" s="98"/>
    </row>
    <row r="122">
      <c r="A122" s="96"/>
      <c r="B122" s="96"/>
      <c r="C122" s="96"/>
      <c r="D122" s="96"/>
      <c r="E122" s="96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98"/>
      <c r="Q122" s="96"/>
      <c r="T122" s="98"/>
      <c r="U122" s="98"/>
    </row>
    <row r="123">
      <c r="A123" s="96"/>
      <c r="B123" s="96"/>
      <c r="C123" s="96"/>
      <c r="D123" s="96"/>
      <c r="E123" s="96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98"/>
      <c r="Q123" s="96"/>
      <c r="T123" s="98"/>
      <c r="U123" s="98"/>
    </row>
    <row r="124">
      <c r="A124" s="96"/>
      <c r="B124" s="96"/>
      <c r="C124" s="96"/>
      <c r="D124" s="96"/>
      <c r="E124" s="96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98"/>
      <c r="Q124" s="96"/>
      <c r="T124" s="98"/>
      <c r="U124" s="98"/>
    </row>
    <row r="125">
      <c r="A125" s="96"/>
      <c r="B125" s="96"/>
      <c r="C125" s="96"/>
      <c r="D125" s="96"/>
      <c r="E125" s="96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98"/>
      <c r="Q125" s="96"/>
      <c r="T125" s="98"/>
      <c r="U125" s="98"/>
    </row>
    <row r="126">
      <c r="A126" s="96"/>
      <c r="B126" s="96"/>
      <c r="C126" s="96"/>
      <c r="D126" s="96"/>
      <c r="E126" s="96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98"/>
      <c r="Q126" s="96"/>
      <c r="T126" s="98"/>
      <c r="U126" s="98"/>
    </row>
    <row r="127">
      <c r="A127" s="96"/>
      <c r="B127" s="96"/>
      <c r="C127" s="96"/>
      <c r="D127" s="96"/>
      <c r="E127" s="96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98"/>
      <c r="Q127" s="96"/>
      <c r="T127" s="98"/>
      <c r="U127" s="98"/>
    </row>
    <row r="128">
      <c r="A128" s="96"/>
      <c r="B128" s="96"/>
      <c r="C128" s="96"/>
      <c r="D128" s="96"/>
      <c r="E128" s="96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98"/>
      <c r="Q128" s="96"/>
      <c r="T128" s="98"/>
      <c r="U128" s="98"/>
    </row>
    <row r="129">
      <c r="A129" s="96"/>
      <c r="B129" s="96"/>
      <c r="C129" s="96"/>
      <c r="D129" s="96"/>
      <c r="E129" s="96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98"/>
      <c r="Q129" s="96"/>
      <c r="T129" s="98"/>
      <c r="U129" s="98"/>
    </row>
    <row r="130">
      <c r="A130" s="96"/>
      <c r="B130" s="96"/>
      <c r="C130" s="96"/>
      <c r="D130" s="96"/>
      <c r="E130" s="96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98"/>
      <c r="Q130" s="96"/>
      <c r="T130" s="98"/>
      <c r="U130" s="98"/>
    </row>
    <row r="131">
      <c r="A131" s="96"/>
      <c r="B131" s="96"/>
      <c r="C131" s="96"/>
      <c r="D131" s="96"/>
      <c r="E131" s="96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98"/>
      <c r="Q131" s="96"/>
      <c r="T131" s="98"/>
      <c r="U131" s="98"/>
    </row>
    <row r="132">
      <c r="A132" s="96"/>
      <c r="B132" s="96"/>
      <c r="C132" s="96"/>
      <c r="D132" s="96"/>
      <c r="E132" s="96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98"/>
      <c r="Q132" s="96"/>
      <c r="T132" s="98"/>
      <c r="U132" s="98"/>
    </row>
    <row r="133">
      <c r="A133" s="96"/>
      <c r="B133" s="96"/>
      <c r="C133" s="96"/>
      <c r="D133" s="96"/>
      <c r="E133" s="96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98"/>
      <c r="Q133" s="96"/>
      <c r="T133" s="98"/>
      <c r="U133" s="98"/>
    </row>
    <row r="134">
      <c r="A134" s="96"/>
      <c r="B134" s="96"/>
      <c r="C134" s="96"/>
      <c r="D134" s="96"/>
      <c r="E134" s="96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98"/>
      <c r="Q134" s="96"/>
      <c r="T134" s="98"/>
      <c r="U134" s="98"/>
    </row>
    <row r="135">
      <c r="A135" s="96"/>
      <c r="B135" s="96"/>
      <c r="C135" s="96"/>
      <c r="D135" s="96"/>
      <c r="E135" s="96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98"/>
      <c r="Q135" s="96"/>
      <c r="T135" s="98"/>
      <c r="U135" s="98"/>
    </row>
    <row r="136">
      <c r="A136" s="96"/>
      <c r="B136" s="96"/>
      <c r="C136" s="96"/>
      <c r="D136" s="96"/>
      <c r="E136" s="96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98"/>
      <c r="Q136" s="96"/>
      <c r="T136" s="98"/>
      <c r="U136" s="98"/>
    </row>
    <row r="137">
      <c r="A137" s="96"/>
      <c r="B137" s="96"/>
      <c r="C137" s="96"/>
      <c r="D137" s="96"/>
      <c r="E137" s="96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98"/>
      <c r="Q137" s="96"/>
      <c r="T137" s="98"/>
      <c r="U137" s="98"/>
    </row>
    <row r="138">
      <c r="A138" s="96"/>
      <c r="B138" s="96"/>
      <c r="C138" s="96"/>
      <c r="D138" s="96"/>
      <c r="E138" s="96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98"/>
      <c r="Q138" s="96"/>
      <c r="T138" s="98"/>
      <c r="U138" s="98"/>
    </row>
    <row r="139">
      <c r="A139" s="96"/>
      <c r="B139" s="96"/>
      <c r="C139" s="96"/>
      <c r="D139" s="96"/>
      <c r="E139" s="96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98"/>
      <c r="Q139" s="96"/>
      <c r="T139" s="98"/>
      <c r="U139" s="98"/>
    </row>
    <row r="140">
      <c r="A140" s="96"/>
      <c r="B140" s="96"/>
      <c r="C140" s="96"/>
      <c r="D140" s="96"/>
      <c r="E140" s="96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98"/>
      <c r="Q140" s="96"/>
      <c r="T140" s="98"/>
      <c r="U140" s="98"/>
    </row>
    <row r="141">
      <c r="A141" s="96"/>
      <c r="B141" s="96"/>
      <c r="C141" s="96"/>
      <c r="D141" s="96"/>
      <c r="E141" s="96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98"/>
      <c r="Q141" s="96"/>
      <c r="T141" s="98"/>
      <c r="U141" s="98"/>
    </row>
    <row r="142">
      <c r="A142" s="96"/>
      <c r="B142" s="96"/>
      <c r="C142" s="96"/>
      <c r="D142" s="96"/>
      <c r="E142" s="96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98"/>
      <c r="Q142" s="96"/>
      <c r="T142" s="98"/>
      <c r="U142" s="98"/>
    </row>
    <row r="143">
      <c r="A143" s="96"/>
      <c r="B143" s="96"/>
      <c r="C143" s="96"/>
      <c r="D143" s="96"/>
      <c r="E143" s="96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98"/>
      <c r="Q143" s="96"/>
      <c r="T143" s="98"/>
      <c r="U143" s="98"/>
    </row>
    <row r="144">
      <c r="A144" s="96"/>
      <c r="B144" s="96"/>
      <c r="C144" s="96"/>
      <c r="D144" s="96"/>
      <c r="E144" s="96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98"/>
      <c r="Q144" s="96"/>
      <c r="T144" s="98"/>
      <c r="U144" s="98"/>
    </row>
    <row r="145">
      <c r="A145" s="96"/>
      <c r="B145" s="96"/>
      <c r="C145" s="96"/>
      <c r="D145" s="96"/>
      <c r="E145" s="96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98"/>
      <c r="Q145" s="96"/>
      <c r="T145" s="98"/>
      <c r="U145" s="98"/>
    </row>
    <row r="146">
      <c r="A146" s="96"/>
      <c r="B146" s="96"/>
      <c r="C146" s="96"/>
      <c r="D146" s="96"/>
      <c r="E146" s="96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98"/>
      <c r="Q146" s="96"/>
      <c r="T146" s="98"/>
      <c r="U146" s="98"/>
    </row>
    <row r="147">
      <c r="A147" s="96"/>
      <c r="B147" s="96"/>
      <c r="C147" s="96"/>
      <c r="D147" s="96"/>
      <c r="E147" s="96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98"/>
      <c r="Q147" s="96"/>
      <c r="T147" s="98"/>
      <c r="U147" s="98"/>
    </row>
    <row r="148">
      <c r="A148" s="96"/>
      <c r="B148" s="96"/>
      <c r="C148" s="96"/>
      <c r="D148" s="96"/>
      <c r="E148" s="96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98"/>
      <c r="Q148" s="96"/>
      <c r="T148" s="98"/>
      <c r="U148" s="98"/>
    </row>
    <row r="149">
      <c r="A149" s="96"/>
      <c r="B149" s="96"/>
      <c r="C149" s="96"/>
      <c r="D149" s="96"/>
      <c r="E149" s="96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98"/>
      <c r="Q149" s="96"/>
      <c r="T149" s="98"/>
      <c r="U149" s="98"/>
    </row>
    <row r="150">
      <c r="A150" s="96"/>
      <c r="B150" s="96"/>
      <c r="C150" s="96"/>
      <c r="D150" s="96"/>
      <c r="E150" s="96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98"/>
      <c r="Q150" s="96"/>
      <c r="T150" s="98"/>
      <c r="U150" s="98"/>
    </row>
    <row r="151">
      <c r="A151" s="96"/>
      <c r="B151" s="96"/>
      <c r="C151" s="96"/>
      <c r="D151" s="96"/>
      <c r="E151" s="96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98"/>
      <c r="Q151" s="96"/>
      <c r="T151" s="98"/>
      <c r="U151" s="98"/>
    </row>
    <row r="152">
      <c r="A152" s="96"/>
      <c r="B152" s="96"/>
      <c r="C152" s="96"/>
      <c r="D152" s="96"/>
      <c r="E152" s="96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98"/>
      <c r="Q152" s="96"/>
      <c r="T152" s="98"/>
      <c r="U152" s="98"/>
    </row>
    <row r="153">
      <c r="A153" s="96"/>
      <c r="B153" s="96"/>
      <c r="C153" s="96"/>
      <c r="D153" s="96"/>
      <c r="E153" s="96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98"/>
      <c r="Q153" s="96"/>
      <c r="T153" s="98"/>
      <c r="U153" s="98"/>
    </row>
    <row r="154">
      <c r="A154" s="96"/>
      <c r="B154" s="96"/>
      <c r="C154" s="96"/>
      <c r="D154" s="96"/>
      <c r="E154" s="96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98"/>
      <c r="Q154" s="96"/>
      <c r="T154" s="98"/>
      <c r="U154" s="98"/>
    </row>
    <row r="155">
      <c r="A155" s="96"/>
      <c r="B155" s="96"/>
      <c r="C155" s="96"/>
      <c r="D155" s="96"/>
      <c r="E155" s="96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98"/>
      <c r="Q155" s="96"/>
      <c r="T155" s="98"/>
      <c r="U155" s="98"/>
    </row>
    <row r="156">
      <c r="A156" s="96"/>
      <c r="B156" s="96"/>
      <c r="C156" s="96"/>
      <c r="D156" s="96"/>
      <c r="E156" s="96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98"/>
      <c r="Q156" s="96"/>
      <c r="T156" s="98"/>
      <c r="U156" s="98"/>
    </row>
    <row r="157">
      <c r="A157" s="96"/>
      <c r="B157" s="96"/>
      <c r="C157" s="96"/>
      <c r="D157" s="96"/>
      <c r="E157" s="96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98"/>
      <c r="Q157" s="96"/>
      <c r="T157" s="98"/>
      <c r="U157" s="98"/>
    </row>
    <row r="158">
      <c r="A158" s="96"/>
      <c r="B158" s="96"/>
      <c r="C158" s="96"/>
      <c r="D158" s="96"/>
      <c r="E158" s="96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98"/>
      <c r="Q158" s="96"/>
      <c r="T158" s="98"/>
      <c r="U158" s="98"/>
    </row>
    <row r="159">
      <c r="A159" s="96"/>
      <c r="B159" s="96"/>
      <c r="C159" s="96"/>
      <c r="D159" s="96"/>
      <c r="E159" s="96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98"/>
      <c r="Q159" s="96"/>
      <c r="T159" s="98"/>
      <c r="U159" s="98"/>
    </row>
    <row r="160">
      <c r="A160" s="96"/>
      <c r="B160" s="96"/>
      <c r="C160" s="96"/>
      <c r="D160" s="96"/>
      <c r="E160" s="96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98"/>
      <c r="Q160" s="96"/>
      <c r="T160" s="98"/>
      <c r="U160" s="98"/>
    </row>
    <row r="161">
      <c r="A161" s="96"/>
      <c r="B161" s="96"/>
      <c r="C161" s="96"/>
      <c r="D161" s="96"/>
      <c r="E161" s="96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98"/>
      <c r="Q161" s="96"/>
      <c r="T161" s="98"/>
      <c r="U161" s="98"/>
    </row>
    <row r="162">
      <c r="A162" s="96"/>
      <c r="B162" s="96"/>
      <c r="C162" s="96"/>
      <c r="D162" s="96"/>
      <c r="E162" s="96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98"/>
      <c r="Q162" s="96"/>
      <c r="T162" s="98"/>
      <c r="U162" s="98"/>
    </row>
    <row r="163">
      <c r="A163" s="96"/>
      <c r="B163" s="96"/>
      <c r="C163" s="96"/>
      <c r="D163" s="96"/>
      <c r="E163" s="96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98"/>
      <c r="Q163" s="96"/>
      <c r="T163" s="98"/>
      <c r="U163" s="98"/>
    </row>
    <row r="164">
      <c r="A164" s="96"/>
      <c r="B164" s="96"/>
      <c r="C164" s="96"/>
      <c r="D164" s="96"/>
      <c r="E164" s="96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98"/>
      <c r="Q164" s="96"/>
      <c r="T164" s="98"/>
      <c r="U164" s="98"/>
    </row>
    <row r="165">
      <c r="A165" s="96"/>
      <c r="B165" s="96"/>
      <c r="C165" s="96"/>
      <c r="D165" s="96"/>
      <c r="E165" s="96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98"/>
      <c r="Q165" s="96"/>
      <c r="T165" s="98"/>
      <c r="U165" s="98"/>
    </row>
    <row r="166">
      <c r="A166" s="96"/>
      <c r="B166" s="96"/>
      <c r="C166" s="96"/>
      <c r="D166" s="96"/>
      <c r="E166" s="96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98"/>
      <c r="Q166" s="96"/>
      <c r="T166" s="98"/>
      <c r="U166" s="98"/>
    </row>
    <row r="167">
      <c r="A167" s="96"/>
      <c r="B167" s="96"/>
      <c r="C167" s="96"/>
      <c r="D167" s="96"/>
      <c r="E167" s="96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98"/>
      <c r="Q167" s="96"/>
      <c r="T167" s="98"/>
      <c r="U167" s="98"/>
    </row>
    <row r="168">
      <c r="A168" s="96"/>
      <c r="B168" s="96"/>
      <c r="C168" s="96"/>
      <c r="D168" s="96"/>
      <c r="E168" s="96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98"/>
      <c r="Q168" s="96"/>
      <c r="T168" s="98"/>
      <c r="U168" s="98"/>
    </row>
    <row r="169">
      <c r="A169" s="96"/>
      <c r="B169" s="96"/>
      <c r="C169" s="96"/>
      <c r="D169" s="96"/>
      <c r="E169" s="96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98"/>
      <c r="Q169" s="96"/>
      <c r="T169" s="98"/>
      <c r="U169" s="98"/>
    </row>
    <row r="170">
      <c r="A170" s="96"/>
      <c r="B170" s="96"/>
      <c r="C170" s="96"/>
      <c r="D170" s="96"/>
      <c r="E170" s="96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98"/>
      <c r="Q170" s="96"/>
      <c r="T170" s="98"/>
      <c r="U170" s="98"/>
    </row>
    <row r="171">
      <c r="A171" s="96"/>
      <c r="B171" s="96"/>
      <c r="C171" s="96"/>
      <c r="D171" s="96"/>
      <c r="E171" s="96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98"/>
      <c r="Q171" s="96"/>
      <c r="T171" s="98"/>
      <c r="U171" s="98"/>
    </row>
    <row r="172">
      <c r="A172" s="96"/>
      <c r="B172" s="96"/>
      <c r="C172" s="96"/>
      <c r="D172" s="96"/>
      <c r="E172" s="96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98"/>
      <c r="Q172" s="96"/>
      <c r="T172" s="98"/>
      <c r="U172" s="98"/>
    </row>
    <row r="173">
      <c r="A173" s="96"/>
      <c r="B173" s="96"/>
      <c r="C173" s="96"/>
      <c r="D173" s="96"/>
      <c r="E173" s="96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98"/>
      <c r="Q173" s="96"/>
      <c r="T173" s="98"/>
      <c r="U173" s="98"/>
    </row>
    <row r="174">
      <c r="A174" s="96"/>
      <c r="B174" s="96"/>
      <c r="C174" s="96"/>
      <c r="D174" s="96"/>
      <c r="E174" s="96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98"/>
      <c r="Q174" s="96"/>
      <c r="T174" s="98"/>
      <c r="U174" s="98"/>
    </row>
    <row r="175">
      <c r="A175" s="96"/>
      <c r="B175" s="96"/>
      <c r="C175" s="96"/>
      <c r="D175" s="96"/>
      <c r="E175" s="96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98"/>
      <c r="Q175" s="96"/>
      <c r="T175" s="98"/>
      <c r="U175" s="98"/>
    </row>
    <row r="176">
      <c r="A176" s="96"/>
      <c r="B176" s="96"/>
      <c r="C176" s="96"/>
      <c r="D176" s="96"/>
      <c r="E176" s="96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98"/>
      <c r="Q176" s="96"/>
      <c r="T176" s="98"/>
      <c r="U176" s="98"/>
    </row>
    <row r="177">
      <c r="A177" s="96"/>
      <c r="B177" s="96"/>
      <c r="C177" s="96"/>
      <c r="D177" s="96"/>
      <c r="E177" s="96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98"/>
      <c r="Q177" s="96"/>
      <c r="T177" s="98"/>
      <c r="U177" s="98"/>
    </row>
    <row r="178">
      <c r="A178" s="96"/>
      <c r="B178" s="96"/>
      <c r="C178" s="96"/>
      <c r="D178" s="96"/>
      <c r="E178" s="96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98"/>
      <c r="Q178" s="96"/>
      <c r="T178" s="98"/>
      <c r="U178" s="98"/>
    </row>
    <row r="179">
      <c r="A179" s="96"/>
      <c r="B179" s="96"/>
      <c r="C179" s="96"/>
      <c r="D179" s="96"/>
      <c r="E179" s="96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98"/>
      <c r="Q179" s="96"/>
      <c r="T179" s="98"/>
      <c r="U179" s="98"/>
    </row>
    <row r="180">
      <c r="A180" s="96"/>
      <c r="B180" s="96"/>
      <c r="C180" s="96"/>
      <c r="D180" s="96"/>
      <c r="E180" s="96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98"/>
      <c r="Q180" s="96"/>
      <c r="T180" s="98"/>
      <c r="U180" s="98"/>
    </row>
    <row r="181">
      <c r="A181" s="96"/>
      <c r="B181" s="96"/>
      <c r="C181" s="96"/>
      <c r="D181" s="96"/>
      <c r="E181" s="96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98"/>
      <c r="Q181" s="96"/>
      <c r="T181" s="98"/>
      <c r="U181" s="98"/>
    </row>
    <row r="182">
      <c r="A182" s="96"/>
      <c r="B182" s="96"/>
      <c r="C182" s="96"/>
      <c r="D182" s="96"/>
      <c r="E182" s="96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98"/>
      <c r="Q182" s="96"/>
      <c r="T182" s="98"/>
      <c r="U182" s="98"/>
    </row>
    <row r="183">
      <c r="A183" s="96"/>
      <c r="B183" s="96"/>
      <c r="C183" s="96"/>
      <c r="D183" s="96"/>
      <c r="E183" s="96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98"/>
      <c r="Q183" s="96"/>
      <c r="T183" s="98"/>
      <c r="U183" s="98"/>
    </row>
    <row r="184">
      <c r="A184" s="96"/>
      <c r="B184" s="96"/>
      <c r="C184" s="96"/>
      <c r="D184" s="96"/>
      <c r="E184" s="96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98"/>
      <c r="Q184" s="96"/>
      <c r="T184" s="98"/>
      <c r="U184" s="98"/>
    </row>
    <row r="185">
      <c r="A185" s="96"/>
      <c r="B185" s="96"/>
      <c r="C185" s="96"/>
      <c r="D185" s="96"/>
      <c r="E185" s="96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98"/>
      <c r="Q185" s="96"/>
      <c r="T185" s="98"/>
      <c r="U185" s="98"/>
    </row>
    <row r="186">
      <c r="A186" s="96"/>
      <c r="B186" s="96"/>
      <c r="C186" s="96"/>
      <c r="D186" s="96"/>
      <c r="E186" s="96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98"/>
      <c r="Q186" s="96"/>
      <c r="T186" s="98"/>
      <c r="U186" s="98"/>
    </row>
    <row r="187">
      <c r="A187" s="96"/>
      <c r="B187" s="96"/>
      <c r="C187" s="96"/>
      <c r="D187" s="96"/>
      <c r="E187" s="96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98"/>
      <c r="Q187" s="96"/>
      <c r="T187" s="98"/>
      <c r="U187" s="98"/>
    </row>
    <row r="188">
      <c r="A188" s="96"/>
      <c r="B188" s="96"/>
      <c r="C188" s="96"/>
      <c r="D188" s="96"/>
      <c r="E188" s="96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98"/>
      <c r="Q188" s="96"/>
      <c r="T188" s="98"/>
      <c r="U188" s="98"/>
    </row>
    <row r="189">
      <c r="A189" s="96"/>
      <c r="B189" s="96"/>
      <c r="C189" s="96"/>
      <c r="D189" s="96"/>
      <c r="E189" s="96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98"/>
      <c r="Q189" s="96"/>
      <c r="T189" s="98"/>
      <c r="U189" s="98"/>
    </row>
    <row r="190">
      <c r="A190" s="96"/>
      <c r="B190" s="96"/>
      <c r="C190" s="96"/>
      <c r="D190" s="96"/>
      <c r="E190" s="96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98"/>
      <c r="Q190" s="96"/>
      <c r="T190" s="98"/>
      <c r="U190" s="98"/>
    </row>
    <row r="191">
      <c r="A191" s="96"/>
      <c r="B191" s="96"/>
      <c r="C191" s="96"/>
      <c r="D191" s="96"/>
      <c r="E191" s="96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98"/>
      <c r="Q191" s="96"/>
      <c r="T191" s="98"/>
      <c r="U191" s="98"/>
    </row>
    <row r="192">
      <c r="A192" s="96"/>
      <c r="B192" s="96"/>
      <c r="C192" s="96"/>
      <c r="D192" s="96"/>
      <c r="E192" s="96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98"/>
      <c r="Q192" s="96"/>
      <c r="T192" s="98"/>
      <c r="U192" s="98"/>
    </row>
    <row r="193">
      <c r="A193" s="96"/>
      <c r="B193" s="96"/>
      <c r="C193" s="96"/>
      <c r="D193" s="96"/>
      <c r="E193" s="96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98"/>
      <c r="Q193" s="96"/>
      <c r="T193" s="98"/>
      <c r="U193" s="98"/>
    </row>
    <row r="194">
      <c r="A194" s="96"/>
      <c r="B194" s="96"/>
      <c r="C194" s="96"/>
      <c r="D194" s="96"/>
      <c r="E194" s="96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98"/>
      <c r="Q194" s="96"/>
      <c r="T194" s="98"/>
      <c r="U194" s="98"/>
    </row>
    <row r="195">
      <c r="A195" s="96"/>
      <c r="B195" s="96"/>
      <c r="C195" s="96"/>
      <c r="D195" s="96"/>
      <c r="E195" s="96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98"/>
      <c r="Q195" s="96"/>
      <c r="T195" s="98"/>
      <c r="U195" s="98"/>
    </row>
    <row r="196">
      <c r="A196" s="96"/>
      <c r="B196" s="96"/>
      <c r="C196" s="96"/>
      <c r="D196" s="96"/>
      <c r="E196" s="96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98"/>
      <c r="Q196" s="96"/>
      <c r="T196" s="98"/>
      <c r="U196" s="98"/>
    </row>
    <row r="197">
      <c r="A197" s="96"/>
      <c r="B197" s="96"/>
      <c r="C197" s="96"/>
      <c r="D197" s="96"/>
      <c r="E197" s="96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98"/>
      <c r="Q197" s="96"/>
      <c r="T197" s="98"/>
      <c r="U197" s="98"/>
    </row>
    <row r="198">
      <c r="A198" s="96"/>
      <c r="B198" s="96"/>
      <c r="C198" s="96"/>
      <c r="D198" s="96"/>
      <c r="E198" s="96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98"/>
      <c r="Q198" s="96"/>
      <c r="T198" s="98"/>
      <c r="U198" s="98"/>
    </row>
    <row r="199">
      <c r="A199" s="96"/>
      <c r="B199" s="96"/>
      <c r="C199" s="96"/>
      <c r="D199" s="96"/>
      <c r="E199" s="96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98"/>
      <c r="Q199" s="96"/>
      <c r="T199" s="98"/>
      <c r="U199" s="98"/>
    </row>
    <row r="200">
      <c r="A200" s="96"/>
      <c r="B200" s="96"/>
      <c r="C200" s="96"/>
      <c r="D200" s="96"/>
      <c r="E200" s="96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98"/>
      <c r="Q200" s="96"/>
      <c r="T200" s="98"/>
      <c r="U200" s="98"/>
    </row>
    <row r="201">
      <c r="A201" s="96"/>
      <c r="B201" s="96"/>
      <c r="C201" s="96"/>
      <c r="D201" s="96"/>
      <c r="E201" s="96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98"/>
      <c r="Q201" s="96"/>
      <c r="T201" s="98"/>
      <c r="U201" s="98"/>
    </row>
    <row r="202">
      <c r="A202" s="96"/>
      <c r="B202" s="96"/>
      <c r="C202" s="96"/>
      <c r="D202" s="96"/>
      <c r="E202" s="96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98"/>
      <c r="Q202" s="96"/>
      <c r="T202" s="98"/>
      <c r="U202" s="98"/>
    </row>
    <row r="203">
      <c r="A203" s="96"/>
      <c r="B203" s="96"/>
      <c r="C203" s="96"/>
      <c r="D203" s="96"/>
      <c r="E203" s="96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98"/>
      <c r="Q203" s="96"/>
      <c r="T203" s="98"/>
      <c r="U203" s="98"/>
    </row>
    <row r="204">
      <c r="A204" s="96"/>
      <c r="B204" s="96"/>
      <c r="C204" s="96"/>
      <c r="D204" s="96"/>
      <c r="E204" s="96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98"/>
      <c r="Q204" s="96"/>
      <c r="T204" s="98"/>
      <c r="U204" s="98"/>
    </row>
    <row r="205">
      <c r="A205" s="96"/>
      <c r="B205" s="96"/>
      <c r="C205" s="96"/>
      <c r="D205" s="96"/>
      <c r="E205" s="96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98"/>
      <c r="Q205" s="96"/>
      <c r="T205" s="98"/>
      <c r="U205" s="98"/>
    </row>
    <row r="206">
      <c r="A206" s="96"/>
      <c r="B206" s="96"/>
      <c r="C206" s="96"/>
      <c r="D206" s="96"/>
      <c r="E206" s="96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98"/>
      <c r="Q206" s="96"/>
      <c r="T206" s="98"/>
      <c r="U206" s="98"/>
    </row>
    <row r="207">
      <c r="A207" s="96"/>
      <c r="B207" s="96"/>
      <c r="C207" s="96"/>
      <c r="D207" s="96"/>
      <c r="E207" s="96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98"/>
      <c r="Q207" s="96"/>
      <c r="T207" s="98"/>
      <c r="U207" s="98"/>
    </row>
    <row r="208">
      <c r="A208" s="96"/>
      <c r="B208" s="96"/>
      <c r="C208" s="96"/>
      <c r="D208" s="96"/>
      <c r="E208" s="96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98"/>
      <c r="Q208" s="96"/>
      <c r="T208" s="98"/>
      <c r="U208" s="98"/>
    </row>
    <row r="209">
      <c r="A209" s="96"/>
      <c r="B209" s="96"/>
      <c r="C209" s="96"/>
      <c r="D209" s="96"/>
      <c r="E209" s="96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98"/>
      <c r="Q209" s="96"/>
      <c r="T209" s="98"/>
      <c r="U209" s="98"/>
    </row>
    <row r="210">
      <c r="A210" s="96"/>
      <c r="B210" s="96"/>
      <c r="C210" s="96"/>
      <c r="D210" s="96"/>
      <c r="E210" s="96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98"/>
      <c r="Q210" s="96"/>
      <c r="T210" s="98"/>
      <c r="U210" s="98"/>
    </row>
    <row r="211">
      <c r="A211" s="96"/>
      <c r="B211" s="96"/>
      <c r="C211" s="96"/>
      <c r="D211" s="96"/>
      <c r="E211" s="96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98"/>
      <c r="Q211" s="96"/>
      <c r="T211" s="98"/>
      <c r="U211" s="98"/>
    </row>
    <row r="212">
      <c r="A212" s="96"/>
      <c r="B212" s="96"/>
      <c r="C212" s="96"/>
      <c r="D212" s="96"/>
      <c r="E212" s="96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98"/>
      <c r="Q212" s="96"/>
      <c r="T212" s="98"/>
      <c r="U212" s="98"/>
    </row>
    <row r="213">
      <c r="A213" s="96"/>
      <c r="B213" s="96"/>
      <c r="C213" s="96"/>
      <c r="D213" s="96"/>
      <c r="E213" s="96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98"/>
      <c r="Q213" s="96"/>
      <c r="T213" s="98"/>
      <c r="U213" s="98"/>
    </row>
    <row r="214">
      <c r="A214" s="96"/>
      <c r="B214" s="96"/>
      <c r="C214" s="96"/>
      <c r="D214" s="96"/>
      <c r="E214" s="96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98"/>
      <c r="Q214" s="96"/>
      <c r="T214" s="98"/>
      <c r="U214" s="98"/>
    </row>
    <row r="215">
      <c r="A215" s="96"/>
      <c r="B215" s="96"/>
      <c r="C215" s="96"/>
      <c r="D215" s="96"/>
      <c r="E215" s="96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98"/>
      <c r="Q215" s="96"/>
      <c r="T215" s="98"/>
      <c r="U215" s="98"/>
    </row>
    <row r="216">
      <c r="A216" s="96"/>
      <c r="B216" s="96"/>
      <c r="C216" s="96"/>
      <c r="D216" s="96"/>
      <c r="E216" s="96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98"/>
      <c r="Q216" s="96"/>
      <c r="T216" s="98"/>
      <c r="U216" s="98"/>
    </row>
    <row r="217">
      <c r="A217" s="96"/>
      <c r="B217" s="96"/>
      <c r="C217" s="96"/>
      <c r="D217" s="96"/>
      <c r="E217" s="96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98"/>
      <c r="Q217" s="96"/>
      <c r="T217" s="98"/>
      <c r="U217" s="98"/>
    </row>
    <row r="218">
      <c r="A218" s="96"/>
      <c r="B218" s="96"/>
      <c r="C218" s="96"/>
      <c r="D218" s="96"/>
      <c r="E218" s="96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98"/>
      <c r="Q218" s="96"/>
      <c r="T218" s="98"/>
      <c r="U218" s="98"/>
    </row>
    <row r="219">
      <c r="A219" s="96"/>
      <c r="B219" s="96"/>
      <c r="C219" s="96"/>
      <c r="D219" s="96"/>
      <c r="E219" s="96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98"/>
      <c r="Q219" s="96"/>
      <c r="T219" s="98"/>
      <c r="U219" s="98"/>
    </row>
    <row r="220">
      <c r="A220" s="96"/>
      <c r="B220" s="96"/>
      <c r="C220" s="96"/>
      <c r="D220" s="96"/>
      <c r="E220" s="96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98"/>
      <c r="Q220" s="96"/>
      <c r="T220" s="98"/>
      <c r="U220" s="98"/>
    </row>
    <row r="221">
      <c r="A221" s="96"/>
      <c r="B221" s="96"/>
      <c r="C221" s="96"/>
      <c r="D221" s="96"/>
      <c r="E221" s="96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98"/>
      <c r="Q221" s="96"/>
      <c r="T221" s="98"/>
      <c r="U221" s="98"/>
    </row>
    <row r="222">
      <c r="A222" s="96"/>
      <c r="B222" s="96"/>
      <c r="C222" s="96"/>
      <c r="D222" s="96"/>
      <c r="E222" s="96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98"/>
      <c r="Q222" s="96"/>
      <c r="T222" s="98"/>
      <c r="U222" s="98"/>
    </row>
    <row r="223">
      <c r="A223" s="96"/>
      <c r="B223" s="96"/>
      <c r="C223" s="96"/>
      <c r="D223" s="96"/>
      <c r="E223" s="96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98"/>
      <c r="Q223" s="96"/>
      <c r="T223" s="98"/>
      <c r="U223" s="98"/>
    </row>
    <row r="224">
      <c r="A224" s="96"/>
      <c r="B224" s="96"/>
      <c r="C224" s="96"/>
      <c r="D224" s="96"/>
      <c r="E224" s="96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98"/>
      <c r="Q224" s="96"/>
      <c r="T224" s="98"/>
      <c r="U224" s="98"/>
    </row>
    <row r="225">
      <c r="A225" s="96"/>
      <c r="B225" s="96"/>
      <c r="C225" s="96"/>
      <c r="D225" s="96"/>
      <c r="E225" s="96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98"/>
      <c r="Q225" s="96"/>
      <c r="T225" s="98"/>
      <c r="U225" s="98"/>
    </row>
    <row r="226">
      <c r="A226" s="96"/>
      <c r="B226" s="96"/>
      <c r="C226" s="96"/>
      <c r="D226" s="96"/>
      <c r="E226" s="96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98"/>
      <c r="Q226" s="96"/>
      <c r="T226" s="98"/>
      <c r="U226" s="98"/>
    </row>
    <row r="227">
      <c r="A227" s="96"/>
      <c r="B227" s="96"/>
      <c r="C227" s="96"/>
      <c r="D227" s="96"/>
      <c r="E227" s="96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98"/>
      <c r="Q227" s="96"/>
      <c r="T227" s="98"/>
      <c r="U227" s="98"/>
    </row>
    <row r="228">
      <c r="A228" s="96"/>
      <c r="B228" s="96"/>
      <c r="C228" s="96"/>
      <c r="D228" s="96"/>
      <c r="E228" s="96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98"/>
      <c r="Q228" s="96"/>
      <c r="T228" s="98"/>
      <c r="U228" s="98"/>
    </row>
    <row r="229">
      <c r="A229" s="96"/>
      <c r="B229" s="96"/>
      <c r="C229" s="96"/>
      <c r="D229" s="96"/>
      <c r="E229" s="96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98"/>
      <c r="Q229" s="96"/>
      <c r="T229" s="98"/>
      <c r="U229" s="98"/>
    </row>
    <row r="230">
      <c r="A230" s="96"/>
      <c r="B230" s="96"/>
      <c r="C230" s="96"/>
      <c r="D230" s="96"/>
      <c r="E230" s="96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98"/>
      <c r="Q230" s="96"/>
      <c r="T230" s="98"/>
      <c r="U230" s="98"/>
    </row>
    <row r="231">
      <c r="A231" s="96"/>
      <c r="B231" s="96"/>
      <c r="C231" s="96"/>
      <c r="D231" s="96"/>
      <c r="E231" s="96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98"/>
      <c r="Q231" s="96"/>
      <c r="T231" s="98"/>
      <c r="U231" s="98"/>
    </row>
    <row r="232">
      <c r="A232" s="96"/>
      <c r="B232" s="96"/>
      <c r="C232" s="96"/>
      <c r="D232" s="96"/>
      <c r="E232" s="96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98"/>
      <c r="Q232" s="96"/>
      <c r="T232" s="98"/>
      <c r="U232" s="98"/>
    </row>
    <row r="233">
      <c r="A233" s="96"/>
      <c r="B233" s="96"/>
      <c r="C233" s="96"/>
      <c r="D233" s="96"/>
      <c r="E233" s="96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98"/>
      <c r="Q233" s="96"/>
      <c r="T233" s="98"/>
      <c r="U233" s="98"/>
    </row>
    <row r="234">
      <c r="A234" s="96"/>
      <c r="B234" s="96"/>
      <c r="C234" s="96"/>
      <c r="D234" s="96"/>
      <c r="E234" s="96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98"/>
      <c r="Q234" s="96"/>
      <c r="T234" s="98"/>
      <c r="U234" s="98"/>
    </row>
    <row r="235">
      <c r="A235" s="96"/>
      <c r="B235" s="96"/>
      <c r="C235" s="96"/>
      <c r="D235" s="96"/>
      <c r="E235" s="96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98"/>
      <c r="Q235" s="96"/>
      <c r="T235" s="98"/>
      <c r="U235" s="98"/>
    </row>
    <row r="236">
      <c r="A236" s="96"/>
      <c r="B236" s="96"/>
      <c r="C236" s="96"/>
      <c r="D236" s="96"/>
      <c r="E236" s="96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98"/>
      <c r="Q236" s="96"/>
      <c r="T236" s="98"/>
      <c r="U236" s="98"/>
    </row>
    <row r="237">
      <c r="A237" s="96"/>
      <c r="B237" s="96"/>
      <c r="C237" s="96"/>
      <c r="D237" s="96"/>
      <c r="E237" s="96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98"/>
      <c r="Q237" s="96"/>
      <c r="T237" s="98"/>
      <c r="U237" s="98"/>
    </row>
    <row r="238">
      <c r="A238" s="96"/>
      <c r="B238" s="96"/>
      <c r="C238" s="96"/>
      <c r="D238" s="96"/>
      <c r="E238" s="96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98"/>
      <c r="Q238" s="96"/>
      <c r="T238" s="98"/>
      <c r="U238" s="98"/>
    </row>
    <row r="239">
      <c r="A239" s="96"/>
      <c r="B239" s="96"/>
      <c r="C239" s="96"/>
      <c r="D239" s="96"/>
      <c r="E239" s="96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98"/>
      <c r="Q239" s="96"/>
      <c r="T239" s="98"/>
      <c r="U239" s="98"/>
    </row>
    <row r="240">
      <c r="A240" s="96"/>
      <c r="B240" s="96"/>
      <c r="C240" s="96"/>
      <c r="D240" s="96"/>
      <c r="E240" s="96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98"/>
      <c r="Q240" s="96"/>
      <c r="T240" s="98"/>
      <c r="U240" s="98"/>
    </row>
    <row r="241">
      <c r="A241" s="96"/>
      <c r="B241" s="96"/>
      <c r="C241" s="96"/>
      <c r="D241" s="96"/>
      <c r="E241" s="96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98"/>
      <c r="Q241" s="96"/>
      <c r="T241" s="98"/>
      <c r="U241" s="98"/>
    </row>
    <row r="242">
      <c r="A242" s="96"/>
      <c r="B242" s="96"/>
      <c r="C242" s="96"/>
      <c r="D242" s="96"/>
      <c r="E242" s="96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98"/>
      <c r="Q242" s="96"/>
      <c r="T242" s="98"/>
      <c r="U242" s="98"/>
    </row>
    <row r="243">
      <c r="A243" s="96"/>
      <c r="B243" s="96"/>
      <c r="C243" s="96"/>
      <c r="D243" s="96"/>
      <c r="E243" s="96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98"/>
      <c r="Q243" s="96"/>
      <c r="T243" s="98"/>
      <c r="U243" s="98"/>
    </row>
    <row r="244">
      <c r="A244" s="96"/>
      <c r="B244" s="96"/>
      <c r="C244" s="96"/>
      <c r="D244" s="96"/>
      <c r="E244" s="96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98"/>
      <c r="Q244" s="96"/>
      <c r="T244" s="98"/>
      <c r="U244" s="98"/>
    </row>
    <row r="245">
      <c r="A245" s="96"/>
      <c r="B245" s="96"/>
      <c r="C245" s="96"/>
      <c r="D245" s="96"/>
      <c r="E245" s="96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98"/>
      <c r="Q245" s="96"/>
      <c r="T245" s="98"/>
      <c r="U245" s="98"/>
    </row>
    <row r="246">
      <c r="A246" s="96"/>
      <c r="B246" s="96"/>
      <c r="C246" s="96"/>
      <c r="D246" s="96"/>
      <c r="E246" s="96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98"/>
      <c r="Q246" s="96"/>
      <c r="T246" s="98"/>
      <c r="U246" s="98"/>
    </row>
    <row r="247">
      <c r="A247" s="96"/>
      <c r="B247" s="96"/>
      <c r="C247" s="96"/>
      <c r="D247" s="96"/>
      <c r="E247" s="96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98"/>
      <c r="Q247" s="96"/>
      <c r="T247" s="98"/>
      <c r="U247" s="98"/>
    </row>
    <row r="248">
      <c r="A248" s="96"/>
      <c r="B248" s="96"/>
      <c r="C248" s="96"/>
      <c r="D248" s="96"/>
      <c r="E248" s="96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98"/>
      <c r="Q248" s="96"/>
      <c r="T248" s="98"/>
      <c r="U248" s="98"/>
    </row>
    <row r="249">
      <c r="A249" s="96"/>
      <c r="B249" s="96"/>
      <c r="C249" s="96"/>
      <c r="D249" s="96"/>
      <c r="E249" s="96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98"/>
      <c r="Q249" s="96"/>
      <c r="T249" s="98"/>
      <c r="U249" s="98"/>
    </row>
    <row r="250">
      <c r="A250" s="96"/>
      <c r="B250" s="96"/>
      <c r="C250" s="96"/>
      <c r="D250" s="96"/>
      <c r="E250" s="96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98"/>
      <c r="Q250" s="96"/>
      <c r="T250" s="98"/>
      <c r="U250" s="98"/>
    </row>
    <row r="251">
      <c r="A251" s="96"/>
      <c r="B251" s="96"/>
      <c r="C251" s="96"/>
      <c r="D251" s="96"/>
      <c r="E251" s="96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98"/>
      <c r="Q251" s="96"/>
      <c r="T251" s="98"/>
      <c r="U251" s="98"/>
    </row>
    <row r="252">
      <c r="A252" s="96"/>
      <c r="B252" s="96"/>
      <c r="C252" s="96"/>
      <c r="D252" s="96"/>
      <c r="E252" s="96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98"/>
      <c r="Q252" s="96"/>
      <c r="T252" s="98"/>
      <c r="U252" s="98"/>
    </row>
    <row r="253">
      <c r="A253" s="96"/>
      <c r="B253" s="96"/>
      <c r="C253" s="96"/>
      <c r="D253" s="96"/>
      <c r="E253" s="96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98"/>
      <c r="Q253" s="96"/>
      <c r="T253" s="98"/>
      <c r="U253" s="98"/>
    </row>
    <row r="254">
      <c r="A254" s="96"/>
      <c r="B254" s="96"/>
      <c r="C254" s="96"/>
      <c r="D254" s="96"/>
      <c r="E254" s="96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98"/>
      <c r="Q254" s="96"/>
      <c r="T254" s="98"/>
      <c r="U254" s="98"/>
    </row>
    <row r="255">
      <c r="A255" s="96"/>
      <c r="B255" s="96"/>
      <c r="C255" s="96"/>
      <c r="D255" s="96"/>
      <c r="E255" s="96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98"/>
      <c r="Q255" s="96"/>
      <c r="T255" s="98"/>
      <c r="U255" s="98"/>
    </row>
    <row r="256">
      <c r="A256" s="96"/>
      <c r="B256" s="96"/>
      <c r="C256" s="96"/>
      <c r="D256" s="96"/>
      <c r="E256" s="96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98"/>
      <c r="Q256" s="96"/>
      <c r="T256" s="98"/>
      <c r="U256" s="98"/>
    </row>
    <row r="257">
      <c r="A257" s="96"/>
      <c r="B257" s="96"/>
      <c r="C257" s="96"/>
      <c r="D257" s="96"/>
      <c r="E257" s="96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98"/>
      <c r="Q257" s="96"/>
      <c r="T257" s="98"/>
      <c r="U257" s="98"/>
    </row>
    <row r="258">
      <c r="A258" s="96"/>
      <c r="B258" s="96"/>
      <c r="C258" s="96"/>
      <c r="D258" s="96"/>
      <c r="E258" s="96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98"/>
      <c r="Q258" s="96"/>
      <c r="T258" s="98"/>
      <c r="U258" s="98"/>
    </row>
    <row r="259">
      <c r="A259" s="96"/>
      <c r="B259" s="96"/>
      <c r="C259" s="96"/>
      <c r="D259" s="96"/>
      <c r="E259" s="96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98"/>
      <c r="Q259" s="96"/>
      <c r="T259" s="98"/>
      <c r="U259" s="98"/>
    </row>
    <row r="260">
      <c r="A260" s="96"/>
      <c r="B260" s="96"/>
      <c r="C260" s="96"/>
      <c r="D260" s="96"/>
      <c r="E260" s="96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98"/>
      <c r="Q260" s="96"/>
      <c r="T260" s="98"/>
      <c r="U260" s="98"/>
    </row>
    <row r="261">
      <c r="A261" s="96"/>
      <c r="B261" s="96"/>
      <c r="C261" s="96"/>
      <c r="D261" s="96"/>
      <c r="E261" s="96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98"/>
      <c r="Q261" s="96"/>
      <c r="T261" s="98"/>
      <c r="U261" s="98"/>
    </row>
    <row r="262">
      <c r="A262" s="96"/>
      <c r="B262" s="96"/>
      <c r="C262" s="96"/>
      <c r="D262" s="96"/>
      <c r="E262" s="96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98"/>
      <c r="Q262" s="96"/>
      <c r="T262" s="98"/>
      <c r="U262" s="98"/>
    </row>
    <row r="263">
      <c r="A263" s="96"/>
      <c r="B263" s="96"/>
      <c r="C263" s="96"/>
      <c r="D263" s="96"/>
      <c r="E263" s="96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98"/>
      <c r="Q263" s="96"/>
      <c r="T263" s="98"/>
      <c r="U263" s="98"/>
    </row>
    <row r="264">
      <c r="A264" s="96"/>
      <c r="B264" s="96"/>
      <c r="C264" s="96"/>
      <c r="D264" s="96"/>
      <c r="E264" s="96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98"/>
      <c r="Q264" s="96"/>
      <c r="T264" s="98"/>
      <c r="U264" s="98"/>
    </row>
    <row r="265">
      <c r="A265" s="96"/>
      <c r="B265" s="96"/>
      <c r="C265" s="96"/>
      <c r="D265" s="96"/>
      <c r="E265" s="96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98"/>
      <c r="Q265" s="96"/>
      <c r="T265" s="98"/>
      <c r="U265" s="98"/>
    </row>
    <row r="266">
      <c r="A266" s="96"/>
      <c r="B266" s="96"/>
      <c r="C266" s="96"/>
      <c r="D266" s="96"/>
      <c r="E266" s="96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98"/>
      <c r="Q266" s="96"/>
      <c r="T266" s="98"/>
      <c r="U266" s="98"/>
    </row>
    <row r="267">
      <c r="A267" s="96"/>
      <c r="B267" s="96"/>
      <c r="C267" s="96"/>
      <c r="D267" s="96"/>
      <c r="E267" s="96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98"/>
      <c r="Q267" s="96"/>
      <c r="T267" s="98"/>
      <c r="U267" s="98"/>
    </row>
    <row r="268">
      <c r="A268" s="96"/>
      <c r="B268" s="96"/>
      <c r="C268" s="96"/>
      <c r="D268" s="96"/>
      <c r="E268" s="96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98"/>
      <c r="Q268" s="96"/>
      <c r="T268" s="98"/>
      <c r="U268" s="98"/>
    </row>
    <row r="269">
      <c r="A269" s="96"/>
      <c r="B269" s="96"/>
      <c r="C269" s="96"/>
      <c r="D269" s="96"/>
      <c r="E269" s="96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98"/>
      <c r="Q269" s="96"/>
      <c r="T269" s="98"/>
      <c r="U269" s="98"/>
    </row>
    <row r="270">
      <c r="A270" s="96"/>
      <c r="B270" s="96"/>
      <c r="C270" s="96"/>
      <c r="D270" s="96"/>
      <c r="E270" s="96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98"/>
      <c r="Q270" s="96"/>
      <c r="T270" s="98"/>
      <c r="U270" s="98"/>
    </row>
    <row r="271">
      <c r="A271" s="96"/>
      <c r="B271" s="96"/>
      <c r="C271" s="96"/>
      <c r="D271" s="96"/>
      <c r="E271" s="96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98"/>
      <c r="Q271" s="96"/>
      <c r="T271" s="98"/>
      <c r="U271" s="98"/>
    </row>
    <row r="272">
      <c r="A272" s="96"/>
      <c r="B272" s="96"/>
      <c r="C272" s="96"/>
      <c r="D272" s="96"/>
      <c r="E272" s="96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98"/>
      <c r="Q272" s="96"/>
      <c r="T272" s="98"/>
      <c r="U272" s="98"/>
    </row>
    <row r="273">
      <c r="A273" s="96"/>
      <c r="B273" s="96"/>
      <c r="C273" s="96"/>
      <c r="D273" s="96"/>
      <c r="E273" s="96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98"/>
      <c r="Q273" s="96"/>
      <c r="T273" s="98"/>
      <c r="U273" s="98"/>
    </row>
    <row r="274">
      <c r="A274" s="96"/>
      <c r="B274" s="96"/>
      <c r="C274" s="96"/>
      <c r="D274" s="96"/>
      <c r="E274" s="96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98"/>
      <c r="Q274" s="96"/>
      <c r="T274" s="98"/>
      <c r="U274" s="98"/>
    </row>
    <row r="275">
      <c r="A275" s="96"/>
      <c r="B275" s="96"/>
      <c r="C275" s="96"/>
      <c r="D275" s="96"/>
      <c r="E275" s="96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98"/>
      <c r="Q275" s="96"/>
      <c r="T275" s="98"/>
      <c r="U275" s="98"/>
    </row>
    <row r="276">
      <c r="A276" s="96"/>
      <c r="B276" s="96"/>
      <c r="C276" s="96"/>
      <c r="D276" s="96"/>
      <c r="E276" s="96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98"/>
      <c r="Q276" s="96"/>
      <c r="T276" s="98"/>
      <c r="U276" s="98"/>
    </row>
    <row r="277">
      <c r="A277" s="96"/>
      <c r="B277" s="96"/>
      <c r="C277" s="96"/>
      <c r="D277" s="96"/>
      <c r="E277" s="96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98"/>
      <c r="Q277" s="96"/>
      <c r="T277" s="98"/>
      <c r="U277" s="98"/>
    </row>
    <row r="278">
      <c r="A278" s="96"/>
      <c r="B278" s="96"/>
      <c r="C278" s="96"/>
      <c r="D278" s="96"/>
      <c r="E278" s="96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98"/>
      <c r="Q278" s="96"/>
      <c r="T278" s="98"/>
      <c r="U278" s="98"/>
    </row>
    <row r="279">
      <c r="A279" s="96"/>
      <c r="B279" s="96"/>
      <c r="C279" s="96"/>
      <c r="D279" s="96"/>
      <c r="E279" s="96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98"/>
      <c r="Q279" s="96"/>
      <c r="T279" s="98"/>
      <c r="U279" s="98"/>
    </row>
    <row r="280">
      <c r="A280" s="96"/>
      <c r="B280" s="96"/>
      <c r="C280" s="96"/>
      <c r="D280" s="96"/>
      <c r="E280" s="96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98"/>
      <c r="Q280" s="96"/>
      <c r="T280" s="98"/>
      <c r="U280" s="98"/>
    </row>
    <row r="281">
      <c r="A281" s="96"/>
      <c r="B281" s="96"/>
      <c r="C281" s="96"/>
      <c r="D281" s="96"/>
      <c r="E281" s="96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98"/>
      <c r="Q281" s="96"/>
      <c r="T281" s="98"/>
      <c r="U281" s="98"/>
    </row>
    <row r="282">
      <c r="A282" s="96"/>
      <c r="B282" s="96"/>
      <c r="C282" s="96"/>
      <c r="D282" s="96"/>
      <c r="E282" s="96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98"/>
      <c r="Q282" s="96"/>
      <c r="T282" s="98"/>
      <c r="U282" s="98"/>
    </row>
    <row r="283">
      <c r="A283" s="96"/>
      <c r="B283" s="96"/>
      <c r="C283" s="96"/>
      <c r="D283" s="96"/>
      <c r="E283" s="96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98"/>
      <c r="Q283" s="96"/>
      <c r="T283" s="98"/>
      <c r="U283" s="98"/>
    </row>
    <row r="284">
      <c r="A284" s="96"/>
      <c r="B284" s="96"/>
      <c r="C284" s="96"/>
      <c r="D284" s="96"/>
      <c r="E284" s="96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98"/>
      <c r="Q284" s="96"/>
      <c r="T284" s="98"/>
      <c r="U284" s="98"/>
    </row>
    <row r="285">
      <c r="A285" s="96"/>
      <c r="B285" s="96"/>
      <c r="C285" s="96"/>
      <c r="D285" s="96"/>
      <c r="E285" s="96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98"/>
      <c r="Q285" s="96"/>
      <c r="T285" s="98"/>
      <c r="U285" s="98"/>
    </row>
    <row r="286">
      <c r="A286" s="96"/>
      <c r="B286" s="96"/>
      <c r="C286" s="96"/>
      <c r="D286" s="96"/>
      <c r="E286" s="96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98"/>
      <c r="Q286" s="96"/>
      <c r="T286" s="98"/>
      <c r="U286" s="98"/>
    </row>
    <row r="287">
      <c r="A287" s="96"/>
      <c r="B287" s="96"/>
      <c r="C287" s="96"/>
      <c r="D287" s="96"/>
      <c r="E287" s="96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98"/>
      <c r="Q287" s="96"/>
      <c r="T287" s="98"/>
      <c r="U287" s="98"/>
    </row>
    <row r="288">
      <c r="A288" s="96"/>
      <c r="B288" s="96"/>
      <c r="C288" s="96"/>
      <c r="D288" s="96"/>
      <c r="E288" s="96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98"/>
      <c r="Q288" s="96"/>
      <c r="T288" s="98"/>
      <c r="U288" s="98"/>
    </row>
    <row r="289">
      <c r="A289" s="96"/>
      <c r="B289" s="96"/>
      <c r="C289" s="96"/>
      <c r="D289" s="96"/>
      <c r="E289" s="96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98"/>
      <c r="Q289" s="96"/>
      <c r="T289" s="98"/>
      <c r="U289" s="98"/>
    </row>
    <row r="290">
      <c r="A290" s="96"/>
      <c r="B290" s="96"/>
      <c r="C290" s="96"/>
      <c r="D290" s="96"/>
      <c r="E290" s="96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98"/>
      <c r="Q290" s="96"/>
      <c r="T290" s="98"/>
      <c r="U290" s="98"/>
    </row>
    <row r="291">
      <c r="A291" s="96"/>
      <c r="B291" s="96"/>
      <c r="C291" s="96"/>
      <c r="D291" s="96"/>
      <c r="E291" s="96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98"/>
      <c r="Q291" s="96"/>
      <c r="T291" s="98"/>
      <c r="U291" s="98"/>
    </row>
    <row r="292">
      <c r="A292" s="96"/>
      <c r="B292" s="96"/>
      <c r="C292" s="96"/>
      <c r="D292" s="96"/>
      <c r="E292" s="96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98"/>
      <c r="Q292" s="96"/>
      <c r="T292" s="98"/>
      <c r="U292" s="98"/>
    </row>
    <row r="293">
      <c r="A293" s="96"/>
      <c r="B293" s="96"/>
      <c r="C293" s="96"/>
      <c r="D293" s="96"/>
      <c r="E293" s="96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98"/>
      <c r="Q293" s="96"/>
      <c r="T293" s="98"/>
      <c r="U293" s="98"/>
    </row>
    <row r="294">
      <c r="A294" s="96"/>
      <c r="B294" s="96"/>
      <c r="C294" s="96"/>
      <c r="D294" s="96"/>
      <c r="E294" s="96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98"/>
      <c r="Q294" s="96"/>
      <c r="T294" s="98"/>
      <c r="U294" s="98"/>
    </row>
    <row r="295">
      <c r="A295" s="96"/>
      <c r="B295" s="96"/>
      <c r="C295" s="96"/>
      <c r="D295" s="96"/>
      <c r="E295" s="96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98"/>
      <c r="Q295" s="96"/>
      <c r="T295" s="98"/>
      <c r="U295" s="98"/>
    </row>
    <row r="296">
      <c r="A296" s="96"/>
      <c r="B296" s="96"/>
      <c r="C296" s="96"/>
      <c r="D296" s="96"/>
      <c r="E296" s="96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98"/>
      <c r="Q296" s="96"/>
      <c r="T296" s="98"/>
      <c r="U296" s="98"/>
    </row>
    <row r="297">
      <c r="A297" s="96"/>
      <c r="B297" s="96"/>
      <c r="C297" s="96"/>
      <c r="D297" s="96"/>
      <c r="E297" s="96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98"/>
      <c r="Q297" s="96"/>
      <c r="T297" s="98"/>
      <c r="U297" s="98"/>
    </row>
    <row r="298">
      <c r="A298" s="96"/>
      <c r="B298" s="96"/>
      <c r="C298" s="96"/>
      <c r="D298" s="96"/>
      <c r="E298" s="96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98"/>
      <c r="Q298" s="96"/>
      <c r="T298" s="98"/>
      <c r="U298" s="98"/>
    </row>
    <row r="299">
      <c r="A299" s="96"/>
      <c r="B299" s="96"/>
      <c r="C299" s="96"/>
      <c r="D299" s="96"/>
      <c r="E299" s="96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98"/>
      <c r="Q299" s="96"/>
      <c r="T299" s="98"/>
      <c r="U299" s="98"/>
    </row>
    <row r="300">
      <c r="A300" s="96"/>
      <c r="B300" s="96"/>
      <c r="C300" s="96"/>
      <c r="D300" s="96"/>
      <c r="E300" s="96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98"/>
      <c r="Q300" s="96"/>
      <c r="T300" s="98"/>
      <c r="U300" s="98"/>
    </row>
    <row r="301">
      <c r="A301" s="96"/>
      <c r="B301" s="96"/>
      <c r="C301" s="96"/>
      <c r="D301" s="96"/>
      <c r="E301" s="96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98"/>
      <c r="Q301" s="96"/>
      <c r="T301" s="98"/>
      <c r="U301" s="98"/>
    </row>
    <row r="302">
      <c r="A302" s="96"/>
      <c r="B302" s="96"/>
      <c r="C302" s="96"/>
      <c r="D302" s="96"/>
      <c r="E302" s="96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98"/>
      <c r="Q302" s="96"/>
      <c r="T302" s="98"/>
      <c r="U302" s="98"/>
    </row>
    <row r="303">
      <c r="A303" s="96"/>
      <c r="B303" s="96"/>
      <c r="C303" s="96"/>
      <c r="D303" s="96"/>
      <c r="E303" s="96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98"/>
      <c r="Q303" s="96"/>
      <c r="T303" s="98"/>
      <c r="U303" s="98"/>
    </row>
    <row r="304">
      <c r="A304" s="96"/>
      <c r="B304" s="96"/>
      <c r="C304" s="96"/>
      <c r="D304" s="96"/>
      <c r="E304" s="96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98"/>
      <c r="Q304" s="96"/>
      <c r="T304" s="98"/>
      <c r="U304" s="98"/>
    </row>
    <row r="305">
      <c r="A305" s="96"/>
      <c r="B305" s="96"/>
      <c r="C305" s="96"/>
      <c r="D305" s="96"/>
      <c r="E305" s="96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98"/>
      <c r="Q305" s="96"/>
      <c r="T305" s="98"/>
      <c r="U305" s="98"/>
    </row>
    <row r="306">
      <c r="A306" s="96"/>
      <c r="B306" s="96"/>
      <c r="C306" s="96"/>
      <c r="D306" s="96"/>
      <c r="E306" s="96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98"/>
      <c r="Q306" s="96"/>
      <c r="T306" s="98"/>
      <c r="U306" s="98"/>
    </row>
    <row r="307">
      <c r="A307" s="96"/>
      <c r="B307" s="96"/>
      <c r="C307" s="96"/>
      <c r="D307" s="96"/>
      <c r="E307" s="96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98"/>
      <c r="Q307" s="96"/>
      <c r="T307" s="98"/>
      <c r="U307" s="98"/>
    </row>
    <row r="308">
      <c r="A308" s="96"/>
      <c r="B308" s="96"/>
      <c r="C308" s="96"/>
      <c r="D308" s="96"/>
      <c r="E308" s="96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98"/>
      <c r="Q308" s="96"/>
      <c r="T308" s="98"/>
      <c r="U308" s="98"/>
    </row>
    <row r="309">
      <c r="A309" s="96"/>
      <c r="B309" s="96"/>
      <c r="C309" s="96"/>
      <c r="D309" s="96"/>
      <c r="E309" s="96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98"/>
      <c r="Q309" s="96"/>
      <c r="T309" s="98"/>
      <c r="U309" s="98"/>
    </row>
    <row r="310">
      <c r="A310" s="96"/>
      <c r="B310" s="96"/>
      <c r="C310" s="96"/>
      <c r="D310" s="96"/>
      <c r="E310" s="96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98"/>
      <c r="Q310" s="96"/>
      <c r="T310" s="98"/>
      <c r="U310" s="98"/>
    </row>
    <row r="311">
      <c r="A311" s="96"/>
      <c r="B311" s="96"/>
      <c r="C311" s="96"/>
      <c r="D311" s="96"/>
      <c r="E311" s="96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98"/>
      <c r="Q311" s="96"/>
      <c r="T311" s="98"/>
      <c r="U311" s="98"/>
    </row>
    <row r="312">
      <c r="A312" s="96"/>
      <c r="B312" s="96"/>
      <c r="C312" s="96"/>
      <c r="D312" s="96"/>
      <c r="E312" s="96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98"/>
      <c r="Q312" s="96"/>
      <c r="T312" s="98"/>
      <c r="U312" s="98"/>
    </row>
    <row r="313">
      <c r="A313" s="96"/>
      <c r="B313" s="96"/>
      <c r="C313" s="96"/>
      <c r="D313" s="96"/>
      <c r="E313" s="96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98"/>
      <c r="Q313" s="96"/>
      <c r="T313" s="98"/>
      <c r="U313" s="98"/>
    </row>
    <row r="314">
      <c r="A314" s="96"/>
      <c r="B314" s="96"/>
      <c r="C314" s="96"/>
      <c r="D314" s="96"/>
      <c r="E314" s="96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98"/>
      <c r="Q314" s="96"/>
      <c r="T314" s="98"/>
      <c r="U314" s="98"/>
    </row>
    <row r="315">
      <c r="A315" s="96"/>
      <c r="B315" s="96"/>
      <c r="C315" s="96"/>
      <c r="D315" s="96"/>
      <c r="E315" s="96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98"/>
      <c r="Q315" s="96"/>
      <c r="T315" s="98"/>
      <c r="U315" s="98"/>
    </row>
    <row r="316">
      <c r="A316" s="96"/>
      <c r="B316" s="96"/>
      <c r="C316" s="96"/>
      <c r="D316" s="96"/>
      <c r="E316" s="96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98"/>
      <c r="Q316" s="96"/>
      <c r="T316" s="98"/>
      <c r="U316" s="98"/>
    </row>
    <row r="317">
      <c r="A317" s="96"/>
      <c r="B317" s="96"/>
      <c r="C317" s="96"/>
      <c r="D317" s="96"/>
      <c r="E317" s="96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98"/>
      <c r="Q317" s="96"/>
      <c r="T317" s="98"/>
      <c r="U317" s="98"/>
    </row>
    <row r="318">
      <c r="A318" s="96"/>
      <c r="B318" s="96"/>
      <c r="C318" s="96"/>
      <c r="D318" s="96"/>
      <c r="E318" s="96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98"/>
      <c r="Q318" s="96"/>
      <c r="T318" s="98"/>
      <c r="U318" s="98"/>
    </row>
    <row r="319">
      <c r="A319" s="96"/>
      <c r="B319" s="96"/>
      <c r="C319" s="96"/>
      <c r="D319" s="96"/>
      <c r="E319" s="96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98"/>
      <c r="Q319" s="96"/>
      <c r="T319" s="98"/>
      <c r="U319" s="98"/>
    </row>
    <row r="320">
      <c r="A320" s="96"/>
      <c r="B320" s="96"/>
      <c r="C320" s="96"/>
      <c r="D320" s="96"/>
      <c r="E320" s="96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98"/>
      <c r="Q320" s="96"/>
      <c r="T320" s="98"/>
      <c r="U320" s="98"/>
    </row>
    <row r="321">
      <c r="A321" s="96"/>
      <c r="B321" s="96"/>
      <c r="C321" s="96"/>
      <c r="D321" s="96"/>
      <c r="E321" s="96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98"/>
      <c r="Q321" s="96"/>
      <c r="T321" s="98"/>
      <c r="U321" s="98"/>
    </row>
    <row r="322">
      <c r="A322" s="96"/>
      <c r="B322" s="96"/>
      <c r="C322" s="96"/>
      <c r="D322" s="96"/>
      <c r="E322" s="96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98"/>
      <c r="Q322" s="96"/>
      <c r="T322" s="98"/>
      <c r="U322" s="98"/>
    </row>
    <row r="323">
      <c r="A323" s="96"/>
      <c r="B323" s="96"/>
      <c r="C323" s="96"/>
      <c r="D323" s="96"/>
      <c r="E323" s="96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98"/>
      <c r="Q323" s="96"/>
      <c r="T323" s="98"/>
      <c r="U323" s="98"/>
    </row>
    <row r="324">
      <c r="A324" s="96"/>
      <c r="B324" s="96"/>
      <c r="C324" s="96"/>
      <c r="D324" s="96"/>
      <c r="E324" s="96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98"/>
      <c r="Q324" s="96"/>
      <c r="T324" s="98"/>
      <c r="U324" s="98"/>
    </row>
    <row r="325">
      <c r="A325" s="96"/>
      <c r="B325" s="96"/>
      <c r="C325" s="96"/>
      <c r="D325" s="96"/>
      <c r="E325" s="96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98"/>
      <c r="Q325" s="96"/>
      <c r="T325" s="98"/>
      <c r="U325" s="98"/>
    </row>
    <row r="326">
      <c r="A326" s="96"/>
      <c r="B326" s="96"/>
      <c r="C326" s="96"/>
      <c r="D326" s="96"/>
      <c r="E326" s="96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98"/>
      <c r="Q326" s="96"/>
      <c r="T326" s="98"/>
      <c r="U326" s="98"/>
    </row>
    <row r="327">
      <c r="A327" s="96"/>
      <c r="B327" s="96"/>
      <c r="C327" s="96"/>
      <c r="D327" s="96"/>
      <c r="E327" s="96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98"/>
      <c r="Q327" s="96"/>
      <c r="T327" s="98"/>
      <c r="U327" s="98"/>
    </row>
    <row r="328">
      <c r="A328" s="96"/>
      <c r="B328" s="96"/>
      <c r="C328" s="96"/>
      <c r="D328" s="96"/>
      <c r="E328" s="96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98"/>
      <c r="Q328" s="96"/>
      <c r="T328" s="98"/>
      <c r="U328" s="98"/>
    </row>
    <row r="329">
      <c r="A329" s="96"/>
      <c r="B329" s="96"/>
      <c r="C329" s="96"/>
      <c r="D329" s="96"/>
      <c r="E329" s="96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98"/>
      <c r="Q329" s="96"/>
      <c r="T329" s="98"/>
      <c r="U329" s="98"/>
    </row>
    <row r="330">
      <c r="A330" s="96"/>
      <c r="B330" s="96"/>
      <c r="C330" s="96"/>
      <c r="D330" s="96"/>
      <c r="E330" s="96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98"/>
      <c r="Q330" s="96"/>
      <c r="T330" s="98"/>
      <c r="U330" s="98"/>
    </row>
    <row r="331">
      <c r="A331" s="96"/>
      <c r="B331" s="96"/>
      <c r="C331" s="96"/>
      <c r="D331" s="96"/>
      <c r="E331" s="96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98"/>
      <c r="Q331" s="96"/>
      <c r="T331" s="98"/>
      <c r="U331" s="98"/>
    </row>
    <row r="332">
      <c r="A332" s="96"/>
      <c r="B332" s="96"/>
      <c r="C332" s="96"/>
      <c r="D332" s="96"/>
      <c r="E332" s="96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98"/>
      <c r="Q332" s="96"/>
      <c r="T332" s="98"/>
      <c r="U332" s="98"/>
    </row>
    <row r="333">
      <c r="A333" s="96"/>
      <c r="B333" s="96"/>
      <c r="C333" s="96"/>
      <c r="D333" s="96"/>
      <c r="E333" s="96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98"/>
      <c r="Q333" s="96"/>
      <c r="T333" s="98"/>
      <c r="U333" s="98"/>
    </row>
    <row r="334">
      <c r="A334" s="96"/>
      <c r="B334" s="96"/>
      <c r="C334" s="96"/>
      <c r="D334" s="96"/>
      <c r="E334" s="96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98"/>
      <c r="Q334" s="96"/>
      <c r="T334" s="98"/>
      <c r="U334" s="98"/>
    </row>
    <row r="335">
      <c r="A335" s="96"/>
      <c r="B335" s="96"/>
      <c r="C335" s="96"/>
      <c r="D335" s="96"/>
      <c r="E335" s="96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98"/>
      <c r="Q335" s="96"/>
      <c r="T335" s="98"/>
      <c r="U335" s="98"/>
    </row>
    <row r="336">
      <c r="A336" s="96"/>
      <c r="B336" s="96"/>
      <c r="C336" s="96"/>
      <c r="D336" s="96"/>
      <c r="E336" s="96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98"/>
      <c r="Q336" s="96"/>
      <c r="T336" s="98"/>
      <c r="U336" s="98"/>
    </row>
    <row r="337">
      <c r="A337" s="96"/>
      <c r="B337" s="96"/>
      <c r="C337" s="96"/>
      <c r="D337" s="96"/>
      <c r="E337" s="96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98"/>
      <c r="Q337" s="96"/>
      <c r="T337" s="98"/>
      <c r="U337" s="98"/>
    </row>
    <row r="338">
      <c r="A338" s="96"/>
      <c r="B338" s="96"/>
      <c r="C338" s="96"/>
      <c r="D338" s="96"/>
      <c r="E338" s="96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98"/>
      <c r="Q338" s="96"/>
      <c r="T338" s="98"/>
      <c r="U338" s="98"/>
    </row>
    <row r="339">
      <c r="A339" s="96"/>
      <c r="B339" s="96"/>
      <c r="C339" s="96"/>
      <c r="D339" s="96"/>
      <c r="E339" s="96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98"/>
      <c r="Q339" s="96"/>
      <c r="T339" s="98"/>
      <c r="U339" s="98"/>
    </row>
    <row r="340">
      <c r="A340" s="96"/>
      <c r="B340" s="96"/>
      <c r="C340" s="96"/>
      <c r="D340" s="96"/>
      <c r="E340" s="96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98"/>
      <c r="Q340" s="96"/>
      <c r="T340" s="98"/>
      <c r="U340" s="98"/>
    </row>
    <row r="341">
      <c r="A341" s="96"/>
      <c r="B341" s="96"/>
      <c r="C341" s="96"/>
      <c r="D341" s="96"/>
      <c r="E341" s="96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98"/>
      <c r="Q341" s="96"/>
      <c r="T341" s="98"/>
      <c r="U341" s="98"/>
    </row>
    <row r="342">
      <c r="A342" s="96"/>
      <c r="B342" s="96"/>
      <c r="C342" s="96"/>
      <c r="D342" s="96"/>
      <c r="E342" s="96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98"/>
      <c r="Q342" s="96"/>
      <c r="T342" s="98"/>
      <c r="U342" s="98"/>
    </row>
    <row r="343">
      <c r="A343" s="96"/>
      <c r="B343" s="96"/>
      <c r="C343" s="96"/>
      <c r="D343" s="96"/>
      <c r="E343" s="96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98"/>
      <c r="Q343" s="96"/>
      <c r="T343" s="98"/>
      <c r="U343" s="98"/>
    </row>
    <row r="344">
      <c r="A344" s="96"/>
      <c r="B344" s="96"/>
      <c r="C344" s="96"/>
      <c r="D344" s="96"/>
      <c r="E344" s="96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98"/>
      <c r="Q344" s="96"/>
      <c r="T344" s="98"/>
      <c r="U344" s="98"/>
    </row>
    <row r="345">
      <c r="A345" s="96"/>
      <c r="B345" s="96"/>
      <c r="C345" s="96"/>
      <c r="D345" s="96"/>
      <c r="E345" s="96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98"/>
      <c r="Q345" s="96"/>
      <c r="T345" s="98"/>
      <c r="U345" s="98"/>
    </row>
    <row r="346">
      <c r="A346" s="96"/>
      <c r="B346" s="96"/>
      <c r="C346" s="96"/>
      <c r="D346" s="96"/>
      <c r="E346" s="96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98"/>
      <c r="Q346" s="96"/>
      <c r="T346" s="98"/>
      <c r="U346" s="98"/>
    </row>
    <row r="347">
      <c r="A347" s="96"/>
      <c r="B347" s="96"/>
      <c r="C347" s="96"/>
      <c r="D347" s="96"/>
      <c r="E347" s="96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98"/>
      <c r="Q347" s="96"/>
      <c r="T347" s="98"/>
      <c r="U347" s="98"/>
    </row>
    <row r="348">
      <c r="A348" s="96"/>
      <c r="B348" s="96"/>
      <c r="C348" s="96"/>
      <c r="D348" s="96"/>
      <c r="E348" s="96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98"/>
      <c r="Q348" s="96"/>
      <c r="T348" s="98"/>
      <c r="U348" s="98"/>
    </row>
    <row r="349">
      <c r="A349" s="96"/>
      <c r="B349" s="96"/>
      <c r="C349" s="96"/>
      <c r="D349" s="96"/>
      <c r="E349" s="96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98"/>
      <c r="Q349" s="96"/>
      <c r="T349" s="98"/>
      <c r="U349" s="98"/>
    </row>
    <row r="350">
      <c r="A350" s="96"/>
      <c r="B350" s="96"/>
      <c r="C350" s="96"/>
      <c r="D350" s="96"/>
      <c r="E350" s="96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98"/>
      <c r="Q350" s="96"/>
      <c r="T350" s="98"/>
      <c r="U350" s="98"/>
    </row>
    <row r="351">
      <c r="A351" s="96"/>
      <c r="B351" s="96"/>
      <c r="C351" s="96"/>
      <c r="D351" s="96"/>
      <c r="E351" s="96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98"/>
      <c r="Q351" s="96"/>
      <c r="T351" s="98"/>
      <c r="U351" s="98"/>
    </row>
    <row r="352">
      <c r="A352" s="96"/>
      <c r="B352" s="96"/>
      <c r="C352" s="96"/>
      <c r="D352" s="96"/>
      <c r="E352" s="96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98"/>
      <c r="Q352" s="96"/>
      <c r="T352" s="98"/>
      <c r="U352" s="98"/>
    </row>
    <row r="353">
      <c r="A353" s="96"/>
      <c r="B353" s="96"/>
      <c r="C353" s="96"/>
      <c r="D353" s="96"/>
      <c r="E353" s="96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98"/>
      <c r="Q353" s="96"/>
      <c r="T353" s="98"/>
      <c r="U353" s="98"/>
    </row>
    <row r="354">
      <c r="A354" s="96"/>
      <c r="B354" s="96"/>
      <c r="C354" s="96"/>
      <c r="D354" s="96"/>
      <c r="E354" s="96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98"/>
      <c r="Q354" s="96"/>
      <c r="T354" s="98"/>
      <c r="U354" s="98"/>
    </row>
    <row r="355">
      <c r="A355" s="96"/>
      <c r="B355" s="96"/>
      <c r="C355" s="96"/>
      <c r="D355" s="96"/>
      <c r="E355" s="96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98"/>
      <c r="Q355" s="96"/>
      <c r="T355" s="98"/>
      <c r="U355" s="98"/>
    </row>
    <row r="356">
      <c r="A356" s="96"/>
      <c r="B356" s="96"/>
      <c r="C356" s="96"/>
      <c r="D356" s="96"/>
      <c r="E356" s="96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98"/>
      <c r="Q356" s="96"/>
      <c r="T356" s="98"/>
      <c r="U356" s="98"/>
    </row>
    <row r="357">
      <c r="A357" s="96"/>
      <c r="B357" s="96"/>
      <c r="C357" s="96"/>
      <c r="D357" s="96"/>
      <c r="E357" s="96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98"/>
      <c r="Q357" s="96"/>
      <c r="T357" s="98"/>
      <c r="U357" s="98"/>
    </row>
    <row r="358">
      <c r="A358" s="96"/>
      <c r="B358" s="96"/>
      <c r="C358" s="96"/>
      <c r="D358" s="96"/>
      <c r="E358" s="96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98"/>
      <c r="Q358" s="96"/>
      <c r="T358" s="98"/>
      <c r="U358" s="98"/>
    </row>
    <row r="359">
      <c r="A359" s="96"/>
      <c r="B359" s="96"/>
      <c r="C359" s="96"/>
      <c r="D359" s="96"/>
      <c r="E359" s="96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98"/>
      <c r="Q359" s="96"/>
      <c r="T359" s="98"/>
      <c r="U359" s="98"/>
    </row>
    <row r="360">
      <c r="A360" s="96"/>
      <c r="B360" s="96"/>
      <c r="C360" s="96"/>
      <c r="D360" s="96"/>
      <c r="E360" s="96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98"/>
      <c r="Q360" s="96"/>
      <c r="T360" s="98"/>
      <c r="U360" s="98"/>
    </row>
    <row r="361">
      <c r="A361" s="96"/>
      <c r="B361" s="96"/>
      <c r="C361" s="96"/>
      <c r="D361" s="96"/>
      <c r="E361" s="96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98"/>
      <c r="Q361" s="96"/>
      <c r="T361" s="98"/>
      <c r="U361" s="98"/>
    </row>
    <row r="362">
      <c r="A362" s="96"/>
      <c r="B362" s="96"/>
      <c r="C362" s="96"/>
      <c r="D362" s="96"/>
      <c r="E362" s="96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98"/>
      <c r="Q362" s="96"/>
      <c r="T362" s="98"/>
      <c r="U362" s="98"/>
    </row>
    <row r="363">
      <c r="A363" s="96"/>
      <c r="B363" s="96"/>
      <c r="C363" s="96"/>
      <c r="D363" s="96"/>
      <c r="E363" s="96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98"/>
      <c r="Q363" s="96"/>
      <c r="T363" s="98"/>
      <c r="U363" s="98"/>
    </row>
    <row r="364">
      <c r="A364" s="96"/>
      <c r="B364" s="96"/>
      <c r="C364" s="96"/>
      <c r="D364" s="96"/>
      <c r="E364" s="96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98"/>
      <c r="Q364" s="96"/>
      <c r="T364" s="98"/>
      <c r="U364" s="98"/>
    </row>
    <row r="365">
      <c r="A365" s="96"/>
      <c r="B365" s="96"/>
      <c r="C365" s="96"/>
      <c r="D365" s="96"/>
      <c r="E365" s="96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98"/>
      <c r="Q365" s="96"/>
      <c r="T365" s="98"/>
      <c r="U365" s="98"/>
    </row>
    <row r="366">
      <c r="A366" s="96"/>
      <c r="B366" s="96"/>
      <c r="C366" s="96"/>
      <c r="D366" s="96"/>
      <c r="E366" s="96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98"/>
      <c r="Q366" s="96"/>
      <c r="T366" s="98"/>
      <c r="U366" s="98"/>
    </row>
    <row r="367">
      <c r="A367" s="96"/>
      <c r="B367" s="96"/>
      <c r="C367" s="96"/>
      <c r="D367" s="96"/>
      <c r="E367" s="96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98"/>
      <c r="Q367" s="96"/>
      <c r="T367" s="98"/>
      <c r="U367" s="98"/>
    </row>
    <row r="368">
      <c r="A368" s="96"/>
      <c r="B368" s="96"/>
      <c r="C368" s="96"/>
      <c r="D368" s="96"/>
      <c r="E368" s="96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98"/>
      <c r="Q368" s="96"/>
      <c r="T368" s="98"/>
      <c r="U368" s="98"/>
    </row>
    <row r="369">
      <c r="A369" s="96"/>
      <c r="B369" s="96"/>
      <c r="C369" s="96"/>
      <c r="D369" s="96"/>
      <c r="E369" s="96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98"/>
      <c r="Q369" s="96"/>
      <c r="T369" s="98"/>
      <c r="U369" s="98"/>
    </row>
    <row r="370">
      <c r="A370" s="96"/>
      <c r="B370" s="96"/>
      <c r="C370" s="96"/>
      <c r="D370" s="96"/>
      <c r="E370" s="96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98"/>
      <c r="Q370" s="96"/>
      <c r="T370" s="98"/>
      <c r="U370" s="98"/>
    </row>
    <row r="371">
      <c r="A371" s="96"/>
      <c r="B371" s="96"/>
      <c r="C371" s="96"/>
      <c r="D371" s="96"/>
      <c r="E371" s="96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98"/>
      <c r="Q371" s="96"/>
      <c r="T371" s="98"/>
      <c r="U371" s="98"/>
    </row>
    <row r="372">
      <c r="A372" s="96"/>
      <c r="B372" s="96"/>
      <c r="C372" s="96"/>
      <c r="D372" s="96"/>
      <c r="E372" s="96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98"/>
      <c r="Q372" s="96"/>
      <c r="T372" s="98"/>
      <c r="U372" s="98"/>
    </row>
    <row r="373">
      <c r="A373" s="96"/>
      <c r="B373" s="96"/>
      <c r="C373" s="96"/>
      <c r="D373" s="96"/>
      <c r="E373" s="96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98"/>
      <c r="Q373" s="96"/>
      <c r="T373" s="98"/>
      <c r="U373" s="98"/>
    </row>
    <row r="374">
      <c r="A374" s="96"/>
      <c r="B374" s="96"/>
      <c r="C374" s="96"/>
      <c r="D374" s="96"/>
      <c r="E374" s="96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98"/>
      <c r="Q374" s="96"/>
      <c r="T374" s="98"/>
      <c r="U374" s="98"/>
    </row>
    <row r="375">
      <c r="A375" s="96"/>
      <c r="B375" s="96"/>
      <c r="C375" s="96"/>
      <c r="D375" s="96"/>
      <c r="E375" s="96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98"/>
      <c r="Q375" s="96"/>
      <c r="T375" s="98"/>
      <c r="U375" s="98"/>
    </row>
    <row r="376">
      <c r="A376" s="96"/>
      <c r="B376" s="96"/>
      <c r="C376" s="96"/>
      <c r="D376" s="96"/>
      <c r="E376" s="96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98"/>
      <c r="Q376" s="96"/>
      <c r="T376" s="98"/>
      <c r="U376" s="98"/>
    </row>
    <row r="377">
      <c r="A377" s="96"/>
      <c r="B377" s="96"/>
      <c r="C377" s="96"/>
      <c r="D377" s="96"/>
      <c r="E377" s="96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98"/>
      <c r="Q377" s="96"/>
      <c r="T377" s="98"/>
      <c r="U377" s="98"/>
    </row>
    <row r="378">
      <c r="A378" s="96"/>
      <c r="B378" s="96"/>
      <c r="C378" s="96"/>
      <c r="D378" s="96"/>
      <c r="E378" s="96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98"/>
      <c r="Q378" s="96"/>
      <c r="T378" s="98"/>
      <c r="U378" s="98"/>
    </row>
    <row r="379">
      <c r="A379" s="96"/>
      <c r="B379" s="96"/>
      <c r="C379" s="96"/>
      <c r="D379" s="96"/>
      <c r="E379" s="96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98"/>
      <c r="Q379" s="96"/>
      <c r="T379" s="98"/>
      <c r="U379" s="98"/>
    </row>
    <row r="380">
      <c r="A380" s="96"/>
      <c r="B380" s="96"/>
      <c r="C380" s="96"/>
      <c r="D380" s="96"/>
      <c r="E380" s="96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98"/>
      <c r="Q380" s="96"/>
      <c r="T380" s="98"/>
      <c r="U380" s="98"/>
    </row>
    <row r="381">
      <c r="A381" s="96"/>
      <c r="B381" s="96"/>
      <c r="C381" s="96"/>
      <c r="D381" s="96"/>
      <c r="E381" s="96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98"/>
      <c r="Q381" s="96"/>
      <c r="T381" s="98"/>
      <c r="U381" s="98"/>
    </row>
    <row r="382">
      <c r="A382" s="96"/>
      <c r="B382" s="96"/>
      <c r="C382" s="96"/>
      <c r="D382" s="96"/>
      <c r="E382" s="96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98"/>
      <c r="Q382" s="96"/>
      <c r="T382" s="98"/>
      <c r="U382" s="98"/>
    </row>
    <row r="383">
      <c r="A383" s="96"/>
      <c r="B383" s="96"/>
      <c r="C383" s="96"/>
      <c r="D383" s="96"/>
      <c r="E383" s="96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98"/>
      <c r="Q383" s="96"/>
      <c r="T383" s="98"/>
      <c r="U383" s="98"/>
    </row>
    <row r="384">
      <c r="A384" s="96"/>
      <c r="B384" s="96"/>
      <c r="C384" s="96"/>
      <c r="D384" s="96"/>
      <c r="E384" s="96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98"/>
      <c r="Q384" s="96"/>
      <c r="T384" s="98"/>
      <c r="U384" s="98"/>
    </row>
    <row r="385">
      <c r="A385" s="96"/>
      <c r="B385" s="96"/>
      <c r="C385" s="96"/>
      <c r="D385" s="96"/>
      <c r="E385" s="96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98"/>
      <c r="Q385" s="96"/>
      <c r="T385" s="98"/>
      <c r="U385" s="98"/>
    </row>
    <row r="386">
      <c r="A386" s="96"/>
      <c r="B386" s="96"/>
      <c r="C386" s="96"/>
      <c r="D386" s="96"/>
      <c r="E386" s="96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98"/>
      <c r="Q386" s="96"/>
      <c r="T386" s="98"/>
      <c r="U386" s="98"/>
    </row>
    <row r="387">
      <c r="A387" s="96"/>
      <c r="B387" s="96"/>
      <c r="C387" s="96"/>
      <c r="D387" s="96"/>
      <c r="E387" s="96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98"/>
      <c r="Q387" s="96"/>
      <c r="T387" s="98"/>
      <c r="U387" s="98"/>
    </row>
    <row r="388">
      <c r="A388" s="96"/>
      <c r="B388" s="96"/>
      <c r="C388" s="96"/>
      <c r="D388" s="96"/>
      <c r="E388" s="96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98"/>
      <c r="Q388" s="96"/>
      <c r="T388" s="98"/>
      <c r="U388" s="98"/>
    </row>
    <row r="389">
      <c r="A389" s="96"/>
      <c r="B389" s="96"/>
      <c r="C389" s="96"/>
      <c r="D389" s="96"/>
      <c r="E389" s="96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98"/>
      <c r="Q389" s="96"/>
      <c r="T389" s="98"/>
      <c r="U389" s="98"/>
    </row>
    <row r="390">
      <c r="A390" s="96"/>
      <c r="B390" s="96"/>
      <c r="C390" s="96"/>
      <c r="D390" s="96"/>
      <c r="E390" s="96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98"/>
      <c r="Q390" s="96"/>
      <c r="T390" s="98"/>
      <c r="U390" s="98"/>
    </row>
    <row r="391">
      <c r="A391" s="96"/>
      <c r="B391" s="96"/>
      <c r="C391" s="96"/>
      <c r="D391" s="96"/>
      <c r="E391" s="96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98"/>
      <c r="Q391" s="96"/>
      <c r="T391" s="98"/>
      <c r="U391" s="98"/>
    </row>
    <row r="392">
      <c r="A392" s="96"/>
      <c r="B392" s="96"/>
      <c r="C392" s="96"/>
      <c r="D392" s="96"/>
      <c r="E392" s="96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98"/>
      <c r="Q392" s="96"/>
      <c r="T392" s="98"/>
      <c r="U392" s="98"/>
    </row>
    <row r="393">
      <c r="A393" s="96"/>
      <c r="B393" s="96"/>
      <c r="C393" s="96"/>
      <c r="D393" s="96"/>
      <c r="E393" s="96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98"/>
      <c r="Q393" s="96"/>
      <c r="T393" s="98"/>
      <c r="U393" s="98"/>
    </row>
    <row r="394">
      <c r="A394" s="96"/>
      <c r="B394" s="96"/>
      <c r="C394" s="96"/>
      <c r="D394" s="96"/>
      <c r="E394" s="96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98"/>
      <c r="Q394" s="96"/>
      <c r="T394" s="98"/>
      <c r="U394" s="98"/>
    </row>
    <row r="395">
      <c r="A395" s="96"/>
      <c r="B395" s="96"/>
      <c r="C395" s="96"/>
      <c r="D395" s="96"/>
      <c r="E395" s="96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98"/>
      <c r="Q395" s="96"/>
      <c r="T395" s="98"/>
      <c r="U395" s="98"/>
    </row>
    <row r="396">
      <c r="A396" s="96"/>
      <c r="B396" s="96"/>
      <c r="C396" s="96"/>
      <c r="D396" s="96"/>
      <c r="E396" s="96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98"/>
      <c r="Q396" s="96"/>
      <c r="T396" s="98"/>
      <c r="U396" s="98"/>
    </row>
    <row r="397">
      <c r="A397" s="96"/>
      <c r="B397" s="96"/>
      <c r="C397" s="96"/>
      <c r="D397" s="96"/>
      <c r="E397" s="96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98"/>
      <c r="Q397" s="96"/>
      <c r="T397" s="98"/>
      <c r="U397" s="98"/>
    </row>
    <row r="398">
      <c r="A398" s="96"/>
      <c r="B398" s="96"/>
      <c r="C398" s="96"/>
      <c r="D398" s="96"/>
      <c r="E398" s="96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98"/>
      <c r="Q398" s="96"/>
      <c r="T398" s="98"/>
      <c r="U398" s="98"/>
    </row>
    <row r="399">
      <c r="A399" s="96"/>
      <c r="B399" s="96"/>
      <c r="C399" s="96"/>
      <c r="D399" s="96"/>
      <c r="E399" s="96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98"/>
      <c r="Q399" s="96"/>
      <c r="T399" s="98"/>
      <c r="U399" s="98"/>
    </row>
    <row r="400">
      <c r="A400" s="96"/>
      <c r="B400" s="96"/>
      <c r="C400" s="96"/>
      <c r="D400" s="96"/>
      <c r="E400" s="96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98"/>
      <c r="Q400" s="96"/>
      <c r="T400" s="98"/>
      <c r="U400" s="98"/>
    </row>
    <row r="401">
      <c r="A401" s="96"/>
      <c r="B401" s="96"/>
      <c r="C401" s="96"/>
      <c r="D401" s="96"/>
      <c r="E401" s="96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98"/>
      <c r="Q401" s="96"/>
      <c r="T401" s="98"/>
      <c r="U401" s="98"/>
    </row>
    <row r="402">
      <c r="A402" s="96"/>
      <c r="B402" s="96"/>
      <c r="C402" s="96"/>
      <c r="D402" s="96"/>
      <c r="E402" s="96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98"/>
      <c r="Q402" s="96"/>
      <c r="T402" s="98"/>
      <c r="U402" s="98"/>
    </row>
    <row r="403">
      <c r="A403" s="96"/>
      <c r="B403" s="96"/>
      <c r="C403" s="96"/>
      <c r="D403" s="96"/>
      <c r="E403" s="96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98"/>
      <c r="Q403" s="96"/>
      <c r="T403" s="98"/>
      <c r="U403" s="98"/>
    </row>
    <row r="404">
      <c r="A404" s="96"/>
      <c r="B404" s="96"/>
      <c r="C404" s="96"/>
      <c r="D404" s="96"/>
      <c r="E404" s="96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98"/>
      <c r="Q404" s="96"/>
      <c r="T404" s="98"/>
      <c r="U404" s="98"/>
    </row>
    <row r="405">
      <c r="A405" s="96"/>
      <c r="B405" s="96"/>
      <c r="C405" s="96"/>
      <c r="D405" s="96"/>
      <c r="E405" s="96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98"/>
      <c r="Q405" s="96"/>
      <c r="T405" s="98"/>
      <c r="U405" s="98"/>
    </row>
    <row r="406">
      <c r="A406" s="96"/>
      <c r="B406" s="96"/>
      <c r="C406" s="96"/>
      <c r="D406" s="96"/>
      <c r="E406" s="96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98"/>
      <c r="Q406" s="96"/>
      <c r="T406" s="98"/>
      <c r="U406" s="98"/>
    </row>
    <row r="407">
      <c r="A407" s="96"/>
      <c r="B407" s="96"/>
      <c r="C407" s="96"/>
      <c r="D407" s="96"/>
      <c r="E407" s="96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98"/>
      <c r="Q407" s="96"/>
      <c r="T407" s="98"/>
      <c r="U407" s="98"/>
    </row>
    <row r="408">
      <c r="A408" s="96"/>
      <c r="B408" s="96"/>
      <c r="C408" s="96"/>
      <c r="D408" s="96"/>
      <c r="E408" s="96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98"/>
      <c r="Q408" s="96"/>
      <c r="T408" s="98"/>
      <c r="U408" s="98"/>
    </row>
    <row r="409">
      <c r="A409" s="96"/>
      <c r="B409" s="96"/>
      <c r="C409" s="96"/>
      <c r="D409" s="96"/>
      <c r="E409" s="96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98"/>
      <c r="Q409" s="96"/>
      <c r="T409" s="98"/>
      <c r="U409" s="98"/>
    </row>
    <row r="410">
      <c r="A410" s="96"/>
      <c r="B410" s="96"/>
      <c r="C410" s="96"/>
      <c r="D410" s="96"/>
      <c r="E410" s="96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98"/>
      <c r="Q410" s="96"/>
      <c r="T410" s="98"/>
      <c r="U410" s="98"/>
    </row>
    <row r="411">
      <c r="A411" s="96"/>
      <c r="B411" s="96"/>
      <c r="C411" s="96"/>
      <c r="D411" s="96"/>
      <c r="E411" s="96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98"/>
      <c r="Q411" s="96"/>
      <c r="T411" s="98"/>
      <c r="U411" s="98"/>
    </row>
    <row r="412">
      <c r="A412" s="96"/>
      <c r="B412" s="96"/>
      <c r="C412" s="96"/>
      <c r="D412" s="96"/>
      <c r="E412" s="96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98"/>
      <c r="Q412" s="96"/>
      <c r="T412" s="98"/>
      <c r="U412" s="98"/>
    </row>
    <row r="413">
      <c r="A413" s="96"/>
      <c r="B413" s="96"/>
      <c r="C413" s="96"/>
      <c r="D413" s="96"/>
      <c r="E413" s="96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98"/>
      <c r="Q413" s="96"/>
      <c r="T413" s="98"/>
      <c r="U413" s="98"/>
    </row>
    <row r="414">
      <c r="A414" s="96"/>
      <c r="B414" s="96"/>
      <c r="C414" s="96"/>
      <c r="D414" s="96"/>
      <c r="E414" s="96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98"/>
      <c r="Q414" s="96"/>
      <c r="T414" s="98"/>
      <c r="U414" s="98"/>
    </row>
    <row r="415">
      <c r="A415" s="96"/>
      <c r="B415" s="96"/>
      <c r="C415" s="96"/>
      <c r="D415" s="96"/>
      <c r="E415" s="96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98"/>
      <c r="Q415" s="96"/>
      <c r="T415" s="98"/>
      <c r="U415" s="98"/>
    </row>
    <row r="416">
      <c r="A416" s="96"/>
      <c r="B416" s="96"/>
      <c r="C416" s="96"/>
      <c r="D416" s="96"/>
      <c r="E416" s="96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98"/>
      <c r="Q416" s="96"/>
      <c r="T416" s="98"/>
      <c r="U416" s="98"/>
    </row>
    <row r="417">
      <c r="A417" s="96"/>
      <c r="B417" s="96"/>
      <c r="C417" s="96"/>
      <c r="D417" s="96"/>
      <c r="E417" s="96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98"/>
      <c r="Q417" s="96"/>
      <c r="T417" s="98"/>
      <c r="U417" s="98"/>
    </row>
    <row r="418">
      <c r="A418" s="96"/>
      <c r="B418" s="96"/>
      <c r="C418" s="96"/>
      <c r="D418" s="96"/>
      <c r="E418" s="96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98"/>
      <c r="Q418" s="96"/>
      <c r="T418" s="98"/>
      <c r="U418" s="98"/>
    </row>
    <row r="419">
      <c r="A419" s="96"/>
      <c r="B419" s="96"/>
      <c r="C419" s="96"/>
      <c r="D419" s="96"/>
      <c r="E419" s="96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98"/>
      <c r="Q419" s="96"/>
      <c r="T419" s="98"/>
      <c r="U419" s="98"/>
    </row>
    <row r="420">
      <c r="A420" s="96"/>
      <c r="B420" s="96"/>
      <c r="C420" s="96"/>
      <c r="D420" s="96"/>
      <c r="E420" s="96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98"/>
      <c r="Q420" s="96"/>
      <c r="T420" s="98"/>
      <c r="U420" s="98"/>
    </row>
    <row r="421">
      <c r="A421" s="96"/>
      <c r="B421" s="96"/>
      <c r="C421" s="96"/>
      <c r="D421" s="96"/>
      <c r="E421" s="96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98"/>
      <c r="Q421" s="96"/>
      <c r="T421" s="98"/>
      <c r="U421" s="98"/>
    </row>
    <row r="422">
      <c r="A422" s="96"/>
      <c r="B422" s="96"/>
      <c r="C422" s="96"/>
      <c r="D422" s="96"/>
      <c r="E422" s="96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98"/>
      <c r="Q422" s="96"/>
      <c r="T422" s="98"/>
      <c r="U422" s="98"/>
    </row>
    <row r="423">
      <c r="A423" s="96"/>
      <c r="B423" s="96"/>
      <c r="C423" s="96"/>
      <c r="D423" s="96"/>
      <c r="E423" s="96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98"/>
      <c r="Q423" s="96"/>
      <c r="T423" s="98"/>
      <c r="U423" s="98"/>
    </row>
    <row r="424">
      <c r="A424" s="96"/>
      <c r="B424" s="96"/>
      <c r="C424" s="96"/>
      <c r="D424" s="96"/>
      <c r="E424" s="96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98"/>
      <c r="Q424" s="96"/>
      <c r="T424" s="98"/>
      <c r="U424" s="98"/>
    </row>
    <row r="425">
      <c r="A425" s="96"/>
      <c r="B425" s="96"/>
      <c r="C425" s="96"/>
      <c r="D425" s="96"/>
      <c r="E425" s="96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98"/>
      <c r="Q425" s="96"/>
      <c r="T425" s="98"/>
      <c r="U425" s="98"/>
    </row>
    <row r="426">
      <c r="A426" s="96"/>
      <c r="B426" s="96"/>
      <c r="C426" s="96"/>
      <c r="D426" s="96"/>
      <c r="E426" s="96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98"/>
      <c r="Q426" s="96"/>
      <c r="T426" s="98"/>
      <c r="U426" s="98"/>
    </row>
    <row r="427">
      <c r="A427" s="96"/>
      <c r="B427" s="96"/>
      <c r="C427" s="96"/>
      <c r="D427" s="96"/>
      <c r="E427" s="96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98"/>
      <c r="Q427" s="96"/>
      <c r="T427" s="98"/>
      <c r="U427" s="98"/>
    </row>
    <row r="428">
      <c r="A428" s="96"/>
      <c r="B428" s="96"/>
      <c r="C428" s="96"/>
      <c r="D428" s="96"/>
      <c r="E428" s="96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98"/>
      <c r="Q428" s="96"/>
      <c r="T428" s="98"/>
      <c r="U428" s="98"/>
    </row>
    <row r="429">
      <c r="A429" s="96"/>
      <c r="B429" s="96"/>
      <c r="C429" s="96"/>
      <c r="D429" s="96"/>
      <c r="E429" s="96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98"/>
      <c r="Q429" s="96"/>
      <c r="T429" s="98"/>
      <c r="U429" s="98"/>
    </row>
    <row r="430">
      <c r="A430" s="96"/>
      <c r="B430" s="96"/>
      <c r="C430" s="96"/>
      <c r="D430" s="96"/>
      <c r="E430" s="96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98"/>
      <c r="Q430" s="96"/>
      <c r="T430" s="98"/>
      <c r="U430" s="98"/>
    </row>
    <row r="431">
      <c r="A431" s="96"/>
      <c r="B431" s="96"/>
      <c r="C431" s="96"/>
      <c r="D431" s="96"/>
      <c r="E431" s="96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98"/>
      <c r="Q431" s="96"/>
      <c r="T431" s="98"/>
      <c r="U431" s="98"/>
    </row>
    <row r="432">
      <c r="A432" s="96"/>
      <c r="B432" s="96"/>
      <c r="C432" s="96"/>
      <c r="D432" s="96"/>
      <c r="E432" s="96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98"/>
      <c r="Q432" s="96"/>
      <c r="T432" s="98"/>
      <c r="U432" s="98"/>
    </row>
    <row r="433">
      <c r="A433" s="96"/>
      <c r="B433" s="96"/>
      <c r="C433" s="96"/>
      <c r="D433" s="96"/>
      <c r="E433" s="96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98"/>
      <c r="Q433" s="96"/>
      <c r="T433" s="98"/>
      <c r="U433" s="98"/>
    </row>
    <row r="434">
      <c r="A434" s="96"/>
      <c r="B434" s="96"/>
      <c r="C434" s="96"/>
      <c r="D434" s="96"/>
      <c r="E434" s="96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98"/>
      <c r="Q434" s="96"/>
      <c r="T434" s="98"/>
      <c r="U434" s="98"/>
    </row>
    <row r="435">
      <c r="A435" s="96"/>
      <c r="B435" s="96"/>
      <c r="C435" s="96"/>
      <c r="D435" s="96"/>
      <c r="E435" s="96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98"/>
      <c r="Q435" s="96"/>
      <c r="T435" s="98"/>
      <c r="U435" s="98"/>
    </row>
    <row r="436">
      <c r="A436" s="96"/>
      <c r="B436" s="96"/>
      <c r="C436" s="96"/>
      <c r="D436" s="96"/>
      <c r="E436" s="96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98"/>
      <c r="Q436" s="96"/>
      <c r="T436" s="98"/>
      <c r="U436" s="98"/>
    </row>
    <row r="437">
      <c r="A437" s="96"/>
      <c r="B437" s="96"/>
      <c r="C437" s="96"/>
      <c r="D437" s="96"/>
      <c r="E437" s="96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98"/>
      <c r="Q437" s="96"/>
      <c r="T437" s="98"/>
      <c r="U437" s="98"/>
    </row>
    <row r="438">
      <c r="A438" s="96"/>
      <c r="B438" s="96"/>
      <c r="C438" s="96"/>
      <c r="D438" s="96"/>
      <c r="E438" s="96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98"/>
      <c r="Q438" s="96"/>
      <c r="T438" s="98"/>
      <c r="U438" s="98"/>
    </row>
    <row r="439">
      <c r="A439" s="96"/>
      <c r="B439" s="96"/>
      <c r="C439" s="96"/>
      <c r="D439" s="96"/>
      <c r="E439" s="96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98"/>
      <c r="Q439" s="96"/>
      <c r="T439" s="98"/>
      <c r="U439" s="98"/>
    </row>
    <row r="440">
      <c r="A440" s="96"/>
      <c r="B440" s="96"/>
      <c r="C440" s="96"/>
      <c r="D440" s="96"/>
      <c r="E440" s="96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98"/>
      <c r="Q440" s="96"/>
      <c r="T440" s="98"/>
      <c r="U440" s="98"/>
    </row>
    <row r="441">
      <c r="A441" s="96"/>
      <c r="B441" s="96"/>
      <c r="C441" s="96"/>
      <c r="D441" s="96"/>
      <c r="E441" s="96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98"/>
      <c r="Q441" s="96"/>
      <c r="T441" s="98"/>
      <c r="U441" s="98"/>
    </row>
    <row r="442">
      <c r="A442" s="96"/>
      <c r="B442" s="96"/>
      <c r="C442" s="96"/>
      <c r="D442" s="96"/>
      <c r="E442" s="96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98"/>
      <c r="Q442" s="96"/>
      <c r="T442" s="98"/>
      <c r="U442" s="98"/>
    </row>
    <row r="443">
      <c r="A443" s="96"/>
      <c r="B443" s="96"/>
      <c r="C443" s="96"/>
      <c r="D443" s="96"/>
      <c r="E443" s="96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98"/>
      <c r="Q443" s="96"/>
      <c r="T443" s="98"/>
      <c r="U443" s="98"/>
    </row>
    <row r="444">
      <c r="A444" s="96"/>
      <c r="B444" s="96"/>
      <c r="C444" s="96"/>
      <c r="D444" s="96"/>
      <c r="E444" s="96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98"/>
      <c r="Q444" s="96"/>
      <c r="T444" s="98"/>
      <c r="U444" s="98"/>
    </row>
    <row r="445">
      <c r="A445" s="96"/>
      <c r="B445" s="96"/>
      <c r="C445" s="96"/>
      <c r="D445" s="96"/>
      <c r="E445" s="96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98"/>
      <c r="Q445" s="96"/>
      <c r="T445" s="98"/>
      <c r="U445" s="98"/>
    </row>
    <row r="446">
      <c r="A446" s="96"/>
      <c r="B446" s="96"/>
      <c r="C446" s="96"/>
      <c r="D446" s="96"/>
      <c r="E446" s="96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98"/>
      <c r="Q446" s="96"/>
      <c r="T446" s="98"/>
      <c r="U446" s="98"/>
    </row>
    <row r="447">
      <c r="A447" s="96"/>
      <c r="B447" s="96"/>
      <c r="C447" s="96"/>
      <c r="D447" s="96"/>
      <c r="E447" s="96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98"/>
      <c r="Q447" s="96"/>
      <c r="T447" s="98"/>
      <c r="U447" s="98"/>
    </row>
    <row r="448">
      <c r="A448" s="96"/>
      <c r="B448" s="96"/>
      <c r="C448" s="96"/>
      <c r="D448" s="96"/>
      <c r="E448" s="96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98"/>
      <c r="Q448" s="96"/>
      <c r="T448" s="98"/>
      <c r="U448" s="98"/>
    </row>
    <row r="449">
      <c r="A449" s="96"/>
      <c r="B449" s="96"/>
      <c r="C449" s="96"/>
      <c r="D449" s="96"/>
      <c r="E449" s="96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98"/>
      <c r="Q449" s="96"/>
      <c r="T449" s="98"/>
      <c r="U449" s="98"/>
    </row>
    <row r="450">
      <c r="A450" s="96"/>
      <c r="B450" s="96"/>
      <c r="C450" s="96"/>
      <c r="D450" s="96"/>
      <c r="E450" s="96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98"/>
      <c r="Q450" s="96"/>
      <c r="T450" s="98"/>
      <c r="U450" s="98"/>
    </row>
    <row r="451">
      <c r="A451" s="96"/>
      <c r="B451" s="96"/>
      <c r="C451" s="96"/>
      <c r="D451" s="96"/>
      <c r="E451" s="96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98"/>
      <c r="Q451" s="96"/>
      <c r="T451" s="98"/>
      <c r="U451" s="98"/>
    </row>
    <row r="452">
      <c r="A452" s="96"/>
      <c r="B452" s="96"/>
      <c r="C452" s="96"/>
      <c r="D452" s="96"/>
      <c r="E452" s="96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98"/>
      <c r="Q452" s="96"/>
      <c r="T452" s="98"/>
      <c r="U452" s="98"/>
    </row>
    <row r="453">
      <c r="A453" s="96"/>
      <c r="B453" s="96"/>
      <c r="C453" s="96"/>
      <c r="D453" s="96"/>
      <c r="E453" s="96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98"/>
      <c r="Q453" s="96"/>
      <c r="T453" s="98"/>
      <c r="U453" s="98"/>
    </row>
    <row r="454">
      <c r="A454" s="96"/>
      <c r="B454" s="96"/>
      <c r="C454" s="96"/>
      <c r="D454" s="96"/>
      <c r="E454" s="96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98"/>
      <c r="Q454" s="96"/>
      <c r="T454" s="98"/>
      <c r="U454" s="98"/>
    </row>
    <row r="455">
      <c r="A455" s="96"/>
      <c r="B455" s="96"/>
      <c r="C455" s="96"/>
      <c r="D455" s="96"/>
      <c r="E455" s="96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98"/>
      <c r="Q455" s="96"/>
      <c r="T455" s="98"/>
      <c r="U455" s="98"/>
    </row>
    <row r="456">
      <c r="A456" s="96"/>
      <c r="B456" s="96"/>
      <c r="C456" s="96"/>
      <c r="D456" s="96"/>
      <c r="E456" s="96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98"/>
      <c r="Q456" s="96"/>
      <c r="T456" s="98"/>
      <c r="U456" s="98"/>
    </row>
    <row r="457">
      <c r="A457" s="96"/>
      <c r="B457" s="96"/>
      <c r="C457" s="96"/>
      <c r="D457" s="96"/>
      <c r="E457" s="96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98"/>
      <c r="Q457" s="96"/>
      <c r="T457" s="98"/>
      <c r="U457" s="98"/>
    </row>
    <row r="458">
      <c r="A458" s="96"/>
      <c r="B458" s="96"/>
      <c r="C458" s="96"/>
      <c r="D458" s="96"/>
      <c r="E458" s="96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98"/>
      <c r="Q458" s="96"/>
      <c r="T458" s="98"/>
      <c r="U458" s="98"/>
    </row>
    <row r="459">
      <c r="A459" s="96"/>
      <c r="B459" s="96"/>
      <c r="C459" s="96"/>
      <c r="D459" s="96"/>
      <c r="E459" s="96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98"/>
      <c r="Q459" s="96"/>
      <c r="T459" s="98"/>
      <c r="U459" s="98"/>
    </row>
    <row r="460">
      <c r="A460" s="96"/>
      <c r="B460" s="96"/>
      <c r="C460" s="96"/>
      <c r="D460" s="96"/>
      <c r="E460" s="96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98"/>
      <c r="Q460" s="96"/>
      <c r="T460" s="98"/>
      <c r="U460" s="98"/>
    </row>
    <row r="461">
      <c r="A461" s="96"/>
      <c r="B461" s="96"/>
      <c r="C461" s="96"/>
      <c r="D461" s="96"/>
      <c r="E461" s="96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98"/>
      <c r="Q461" s="96"/>
      <c r="T461" s="98"/>
      <c r="U461" s="98"/>
    </row>
    <row r="462">
      <c r="A462" s="96"/>
      <c r="B462" s="96"/>
      <c r="C462" s="96"/>
      <c r="D462" s="96"/>
      <c r="E462" s="96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98"/>
      <c r="Q462" s="96"/>
      <c r="T462" s="98"/>
      <c r="U462" s="98"/>
    </row>
    <row r="463">
      <c r="A463" s="96"/>
      <c r="B463" s="96"/>
      <c r="C463" s="96"/>
      <c r="D463" s="96"/>
      <c r="E463" s="96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98"/>
      <c r="Q463" s="96"/>
      <c r="T463" s="98"/>
      <c r="U463" s="98"/>
    </row>
    <row r="464">
      <c r="A464" s="96"/>
      <c r="B464" s="96"/>
      <c r="C464" s="96"/>
      <c r="D464" s="96"/>
      <c r="E464" s="96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98"/>
      <c r="Q464" s="96"/>
      <c r="T464" s="98"/>
      <c r="U464" s="98"/>
    </row>
    <row r="465">
      <c r="A465" s="96"/>
      <c r="B465" s="96"/>
      <c r="C465" s="96"/>
      <c r="D465" s="96"/>
      <c r="E465" s="96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98"/>
      <c r="Q465" s="96"/>
      <c r="T465" s="98"/>
      <c r="U465" s="98"/>
    </row>
    <row r="466">
      <c r="A466" s="96"/>
      <c r="B466" s="96"/>
      <c r="C466" s="96"/>
      <c r="D466" s="96"/>
      <c r="E466" s="96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98"/>
      <c r="Q466" s="96"/>
      <c r="T466" s="98"/>
      <c r="U466" s="98"/>
    </row>
    <row r="467">
      <c r="A467" s="96"/>
      <c r="B467" s="96"/>
      <c r="C467" s="96"/>
      <c r="D467" s="96"/>
      <c r="E467" s="96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98"/>
      <c r="Q467" s="96"/>
      <c r="T467" s="98"/>
      <c r="U467" s="98"/>
    </row>
    <row r="468">
      <c r="A468" s="96"/>
      <c r="B468" s="96"/>
      <c r="C468" s="96"/>
      <c r="D468" s="96"/>
      <c r="E468" s="96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98"/>
      <c r="Q468" s="96"/>
      <c r="T468" s="98"/>
      <c r="U468" s="98"/>
    </row>
    <row r="469">
      <c r="A469" s="96"/>
      <c r="B469" s="96"/>
      <c r="C469" s="96"/>
      <c r="D469" s="96"/>
      <c r="E469" s="96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98"/>
      <c r="Q469" s="96"/>
      <c r="T469" s="98"/>
      <c r="U469" s="98"/>
    </row>
    <row r="470">
      <c r="A470" s="96"/>
      <c r="B470" s="96"/>
      <c r="C470" s="96"/>
      <c r="D470" s="96"/>
      <c r="E470" s="96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98"/>
      <c r="Q470" s="96"/>
      <c r="T470" s="98"/>
      <c r="U470" s="98"/>
    </row>
    <row r="471">
      <c r="A471" s="96"/>
      <c r="B471" s="96"/>
      <c r="C471" s="96"/>
      <c r="D471" s="96"/>
      <c r="E471" s="96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98"/>
      <c r="Q471" s="96"/>
      <c r="T471" s="98"/>
      <c r="U471" s="98"/>
    </row>
    <row r="472">
      <c r="A472" s="96"/>
      <c r="B472" s="96"/>
      <c r="C472" s="96"/>
      <c r="D472" s="96"/>
      <c r="E472" s="96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98"/>
      <c r="Q472" s="96"/>
      <c r="T472" s="98"/>
      <c r="U472" s="98"/>
    </row>
    <row r="473">
      <c r="A473" s="96"/>
      <c r="B473" s="96"/>
      <c r="C473" s="96"/>
      <c r="D473" s="96"/>
      <c r="E473" s="96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98"/>
      <c r="Q473" s="96"/>
      <c r="T473" s="98"/>
      <c r="U473" s="98"/>
    </row>
    <row r="474">
      <c r="A474" s="96"/>
      <c r="B474" s="96"/>
      <c r="C474" s="96"/>
      <c r="D474" s="96"/>
      <c r="E474" s="96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98"/>
      <c r="Q474" s="96"/>
      <c r="T474" s="98"/>
      <c r="U474" s="98"/>
    </row>
    <row r="475">
      <c r="A475" s="96"/>
      <c r="B475" s="96"/>
      <c r="C475" s="96"/>
      <c r="D475" s="96"/>
      <c r="E475" s="96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98"/>
      <c r="Q475" s="96"/>
      <c r="T475" s="98"/>
      <c r="U475" s="98"/>
    </row>
    <row r="476">
      <c r="A476" s="96"/>
      <c r="B476" s="96"/>
      <c r="C476" s="96"/>
      <c r="D476" s="96"/>
      <c r="E476" s="96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98"/>
      <c r="Q476" s="96"/>
      <c r="T476" s="98"/>
      <c r="U476" s="98"/>
    </row>
    <row r="477">
      <c r="A477" s="96"/>
      <c r="B477" s="96"/>
      <c r="C477" s="96"/>
      <c r="D477" s="96"/>
      <c r="E477" s="96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98"/>
      <c r="Q477" s="96"/>
      <c r="T477" s="98"/>
      <c r="U477" s="98"/>
    </row>
    <row r="478">
      <c r="A478" s="96"/>
      <c r="B478" s="96"/>
      <c r="C478" s="96"/>
      <c r="D478" s="96"/>
      <c r="E478" s="96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98"/>
      <c r="Q478" s="96"/>
      <c r="T478" s="98"/>
      <c r="U478" s="98"/>
    </row>
    <row r="479">
      <c r="A479" s="96"/>
      <c r="B479" s="96"/>
      <c r="C479" s="96"/>
      <c r="D479" s="96"/>
      <c r="E479" s="96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98"/>
      <c r="Q479" s="96"/>
      <c r="T479" s="98"/>
      <c r="U479" s="98"/>
    </row>
    <row r="480">
      <c r="A480" s="96"/>
      <c r="B480" s="96"/>
      <c r="C480" s="96"/>
      <c r="D480" s="96"/>
      <c r="E480" s="96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98"/>
      <c r="Q480" s="96"/>
      <c r="T480" s="98"/>
      <c r="U480" s="98"/>
    </row>
    <row r="481">
      <c r="A481" s="96"/>
      <c r="B481" s="96"/>
      <c r="C481" s="96"/>
      <c r="D481" s="96"/>
      <c r="E481" s="96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98"/>
      <c r="Q481" s="96"/>
      <c r="T481" s="98"/>
      <c r="U481" s="98"/>
    </row>
    <row r="482">
      <c r="A482" s="96"/>
      <c r="B482" s="96"/>
      <c r="C482" s="96"/>
      <c r="D482" s="96"/>
      <c r="E482" s="96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98"/>
      <c r="Q482" s="96"/>
      <c r="T482" s="98"/>
      <c r="U482" s="98"/>
    </row>
    <row r="483">
      <c r="A483" s="96"/>
      <c r="B483" s="96"/>
      <c r="C483" s="96"/>
      <c r="D483" s="96"/>
      <c r="E483" s="96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98"/>
      <c r="Q483" s="96"/>
      <c r="T483" s="98"/>
      <c r="U483" s="98"/>
    </row>
    <row r="484">
      <c r="A484" s="96"/>
      <c r="B484" s="96"/>
      <c r="C484" s="96"/>
      <c r="D484" s="96"/>
      <c r="E484" s="96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98"/>
      <c r="Q484" s="96"/>
      <c r="T484" s="98"/>
      <c r="U484" s="98"/>
    </row>
    <row r="485">
      <c r="A485" s="96"/>
      <c r="B485" s="96"/>
      <c r="C485" s="96"/>
      <c r="D485" s="96"/>
      <c r="E485" s="96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98"/>
      <c r="Q485" s="96"/>
      <c r="T485" s="98"/>
      <c r="U485" s="98"/>
    </row>
    <row r="486">
      <c r="A486" s="96"/>
      <c r="B486" s="96"/>
      <c r="C486" s="96"/>
      <c r="D486" s="96"/>
      <c r="E486" s="96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98"/>
      <c r="Q486" s="96"/>
      <c r="T486" s="98"/>
      <c r="U486" s="98"/>
    </row>
    <row r="487">
      <c r="A487" s="96"/>
      <c r="B487" s="96"/>
      <c r="C487" s="96"/>
      <c r="D487" s="96"/>
      <c r="E487" s="96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98"/>
      <c r="Q487" s="96"/>
      <c r="T487" s="98"/>
      <c r="U487" s="98"/>
    </row>
    <row r="488">
      <c r="A488" s="96"/>
      <c r="B488" s="96"/>
      <c r="C488" s="96"/>
      <c r="D488" s="96"/>
      <c r="E488" s="96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98"/>
      <c r="Q488" s="96"/>
      <c r="T488" s="98"/>
      <c r="U488" s="98"/>
    </row>
    <row r="489">
      <c r="A489" s="96"/>
      <c r="B489" s="96"/>
      <c r="C489" s="96"/>
      <c r="D489" s="96"/>
      <c r="E489" s="96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98"/>
      <c r="Q489" s="96"/>
      <c r="T489" s="98"/>
      <c r="U489" s="98"/>
    </row>
    <row r="490">
      <c r="A490" s="96"/>
      <c r="B490" s="96"/>
      <c r="C490" s="96"/>
      <c r="D490" s="96"/>
      <c r="E490" s="96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98"/>
      <c r="Q490" s="96"/>
      <c r="T490" s="98"/>
      <c r="U490" s="98"/>
    </row>
    <row r="491">
      <c r="A491" s="96"/>
      <c r="B491" s="96"/>
      <c r="C491" s="96"/>
      <c r="D491" s="96"/>
      <c r="E491" s="96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98"/>
      <c r="Q491" s="96"/>
      <c r="T491" s="98"/>
      <c r="U491" s="98"/>
    </row>
    <row r="492">
      <c r="A492" s="96"/>
      <c r="B492" s="96"/>
      <c r="C492" s="96"/>
      <c r="D492" s="96"/>
      <c r="E492" s="96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98"/>
      <c r="Q492" s="96"/>
      <c r="T492" s="98"/>
      <c r="U492" s="98"/>
    </row>
    <row r="493">
      <c r="A493" s="96"/>
      <c r="B493" s="96"/>
      <c r="C493" s="96"/>
      <c r="D493" s="96"/>
      <c r="E493" s="96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98"/>
      <c r="Q493" s="96"/>
      <c r="T493" s="98"/>
      <c r="U493" s="98"/>
    </row>
    <row r="494">
      <c r="A494" s="96"/>
      <c r="B494" s="96"/>
      <c r="C494" s="96"/>
      <c r="D494" s="96"/>
      <c r="E494" s="96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98"/>
      <c r="Q494" s="96"/>
      <c r="T494" s="98"/>
      <c r="U494" s="98"/>
    </row>
    <row r="495">
      <c r="A495" s="96"/>
      <c r="B495" s="96"/>
      <c r="C495" s="96"/>
      <c r="D495" s="96"/>
      <c r="E495" s="96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98"/>
      <c r="Q495" s="96"/>
      <c r="T495" s="98"/>
      <c r="U495" s="98"/>
    </row>
    <row r="496">
      <c r="A496" s="96"/>
      <c r="B496" s="96"/>
      <c r="C496" s="96"/>
      <c r="D496" s="96"/>
      <c r="E496" s="96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98"/>
      <c r="Q496" s="96"/>
      <c r="T496" s="98"/>
      <c r="U496" s="98"/>
    </row>
    <row r="497">
      <c r="A497" s="96"/>
      <c r="B497" s="96"/>
      <c r="C497" s="96"/>
      <c r="D497" s="96"/>
      <c r="E497" s="96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98"/>
      <c r="Q497" s="96"/>
      <c r="T497" s="98"/>
      <c r="U497" s="98"/>
    </row>
    <row r="498">
      <c r="A498" s="96"/>
      <c r="B498" s="96"/>
      <c r="C498" s="96"/>
      <c r="D498" s="96"/>
      <c r="E498" s="96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98"/>
      <c r="Q498" s="96"/>
      <c r="T498" s="98"/>
      <c r="U498" s="98"/>
    </row>
    <row r="499">
      <c r="A499" s="96"/>
      <c r="B499" s="96"/>
      <c r="C499" s="96"/>
      <c r="D499" s="96"/>
      <c r="E499" s="96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98"/>
      <c r="Q499" s="96"/>
      <c r="T499" s="98"/>
      <c r="U499" s="98"/>
    </row>
    <row r="500">
      <c r="A500" s="96"/>
      <c r="B500" s="96"/>
      <c r="C500" s="96"/>
      <c r="D500" s="96"/>
      <c r="E500" s="96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98"/>
      <c r="Q500" s="96"/>
      <c r="T500" s="98"/>
      <c r="U500" s="98"/>
    </row>
    <row r="501">
      <c r="A501" s="96"/>
      <c r="B501" s="96"/>
      <c r="C501" s="96"/>
      <c r="D501" s="96"/>
      <c r="E501" s="96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98"/>
      <c r="Q501" s="96"/>
      <c r="T501" s="98"/>
      <c r="U501" s="98"/>
    </row>
    <row r="502">
      <c r="A502" s="96"/>
      <c r="B502" s="96"/>
      <c r="C502" s="96"/>
      <c r="D502" s="96"/>
      <c r="E502" s="96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98"/>
      <c r="Q502" s="96"/>
      <c r="T502" s="98"/>
      <c r="U502" s="98"/>
    </row>
    <row r="503">
      <c r="A503" s="96"/>
      <c r="B503" s="96"/>
      <c r="C503" s="96"/>
      <c r="D503" s="96"/>
      <c r="E503" s="96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98"/>
      <c r="Q503" s="96"/>
      <c r="T503" s="98"/>
      <c r="U503" s="98"/>
    </row>
    <row r="504">
      <c r="A504" s="96"/>
      <c r="B504" s="96"/>
      <c r="C504" s="96"/>
      <c r="D504" s="96"/>
      <c r="E504" s="96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98"/>
      <c r="Q504" s="96"/>
      <c r="T504" s="98"/>
      <c r="U504" s="98"/>
    </row>
    <row r="505">
      <c r="A505" s="96"/>
      <c r="B505" s="96"/>
      <c r="C505" s="96"/>
      <c r="D505" s="96"/>
      <c r="E505" s="96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98"/>
      <c r="Q505" s="96"/>
      <c r="T505" s="98"/>
      <c r="U505" s="98"/>
    </row>
    <row r="506">
      <c r="A506" s="96"/>
      <c r="B506" s="96"/>
      <c r="C506" s="96"/>
      <c r="D506" s="96"/>
      <c r="E506" s="96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98"/>
      <c r="Q506" s="96"/>
      <c r="T506" s="98"/>
      <c r="U506" s="98"/>
    </row>
    <row r="507">
      <c r="A507" s="96"/>
      <c r="B507" s="96"/>
      <c r="C507" s="96"/>
      <c r="D507" s="96"/>
      <c r="E507" s="96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98"/>
      <c r="Q507" s="96"/>
      <c r="T507" s="98"/>
      <c r="U507" s="98"/>
    </row>
    <row r="508">
      <c r="A508" s="96"/>
      <c r="B508" s="96"/>
      <c r="C508" s="96"/>
      <c r="D508" s="96"/>
      <c r="E508" s="96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98"/>
      <c r="Q508" s="96"/>
      <c r="T508" s="98"/>
      <c r="U508" s="98"/>
    </row>
    <row r="509">
      <c r="A509" s="96"/>
      <c r="B509" s="96"/>
      <c r="C509" s="96"/>
      <c r="D509" s="96"/>
      <c r="E509" s="96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98"/>
      <c r="Q509" s="96"/>
      <c r="T509" s="98"/>
      <c r="U509" s="98"/>
    </row>
    <row r="510">
      <c r="A510" s="96"/>
      <c r="B510" s="96"/>
      <c r="C510" s="96"/>
      <c r="D510" s="96"/>
      <c r="E510" s="96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98"/>
      <c r="Q510" s="96"/>
      <c r="T510" s="98"/>
      <c r="U510" s="98"/>
    </row>
    <row r="511">
      <c r="A511" s="96"/>
      <c r="B511" s="96"/>
      <c r="C511" s="96"/>
      <c r="D511" s="96"/>
      <c r="E511" s="96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98"/>
      <c r="Q511" s="96"/>
      <c r="T511" s="98"/>
      <c r="U511" s="98"/>
    </row>
    <row r="512">
      <c r="A512" s="96"/>
      <c r="B512" s="96"/>
      <c r="C512" s="96"/>
      <c r="D512" s="96"/>
      <c r="E512" s="96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98"/>
      <c r="Q512" s="96"/>
      <c r="T512" s="98"/>
      <c r="U512" s="98"/>
    </row>
    <row r="513">
      <c r="A513" s="96"/>
      <c r="B513" s="96"/>
      <c r="C513" s="96"/>
      <c r="D513" s="96"/>
      <c r="E513" s="96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98"/>
      <c r="Q513" s="96"/>
      <c r="T513" s="98"/>
      <c r="U513" s="98"/>
    </row>
    <row r="514">
      <c r="A514" s="96"/>
      <c r="B514" s="96"/>
      <c r="C514" s="96"/>
      <c r="D514" s="96"/>
      <c r="E514" s="96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98"/>
      <c r="Q514" s="96"/>
      <c r="T514" s="98"/>
      <c r="U514" s="98"/>
    </row>
    <row r="515">
      <c r="A515" s="96"/>
      <c r="B515" s="96"/>
      <c r="C515" s="96"/>
      <c r="D515" s="96"/>
      <c r="E515" s="96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98"/>
      <c r="Q515" s="96"/>
      <c r="T515" s="98"/>
      <c r="U515" s="98"/>
    </row>
    <row r="516">
      <c r="A516" s="96"/>
      <c r="B516" s="96"/>
      <c r="C516" s="96"/>
      <c r="D516" s="96"/>
      <c r="E516" s="96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98"/>
      <c r="Q516" s="96"/>
      <c r="T516" s="98"/>
      <c r="U516" s="98"/>
    </row>
    <row r="517">
      <c r="A517" s="96"/>
      <c r="B517" s="96"/>
      <c r="C517" s="96"/>
      <c r="D517" s="96"/>
      <c r="E517" s="96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98"/>
      <c r="Q517" s="96"/>
      <c r="T517" s="98"/>
      <c r="U517" s="98"/>
    </row>
    <row r="518">
      <c r="A518" s="96"/>
      <c r="B518" s="96"/>
      <c r="C518" s="96"/>
      <c r="D518" s="96"/>
      <c r="E518" s="96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98"/>
      <c r="Q518" s="96"/>
      <c r="T518" s="98"/>
      <c r="U518" s="98"/>
    </row>
    <row r="519">
      <c r="A519" s="96"/>
      <c r="B519" s="96"/>
      <c r="C519" s="96"/>
      <c r="D519" s="96"/>
      <c r="E519" s="96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98"/>
      <c r="Q519" s="96"/>
      <c r="T519" s="98"/>
      <c r="U519" s="98"/>
    </row>
    <row r="520">
      <c r="A520" s="96"/>
      <c r="B520" s="96"/>
      <c r="C520" s="96"/>
      <c r="D520" s="96"/>
      <c r="E520" s="96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98"/>
      <c r="Q520" s="96"/>
      <c r="T520" s="98"/>
      <c r="U520" s="98"/>
    </row>
    <row r="521">
      <c r="A521" s="96"/>
      <c r="B521" s="96"/>
      <c r="C521" s="96"/>
      <c r="D521" s="96"/>
      <c r="E521" s="96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98"/>
      <c r="Q521" s="96"/>
      <c r="T521" s="98"/>
      <c r="U521" s="98"/>
    </row>
    <row r="522">
      <c r="A522" s="96"/>
      <c r="B522" s="96"/>
      <c r="C522" s="96"/>
      <c r="D522" s="96"/>
      <c r="E522" s="96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98"/>
      <c r="Q522" s="96"/>
      <c r="T522" s="98"/>
      <c r="U522" s="98"/>
    </row>
    <row r="523">
      <c r="A523" s="96"/>
      <c r="B523" s="96"/>
      <c r="C523" s="96"/>
      <c r="D523" s="96"/>
      <c r="E523" s="96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98"/>
      <c r="Q523" s="96"/>
      <c r="T523" s="98"/>
      <c r="U523" s="98"/>
    </row>
    <row r="524">
      <c r="A524" s="96"/>
      <c r="B524" s="96"/>
      <c r="C524" s="96"/>
      <c r="D524" s="96"/>
      <c r="E524" s="96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98"/>
      <c r="Q524" s="96"/>
      <c r="T524" s="98"/>
      <c r="U524" s="98"/>
    </row>
    <row r="525">
      <c r="A525" s="96"/>
      <c r="B525" s="96"/>
      <c r="C525" s="96"/>
      <c r="D525" s="96"/>
      <c r="E525" s="96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98"/>
      <c r="Q525" s="96"/>
      <c r="T525" s="98"/>
      <c r="U525" s="98"/>
    </row>
    <row r="526">
      <c r="A526" s="96"/>
      <c r="B526" s="96"/>
      <c r="C526" s="96"/>
      <c r="D526" s="96"/>
      <c r="E526" s="96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98"/>
      <c r="Q526" s="96"/>
      <c r="T526" s="98"/>
      <c r="U526" s="98"/>
    </row>
    <row r="527">
      <c r="A527" s="96"/>
      <c r="B527" s="96"/>
      <c r="C527" s="96"/>
      <c r="D527" s="96"/>
      <c r="E527" s="96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98"/>
      <c r="Q527" s="96"/>
      <c r="T527" s="98"/>
      <c r="U527" s="98"/>
    </row>
    <row r="528">
      <c r="A528" s="96"/>
      <c r="B528" s="96"/>
      <c r="C528" s="96"/>
      <c r="D528" s="96"/>
      <c r="E528" s="96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98"/>
      <c r="Q528" s="96"/>
      <c r="T528" s="98"/>
      <c r="U528" s="98"/>
    </row>
    <row r="529">
      <c r="A529" s="96"/>
      <c r="B529" s="96"/>
      <c r="C529" s="96"/>
      <c r="D529" s="96"/>
      <c r="E529" s="96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98"/>
      <c r="Q529" s="96"/>
      <c r="T529" s="98"/>
      <c r="U529" s="98"/>
    </row>
    <row r="530">
      <c r="A530" s="96"/>
      <c r="B530" s="96"/>
      <c r="C530" s="96"/>
      <c r="D530" s="96"/>
      <c r="E530" s="96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98"/>
      <c r="Q530" s="96"/>
      <c r="T530" s="98"/>
      <c r="U530" s="98"/>
    </row>
    <row r="531">
      <c r="A531" s="96"/>
      <c r="B531" s="96"/>
      <c r="C531" s="96"/>
      <c r="D531" s="96"/>
      <c r="E531" s="96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98"/>
      <c r="Q531" s="96"/>
      <c r="T531" s="98"/>
      <c r="U531" s="98"/>
    </row>
    <row r="532">
      <c r="A532" s="96"/>
      <c r="B532" s="96"/>
      <c r="C532" s="96"/>
      <c r="D532" s="96"/>
      <c r="E532" s="96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98"/>
      <c r="Q532" s="96"/>
      <c r="T532" s="98"/>
      <c r="U532" s="98"/>
    </row>
    <row r="533">
      <c r="A533" s="96"/>
      <c r="B533" s="96"/>
      <c r="C533" s="96"/>
      <c r="D533" s="96"/>
      <c r="E533" s="96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98"/>
      <c r="Q533" s="96"/>
      <c r="T533" s="98"/>
      <c r="U533" s="98"/>
    </row>
    <row r="534">
      <c r="A534" s="96"/>
      <c r="B534" s="96"/>
      <c r="C534" s="96"/>
      <c r="D534" s="96"/>
      <c r="E534" s="96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98"/>
      <c r="Q534" s="96"/>
      <c r="T534" s="98"/>
      <c r="U534" s="98"/>
    </row>
    <row r="535">
      <c r="A535" s="96"/>
      <c r="B535" s="96"/>
      <c r="C535" s="96"/>
      <c r="D535" s="96"/>
      <c r="E535" s="96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98"/>
      <c r="Q535" s="96"/>
      <c r="T535" s="98"/>
      <c r="U535" s="98"/>
    </row>
    <row r="536">
      <c r="A536" s="96"/>
      <c r="B536" s="96"/>
      <c r="C536" s="96"/>
      <c r="D536" s="96"/>
      <c r="E536" s="96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98"/>
      <c r="Q536" s="96"/>
      <c r="T536" s="98"/>
      <c r="U536" s="98"/>
    </row>
    <row r="537">
      <c r="A537" s="96"/>
      <c r="B537" s="96"/>
      <c r="C537" s="96"/>
      <c r="D537" s="96"/>
      <c r="E537" s="96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98"/>
      <c r="Q537" s="96"/>
      <c r="T537" s="98"/>
      <c r="U537" s="98"/>
    </row>
    <row r="538">
      <c r="A538" s="96"/>
      <c r="B538" s="96"/>
      <c r="C538" s="96"/>
      <c r="D538" s="96"/>
      <c r="E538" s="96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98"/>
      <c r="Q538" s="96"/>
      <c r="T538" s="98"/>
      <c r="U538" s="98"/>
    </row>
    <row r="539">
      <c r="A539" s="96"/>
      <c r="B539" s="96"/>
      <c r="C539" s="96"/>
      <c r="D539" s="96"/>
      <c r="E539" s="96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98"/>
      <c r="Q539" s="96"/>
      <c r="T539" s="98"/>
      <c r="U539" s="98"/>
    </row>
    <row r="540">
      <c r="A540" s="96"/>
      <c r="B540" s="96"/>
      <c r="C540" s="96"/>
      <c r="D540" s="96"/>
      <c r="E540" s="96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98"/>
      <c r="Q540" s="96"/>
      <c r="T540" s="98"/>
      <c r="U540" s="98"/>
    </row>
    <row r="541">
      <c r="A541" s="96"/>
      <c r="B541" s="96"/>
      <c r="C541" s="96"/>
      <c r="D541" s="96"/>
      <c r="E541" s="96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98"/>
      <c r="Q541" s="96"/>
      <c r="T541" s="98"/>
      <c r="U541" s="98"/>
    </row>
    <row r="542">
      <c r="A542" s="96"/>
      <c r="B542" s="96"/>
      <c r="C542" s="96"/>
      <c r="D542" s="96"/>
      <c r="E542" s="96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98"/>
      <c r="Q542" s="96"/>
      <c r="T542" s="98"/>
      <c r="U542" s="98"/>
    </row>
    <row r="543">
      <c r="A543" s="96"/>
      <c r="B543" s="96"/>
      <c r="C543" s="96"/>
      <c r="D543" s="96"/>
      <c r="E543" s="96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98"/>
      <c r="Q543" s="96"/>
      <c r="T543" s="98"/>
      <c r="U543" s="98"/>
    </row>
    <row r="544">
      <c r="A544" s="96"/>
      <c r="B544" s="96"/>
      <c r="C544" s="96"/>
      <c r="D544" s="96"/>
      <c r="E544" s="96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98"/>
      <c r="Q544" s="96"/>
      <c r="T544" s="98"/>
      <c r="U544" s="98"/>
    </row>
    <row r="545">
      <c r="A545" s="96"/>
      <c r="B545" s="96"/>
      <c r="C545" s="96"/>
      <c r="D545" s="96"/>
      <c r="E545" s="96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98"/>
      <c r="Q545" s="96"/>
      <c r="T545" s="98"/>
      <c r="U545" s="98"/>
    </row>
    <row r="546">
      <c r="A546" s="96"/>
      <c r="B546" s="96"/>
      <c r="C546" s="96"/>
      <c r="D546" s="96"/>
      <c r="E546" s="96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98"/>
      <c r="Q546" s="96"/>
      <c r="T546" s="98"/>
      <c r="U546" s="98"/>
    </row>
    <row r="547">
      <c r="A547" s="96"/>
      <c r="B547" s="96"/>
      <c r="C547" s="96"/>
      <c r="D547" s="96"/>
      <c r="E547" s="96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98"/>
      <c r="Q547" s="96"/>
      <c r="T547" s="98"/>
      <c r="U547" s="98"/>
    </row>
    <row r="548">
      <c r="A548" s="96"/>
      <c r="B548" s="96"/>
      <c r="C548" s="96"/>
      <c r="D548" s="96"/>
      <c r="E548" s="96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98"/>
      <c r="Q548" s="96"/>
      <c r="T548" s="98"/>
      <c r="U548" s="98"/>
    </row>
    <row r="549">
      <c r="A549" s="96"/>
      <c r="B549" s="96"/>
      <c r="C549" s="96"/>
      <c r="D549" s="96"/>
      <c r="E549" s="96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98"/>
      <c r="Q549" s="96"/>
      <c r="T549" s="98"/>
      <c r="U549" s="98"/>
    </row>
    <row r="550">
      <c r="A550" s="96"/>
      <c r="B550" s="96"/>
      <c r="C550" s="96"/>
      <c r="D550" s="96"/>
      <c r="E550" s="96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98"/>
      <c r="Q550" s="96"/>
      <c r="T550" s="98"/>
      <c r="U550" s="98"/>
    </row>
    <row r="551">
      <c r="A551" s="96"/>
      <c r="B551" s="96"/>
      <c r="C551" s="96"/>
      <c r="D551" s="96"/>
      <c r="E551" s="96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98"/>
      <c r="Q551" s="96"/>
      <c r="T551" s="98"/>
      <c r="U551" s="98"/>
    </row>
    <row r="552">
      <c r="A552" s="96"/>
      <c r="B552" s="96"/>
      <c r="C552" s="96"/>
      <c r="D552" s="96"/>
      <c r="E552" s="96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98"/>
      <c r="Q552" s="96"/>
      <c r="T552" s="98"/>
      <c r="U552" s="98"/>
    </row>
    <row r="553">
      <c r="A553" s="96"/>
      <c r="B553" s="96"/>
      <c r="C553" s="96"/>
      <c r="D553" s="96"/>
      <c r="E553" s="96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98"/>
      <c r="Q553" s="96"/>
      <c r="T553" s="98"/>
      <c r="U553" s="98"/>
    </row>
    <row r="554">
      <c r="A554" s="96"/>
      <c r="B554" s="96"/>
      <c r="C554" s="96"/>
      <c r="D554" s="96"/>
      <c r="E554" s="96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98"/>
      <c r="Q554" s="96"/>
      <c r="T554" s="98"/>
      <c r="U554" s="98"/>
    </row>
    <row r="555">
      <c r="A555" s="96"/>
      <c r="B555" s="96"/>
      <c r="C555" s="96"/>
      <c r="D555" s="96"/>
      <c r="E555" s="96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98"/>
      <c r="Q555" s="96"/>
      <c r="T555" s="98"/>
      <c r="U555" s="98"/>
    </row>
    <row r="556">
      <c r="A556" s="96"/>
      <c r="B556" s="96"/>
      <c r="C556" s="96"/>
      <c r="D556" s="96"/>
      <c r="E556" s="96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98"/>
      <c r="Q556" s="96"/>
      <c r="T556" s="98"/>
      <c r="U556" s="98"/>
    </row>
    <row r="557">
      <c r="A557" s="96"/>
      <c r="B557" s="96"/>
      <c r="C557" s="96"/>
      <c r="D557" s="96"/>
      <c r="E557" s="96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98"/>
      <c r="Q557" s="96"/>
      <c r="T557" s="98"/>
      <c r="U557" s="98"/>
    </row>
    <row r="558">
      <c r="A558" s="96"/>
      <c r="B558" s="96"/>
      <c r="C558" s="96"/>
      <c r="D558" s="96"/>
      <c r="E558" s="96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98"/>
      <c r="Q558" s="96"/>
      <c r="T558" s="98"/>
      <c r="U558" s="98"/>
    </row>
    <row r="559">
      <c r="A559" s="96"/>
      <c r="B559" s="96"/>
      <c r="C559" s="96"/>
      <c r="D559" s="96"/>
      <c r="E559" s="96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98"/>
      <c r="Q559" s="96"/>
      <c r="T559" s="98"/>
      <c r="U559" s="98"/>
    </row>
    <row r="560">
      <c r="A560" s="96"/>
      <c r="B560" s="96"/>
      <c r="C560" s="96"/>
      <c r="D560" s="96"/>
      <c r="E560" s="96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98"/>
      <c r="Q560" s="96"/>
      <c r="T560" s="98"/>
      <c r="U560" s="98"/>
    </row>
    <row r="561">
      <c r="A561" s="96"/>
      <c r="B561" s="96"/>
      <c r="C561" s="96"/>
      <c r="D561" s="96"/>
      <c r="E561" s="96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98"/>
      <c r="Q561" s="96"/>
      <c r="T561" s="98"/>
      <c r="U561" s="98"/>
    </row>
    <row r="562">
      <c r="A562" s="96"/>
      <c r="B562" s="96"/>
      <c r="C562" s="96"/>
      <c r="D562" s="96"/>
      <c r="E562" s="96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98"/>
      <c r="Q562" s="96"/>
      <c r="T562" s="98"/>
      <c r="U562" s="98"/>
    </row>
    <row r="563">
      <c r="A563" s="96"/>
      <c r="B563" s="96"/>
      <c r="C563" s="96"/>
      <c r="D563" s="96"/>
      <c r="E563" s="96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98"/>
      <c r="Q563" s="96"/>
      <c r="T563" s="98"/>
      <c r="U563" s="98"/>
    </row>
    <row r="564">
      <c r="A564" s="96"/>
      <c r="B564" s="96"/>
      <c r="C564" s="96"/>
      <c r="D564" s="96"/>
      <c r="E564" s="96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98"/>
      <c r="Q564" s="96"/>
      <c r="T564" s="98"/>
      <c r="U564" s="98"/>
    </row>
    <row r="565">
      <c r="A565" s="96"/>
      <c r="B565" s="96"/>
      <c r="C565" s="96"/>
      <c r="D565" s="96"/>
      <c r="E565" s="96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98"/>
      <c r="Q565" s="96"/>
      <c r="T565" s="98"/>
      <c r="U565" s="98"/>
    </row>
    <row r="566">
      <c r="A566" s="96"/>
      <c r="B566" s="96"/>
      <c r="C566" s="96"/>
      <c r="D566" s="96"/>
      <c r="E566" s="96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98"/>
      <c r="Q566" s="96"/>
      <c r="T566" s="98"/>
      <c r="U566" s="98"/>
    </row>
    <row r="567">
      <c r="A567" s="96"/>
      <c r="B567" s="96"/>
      <c r="C567" s="96"/>
      <c r="D567" s="96"/>
      <c r="E567" s="96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98"/>
      <c r="Q567" s="96"/>
      <c r="T567" s="98"/>
      <c r="U567" s="98"/>
    </row>
    <row r="568">
      <c r="A568" s="96"/>
      <c r="B568" s="96"/>
      <c r="C568" s="96"/>
      <c r="D568" s="96"/>
      <c r="E568" s="96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98"/>
      <c r="Q568" s="96"/>
      <c r="T568" s="98"/>
      <c r="U568" s="98"/>
    </row>
    <row r="569">
      <c r="A569" s="96"/>
      <c r="B569" s="96"/>
      <c r="C569" s="96"/>
      <c r="D569" s="96"/>
      <c r="E569" s="96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98"/>
      <c r="Q569" s="96"/>
      <c r="T569" s="98"/>
      <c r="U569" s="98"/>
    </row>
    <row r="570">
      <c r="A570" s="96"/>
      <c r="B570" s="96"/>
      <c r="C570" s="96"/>
      <c r="D570" s="96"/>
      <c r="E570" s="96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98"/>
      <c r="Q570" s="96"/>
      <c r="T570" s="98"/>
      <c r="U570" s="98"/>
    </row>
    <row r="571">
      <c r="A571" s="96"/>
      <c r="B571" s="96"/>
      <c r="C571" s="96"/>
      <c r="D571" s="96"/>
      <c r="E571" s="96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98"/>
      <c r="Q571" s="96"/>
      <c r="T571" s="98"/>
      <c r="U571" s="98"/>
    </row>
    <row r="572">
      <c r="A572" s="96"/>
      <c r="B572" s="96"/>
      <c r="C572" s="96"/>
      <c r="D572" s="96"/>
      <c r="E572" s="96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98"/>
      <c r="Q572" s="96"/>
      <c r="T572" s="98"/>
      <c r="U572" s="98"/>
    </row>
    <row r="573">
      <c r="A573" s="96"/>
      <c r="B573" s="96"/>
      <c r="C573" s="96"/>
      <c r="D573" s="96"/>
      <c r="E573" s="96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98"/>
      <c r="Q573" s="96"/>
      <c r="T573" s="98"/>
      <c r="U573" s="98"/>
    </row>
    <row r="574">
      <c r="A574" s="96"/>
      <c r="B574" s="96"/>
      <c r="C574" s="96"/>
      <c r="D574" s="96"/>
      <c r="E574" s="96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98"/>
      <c r="Q574" s="96"/>
      <c r="T574" s="98"/>
      <c r="U574" s="98"/>
    </row>
    <row r="575">
      <c r="A575" s="96"/>
      <c r="B575" s="96"/>
      <c r="C575" s="96"/>
      <c r="D575" s="96"/>
      <c r="E575" s="96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98"/>
      <c r="Q575" s="96"/>
      <c r="T575" s="98"/>
      <c r="U575" s="98"/>
    </row>
    <row r="576">
      <c r="A576" s="96"/>
      <c r="B576" s="96"/>
      <c r="C576" s="96"/>
      <c r="D576" s="96"/>
      <c r="E576" s="96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98"/>
      <c r="Q576" s="96"/>
      <c r="T576" s="98"/>
      <c r="U576" s="98"/>
    </row>
    <row r="577">
      <c r="A577" s="96"/>
      <c r="B577" s="96"/>
      <c r="C577" s="96"/>
      <c r="D577" s="96"/>
      <c r="E577" s="96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98"/>
      <c r="Q577" s="96"/>
      <c r="T577" s="98"/>
      <c r="U577" s="98"/>
    </row>
    <row r="578">
      <c r="A578" s="96"/>
      <c r="B578" s="96"/>
      <c r="C578" s="96"/>
      <c r="D578" s="96"/>
      <c r="E578" s="96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98"/>
      <c r="Q578" s="96"/>
      <c r="T578" s="98"/>
      <c r="U578" s="98"/>
    </row>
    <row r="579">
      <c r="A579" s="96"/>
      <c r="B579" s="96"/>
      <c r="C579" s="96"/>
      <c r="D579" s="96"/>
      <c r="E579" s="96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98"/>
      <c r="Q579" s="96"/>
      <c r="T579" s="98"/>
      <c r="U579" s="98"/>
    </row>
    <row r="580">
      <c r="A580" s="96"/>
      <c r="B580" s="96"/>
      <c r="C580" s="96"/>
      <c r="D580" s="96"/>
      <c r="E580" s="96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98"/>
      <c r="Q580" s="96"/>
      <c r="T580" s="98"/>
      <c r="U580" s="98"/>
    </row>
    <row r="581">
      <c r="A581" s="96"/>
      <c r="B581" s="96"/>
      <c r="C581" s="96"/>
      <c r="D581" s="96"/>
      <c r="E581" s="96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98"/>
      <c r="Q581" s="96"/>
      <c r="T581" s="98"/>
      <c r="U581" s="98"/>
    </row>
    <row r="582">
      <c r="A582" s="96"/>
      <c r="B582" s="96"/>
      <c r="C582" s="96"/>
      <c r="D582" s="96"/>
      <c r="E582" s="96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98"/>
      <c r="Q582" s="96"/>
      <c r="T582" s="98"/>
      <c r="U582" s="98"/>
    </row>
    <row r="583">
      <c r="A583" s="96"/>
      <c r="B583" s="96"/>
      <c r="C583" s="96"/>
      <c r="D583" s="96"/>
      <c r="E583" s="96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98"/>
      <c r="Q583" s="96"/>
      <c r="T583" s="98"/>
      <c r="U583" s="98"/>
    </row>
    <row r="584">
      <c r="A584" s="96"/>
      <c r="B584" s="96"/>
      <c r="C584" s="96"/>
      <c r="D584" s="96"/>
      <c r="E584" s="96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98"/>
      <c r="Q584" s="96"/>
      <c r="T584" s="98"/>
      <c r="U584" s="98"/>
    </row>
    <row r="585">
      <c r="A585" s="96"/>
      <c r="B585" s="96"/>
      <c r="C585" s="96"/>
      <c r="D585" s="96"/>
      <c r="E585" s="96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98"/>
      <c r="Q585" s="96"/>
      <c r="T585" s="98"/>
      <c r="U585" s="98"/>
    </row>
    <row r="586">
      <c r="A586" s="96"/>
      <c r="B586" s="96"/>
      <c r="C586" s="96"/>
      <c r="D586" s="96"/>
      <c r="E586" s="96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98"/>
      <c r="Q586" s="96"/>
      <c r="T586" s="98"/>
      <c r="U586" s="98"/>
    </row>
    <row r="587">
      <c r="A587" s="96"/>
      <c r="B587" s="96"/>
      <c r="C587" s="96"/>
      <c r="D587" s="96"/>
      <c r="E587" s="96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98"/>
      <c r="Q587" s="96"/>
      <c r="T587" s="98"/>
      <c r="U587" s="98"/>
    </row>
    <row r="588">
      <c r="A588" s="96"/>
      <c r="B588" s="96"/>
      <c r="C588" s="96"/>
      <c r="D588" s="96"/>
      <c r="E588" s="96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98"/>
      <c r="Q588" s="96"/>
      <c r="T588" s="98"/>
      <c r="U588" s="98"/>
    </row>
    <row r="589">
      <c r="A589" s="96"/>
      <c r="B589" s="96"/>
      <c r="C589" s="96"/>
      <c r="D589" s="96"/>
      <c r="E589" s="96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98"/>
      <c r="Q589" s="96"/>
      <c r="T589" s="98"/>
      <c r="U589" s="98"/>
    </row>
    <row r="590">
      <c r="A590" s="96"/>
      <c r="B590" s="96"/>
      <c r="C590" s="96"/>
      <c r="D590" s="96"/>
      <c r="E590" s="96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98"/>
      <c r="Q590" s="96"/>
      <c r="T590" s="98"/>
      <c r="U590" s="98"/>
    </row>
    <row r="591">
      <c r="A591" s="96"/>
      <c r="B591" s="96"/>
      <c r="C591" s="96"/>
      <c r="D591" s="96"/>
      <c r="E591" s="96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98"/>
      <c r="Q591" s="96"/>
      <c r="T591" s="98"/>
      <c r="U591" s="98"/>
    </row>
    <row r="592">
      <c r="A592" s="96"/>
      <c r="B592" s="96"/>
      <c r="C592" s="96"/>
      <c r="D592" s="96"/>
      <c r="E592" s="96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98"/>
      <c r="Q592" s="96"/>
      <c r="T592" s="98"/>
      <c r="U592" s="98"/>
    </row>
    <row r="593">
      <c r="A593" s="96"/>
      <c r="B593" s="96"/>
      <c r="C593" s="96"/>
      <c r="D593" s="96"/>
      <c r="E593" s="96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98"/>
      <c r="Q593" s="96"/>
      <c r="T593" s="98"/>
      <c r="U593" s="98"/>
    </row>
    <row r="594">
      <c r="A594" s="96"/>
      <c r="B594" s="96"/>
      <c r="C594" s="96"/>
      <c r="D594" s="96"/>
      <c r="E594" s="96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98"/>
      <c r="Q594" s="96"/>
      <c r="T594" s="98"/>
      <c r="U594" s="98"/>
    </row>
    <row r="595">
      <c r="A595" s="96"/>
      <c r="B595" s="96"/>
      <c r="C595" s="96"/>
      <c r="D595" s="96"/>
      <c r="E595" s="96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98"/>
      <c r="Q595" s="96"/>
      <c r="T595" s="98"/>
      <c r="U595" s="98"/>
    </row>
    <row r="596">
      <c r="A596" s="96"/>
      <c r="B596" s="96"/>
      <c r="C596" s="96"/>
      <c r="D596" s="96"/>
      <c r="E596" s="96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98"/>
      <c r="Q596" s="96"/>
      <c r="T596" s="98"/>
      <c r="U596" s="98"/>
    </row>
    <row r="597">
      <c r="A597" s="96"/>
      <c r="B597" s="96"/>
      <c r="C597" s="96"/>
      <c r="D597" s="96"/>
      <c r="E597" s="96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98"/>
      <c r="Q597" s="96"/>
      <c r="T597" s="98"/>
      <c r="U597" s="98"/>
    </row>
    <row r="598">
      <c r="A598" s="96"/>
      <c r="B598" s="96"/>
      <c r="C598" s="96"/>
      <c r="D598" s="96"/>
      <c r="E598" s="96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98"/>
      <c r="Q598" s="96"/>
      <c r="T598" s="98"/>
      <c r="U598" s="98"/>
    </row>
    <row r="599">
      <c r="A599" s="96"/>
      <c r="B599" s="96"/>
      <c r="C599" s="96"/>
      <c r="D599" s="96"/>
      <c r="E599" s="96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98"/>
      <c r="Q599" s="96"/>
      <c r="T599" s="98"/>
      <c r="U599" s="98"/>
    </row>
    <row r="600">
      <c r="A600" s="96"/>
      <c r="B600" s="96"/>
      <c r="C600" s="96"/>
      <c r="D600" s="96"/>
      <c r="E600" s="96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98"/>
      <c r="Q600" s="96"/>
      <c r="T600" s="98"/>
      <c r="U600" s="98"/>
    </row>
    <row r="601">
      <c r="A601" s="96"/>
      <c r="B601" s="96"/>
      <c r="C601" s="96"/>
      <c r="D601" s="96"/>
      <c r="E601" s="96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98"/>
      <c r="Q601" s="96"/>
      <c r="T601" s="98"/>
      <c r="U601" s="98"/>
    </row>
    <row r="602">
      <c r="A602" s="96"/>
      <c r="B602" s="96"/>
      <c r="C602" s="96"/>
      <c r="D602" s="96"/>
      <c r="E602" s="96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98"/>
      <c r="Q602" s="96"/>
      <c r="T602" s="98"/>
      <c r="U602" s="98"/>
    </row>
    <row r="603">
      <c r="A603" s="96"/>
      <c r="B603" s="96"/>
      <c r="C603" s="96"/>
      <c r="D603" s="96"/>
      <c r="E603" s="96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98"/>
      <c r="Q603" s="96"/>
      <c r="T603" s="98"/>
      <c r="U603" s="98"/>
    </row>
    <row r="604">
      <c r="A604" s="96"/>
      <c r="B604" s="96"/>
      <c r="C604" s="96"/>
      <c r="D604" s="96"/>
      <c r="E604" s="96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98"/>
      <c r="Q604" s="96"/>
      <c r="T604" s="98"/>
      <c r="U604" s="98"/>
    </row>
    <row r="605">
      <c r="A605" s="96"/>
      <c r="B605" s="96"/>
      <c r="C605" s="96"/>
      <c r="D605" s="96"/>
      <c r="E605" s="96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98"/>
      <c r="Q605" s="96"/>
      <c r="T605" s="98"/>
      <c r="U605" s="98"/>
    </row>
    <row r="606">
      <c r="A606" s="96"/>
      <c r="B606" s="96"/>
      <c r="C606" s="96"/>
      <c r="D606" s="96"/>
      <c r="E606" s="96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98"/>
      <c r="Q606" s="96"/>
      <c r="T606" s="98"/>
      <c r="U606" s="98"/>
    </row>
    <row r="607">
      <c r="A607" s="96"/>
      <c r="B607" s="96"/>
      <c r="C607" s="96"/>
      <c r="D607" s="96"/>
      <c r="E607" s="96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98"/>
      <c r="Q607" s="96"/>
      <c r="T607" s="98"/>
      <c r="U607" s="98"/>
    </row>
    <row r="608">
      <c r="A608" s="96"/>
      <c r="B608" s="96"/>
      <c r="C608" s="96"/>
      <c r="D608" s="96"/>
      <c r="E608" s="96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98"/>
      <c r="Q608" s="96"/>
      <c r="T608" s="98"/>
      <c r="U608" s="98"/>
    </row>
    <row r="609">
      <c r="A609" s="96"/>
      <c r="B609" s="96"/>
      <c r="C609" s="96"/>
      <c r="D609" s="96"/>
      <c r="E609" s="96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98"/>
      <c r="Q609" s="96"/>
      <c r="T609" s="98"/>
      <c r="U609" s="98"/>
    </row>
    <row r="610">
      <c r="A610" s="96"/>
      <c r="B610" s="96"/>
      <c r="C610" s="96"/>
      <c r="D610" s="96"/>
      <c r="E610" s="96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98"/>
      <c r="Q610" s="96"/>
      <c r="T610" s="98"/>
      <c r="U610" s="98"/>
    </row>
    <row r="611">
      <c r="A611" s="96"/>
      <c r="B611" s="96"/>
      <c r="C611" s="96"/>
      <c r="D611" s="96"/>
      <c r="E611" s="96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98"/>
      <c r="Q611" s="96"/>
      <c r="T611" s="98"/>
      <c r="U611" s="98"/>
    </row>
    <row r="612">
      <c r="A612" s="96"/>
      <c r="B612" s="96"/>
      <c r="C612" s="96"/>
      <c r="D612" s="96"/>
      <c r="E612" s="96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98"/>
      <c r="Q612" s="96"/>
      <c r="T612" s="98"/>
      <c r="U612" s="98"/>
    </row>
    <row r="613">
      <c r="A613" s="96"/>
      <c r="B613" s="96"/>
      <c r="C613" s="96"/>
      <c r="D613" s="96"/>
      <c r="E613" s="96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98"/>
      <c r="Q613" s="96"/>
      <c r="T613" s="98"/>
      <c r="U613" s="98"/>
    </row>
    <row r="614">
      <c r="A614" s="96"/>
      <c r="B614" s="96"/>
      <c r="C614" s="96"/>
      <c r="D614" s="96"/>
      <c r="E614" s="96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98"/>
      <c r="Q614" s="96"/>
      <c r="T614" s="98"/>
      <c r="U614" s="98"/>
    </row>
    <row r="615">
      <c r="A615" s="96"/>
      <c r="B615" s="96"/>
      <c r="C615" s="96"/>
      <c r="D615" s="96"/>
      <c r="E615" s="96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98"/>
      <c r="Q615" s="96"/>
      <c r="T615" s="98"/>
      <c r="U615" s="98"/>
    </row>
    <row r="616">
      <c r="A616" s="96"/>
      <c r="B616" s="96"/>
      <c r="C616" s="96"/>
      <c r="D616" s="96"/>
      <c r="E616" s="96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98"/>
      <c r="Q616" s="96"/>
      <c r="T616" s="98"/>
      <c r="U616" s="98"/>
    </row>
    <row r="617">
      <c r="A617" s="96"/>
      <c r="B617" s="96"/>
      <c r="C617" s="96"/>
      <c r="D617" s="96"/>
      <c r="E617" s="96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98"/>
      <c r="Q617" s="96"/>
      <c r="T617" s="98"/>
      <c r="U617" s="98"/>
    </row>
    <row r="618">
      <c r="A618" s="96"/>
      <c r="B618" s="96"/>
      <c r="C618" s="96"/>
      <c r="D618" s="96"/>
      <c r="E618" s="96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98"/>
      <c r="Q618" s="96"/>
      <c r="T618" s="98"/>
      <c r="U618" s="98"/>
    </row>
    <row r="619">
      <c r="A619" s="96"/>
      <c r="B619" s="96"/>
      <c r="C619" s="96"/>
      <c r="D619" s="96"/>
      <c r="E619" s="96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98"/>
      <c r="Q619" s="96"/>
      <c r="T619" s="98"/>
      <c r="U619" s="98"/>
    </row>
    <row r="620">
      <c r="A620" s="96"/>
      <c r="B620" s="96"/>
      <c r="C620" s="96"/>
      <c r="D620" s="96"/>
      <c r="E620" s="96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98"/>
      <c r="Q620" s="96"/>
      <c r="T620" s="98"/>
      <c r="U620" s="98"/>
    </row>
    <row r="621">
      <c r="A621" s="96"/>
      <c r="B621" s="96"/>
      <c r="C621" s="96"/>
      <c r="D621" s="96"/>
      <c r="E621" s="96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98"/>
      <c r="Q621" s="96"/>
      <c r="T621" s="98"/>
      <c r="U621" s="98"/>
    </row>
    <row r="622">
      <c r="A622" s="96"/>
      <c r="B622" s="96"/>
      <c r="C622" s="96"/>
      <c r="D622" s="96"/>
      <c r="E622" s="96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98"/>
      <c r="Q622" s="96"/>
      <c r="T622" s="98"/>
      <c r="U622" s="98"/>
    </row>
    <row r="623">
      <c r="A623" s="96"/>
      <c r="B623" s="96"/>
      <c r="C623" s="96"/>
      <c r="D623" s="96"/>
      <c r="E623" s="96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98"/>
      <c r="Q623" s="96"/>
      <c r="T623" s="98"/>
      <c r="U623" s="98"/>
    </row>
    <row r="624">
      <c r="A624" s="96"/>
      <c r="B624" s="96"/>
      <c r="C624" s="96"/>
      <c r="D624" s="96"/>
      <c r="E624" s="96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98"/>
      <c r="Q624" s="96"/>
      <c r="T624" s="98"/>
      <c r="U624" s="98"/>
    </row>
    <row r="625">
      <c r="A625" s="96"/>
      <c r="B625" s="96"/>
      <c r="C625" s="96"/>
      <c r="D625" s="96"/>
      <c r="E625" s="96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98"/>
      <c r="Q625" s="96"/>
      <c r="T625" s="98"/>
      <c r="U625" s="98"/>
    </row>
    <row r="626">
      <c r="A626" s="96"/>
      <c r="B626" s="96"/>
      <c r="C626" s="96"/>
      <c r="D626" s="96"/>
      <c r="E626" s="96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98"/>
      <c r="Q626" s="96"/>
      <c r="T626" s="98"/>
      <c r="U626" s="98"/>
    </row>
    <row r="627">
      <c r="A627" s="96"/>
      <c r="B627" s="96"/>
      <c r="C627" s="96"/>
      <c r="D627" s="96"/>
      <c r="E627" s="96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98"/>
      <c r="Q627" s="96"/>
      <c r="T627" s="98"/>
      <c r="U627" s="98"/>
    </row>
    <row r="628">
      <c r="A628" s="96"/>
      <c r="B628" s="96"/>
      <c r="C628" s="96"/>
      <c r="D628" s="96"/>
      <c r="E628" s="96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98"/>
      <c r="Q628" s="96"/>
      <c r="T628" s="98"/>
      <c r="U628" s="98"/>
    </row>
    <row r="629">
      <c r="A629" s="96"/>
      <c r="B629" s="96"/>
      <c r="C629" s="96"/>
      <c r="D629" s="96"/>
      <c r="E629" s="96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98"/>
      <c r="Q629" s="96"/>
      <c r="T629" s="98"/>
      <c r="U629" s="98"/>
    </row>
    <row r="630">
      <c r="A630" s="96"/>
      <c r="B630" s="96"/>
      <c r="C630" s="96"/>
      <c r="D630" s="96"/>
      <c r="E630" s="96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98"/>
      <c r="Q630" s="96"/>
      <c r="T630" s="98"/>
      <c r="U630" s="98"/>
    </row>
    <row r="631">
      <c r="A631" s="96"/>
      <c r="B631" s="96"/>
      <c r="C631" s="96"/>
      <c r="D631" s="96"/>
      <c r="E631" s="96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98"/>
      <c r="Q631" s="96"/>
      <c r="T631" s="98"/>
      <c r="U631" s="98"/>
    </row>
    <row r="632">
      <c r="A632" s="96"/>
      <c r="B632" s="96"/>
      <c r="C632" s="96"/>
      <c r="D632" s="96"/>
      <c r="E632" s="96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98"/>
      <c r="Q632" s="96"/>
      <c r="T632" s="98"/>
      <c r="U632" s="98"/>
    </row>
    <row r="633">
      <c r="A633" s="96"/>
      <c r="B633" s="96"/>
      <c r="C633" s="96"/>
      <c r="D633" s="96"/>
      <c r="E633" s="96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98"/>
      <c r="Q633" s="96"/>
      <c r="T633" s="98"/>
      <c r="U633" s="98"/>
    </row>
    <row r="634">
      <c r="A634" s="96"/>
      <c r="B634" s="96"/>
      <c r="C634" s="96"/>
      <c r="D634" s="96"/>
      <c r="E634" s="96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98"/>
      <c r="Q634" s="96"/>
      <c r="T634" s="98"/>
      <c r="U634" s="98"/>
    </row>
    <row r="635">
      <c r="A635" s="96"/>
      <c r="B635" s="96"/>
      <c r="C635" s="96"/>
      <c r="D635" s="96"/>
      <c r="E635" s="96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98"/>
      <c r="Q635" s="96"/>
      <c r="T635" s="98"/>
      <c r="U635" s="98"/>
    </row>
    <row r="636">
      <c r="A636" s="96"/>
      <c r="B636" s="96"/>
      <c r="C636" s="96"/>
      <c r="D636" s="96"/>
      <c r="E636" s="96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98"/>
      <c r="Q636" s="96"/>
      <c r="T636" s="98"/>
      <c r="U636" s="98"/>
    </row>
    <row r="637">
      <c r="A637" s="96"/>
      <c r="B637" s="96"/>
      <c r="C637" s="96"/>
      <c r="D637" s="96"/>
      <c r="E637" s="96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98"/>
      <c r="Q637" s="96"/>
      <c r="T637" s="98"/>
      <c r="U637" s="98"/>
    </row>
    <row r="638">
      <c r="A638" s="96"/>
      <c r="B638" s="96"/>
      <c r="C638" s="96"/>
      <c r="D638" s="96"/>
      <c r="E638" s="96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98"/>
      <c r="Q638" s="96"/>
      <c r="T638" s="98"/>
      <c r="U638" s="98"/>
    </row>
    <row r="639">
      <c r="A639" s="96"/>
      <c r="B639" s="96"/>
      <c r="C639" s="96"/>
      <c r="D639" s="96"/>
      <c r="E639" s="96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98"/>
      <c r="Q639" s="96"/>
      <c r="T639" s="98"/>
      <c r="U639" s="98"/>
    </row>
    <row r="640">
      <c r="A640" s="96"/>
      <c r="B640" s="96"/>
      <c r="C640" s="96"/>
      <c r="D640" s="96"/>
      <c r="E640" s="96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98"/>
      <c r="Q640" s="96"/>
      <c r="T640" s="98"/>
      <c r="U640" s="98"/>
    </row>
    <row r="641">
      <c r="A641" s="96"/>
      <c r="B641" s="96"/>
      <c r="C641" s="96"/>
      <c r="D641" s="96"/>
      <c r="E641" s="96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98"/>
      <c r="Q641" s="96"/>
      <c r="T641" s="98"/>
      <c r="U641" s="98"/>
    </row>
    <row r="642">
      <c r="A642" s="96"/>
      <c r="B642" s="96"/>
      <c r="C642" s="96"/>
      <c r="D642" s="96"/>
      <c r="E642" s="96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98"/>
      <c r="Q642" s="96"/>
      <c r="T642" s="98"/>
      <c r="U642" s="98"/>
    </row>
    <row r="643">
      <c r="A643" s="96"/>
      <c r="B643" s="96"/>
      <c r="C643" s="96"/>
      <c r="D643" s="96"/>
      <c r="E643" s="96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98"/>
      <c r="Q643" s="96"/>
      <c r="T643" s="98"/>
      <c r="U643" s="98"/>
    </row>
    <row r="644">
      <c r="A644" s="96"/>
      <c r="B644" s="96"/>
      <c r="C644" s="96"/>
      <c r="D644" s="96"/>
      <c r="E644" s="96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98"/>
      <c r="Q644" s="96"/>
      <c r="T644" s="98"/>
      <c r="U644" s="98"/>
    </row>
    <row r="645">
      <c r="A645" s="96"/>
      <c r="B645" s="96"/>
      <c r="C645" s="96"/>
      <c r="D645" s="96"/>
      <c r="E645" s="96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98"/>
      <c r="Q645" s="96"/>
      <c r="T645" s="98"/>
      <c r="U645" s="98"/>
    </row>
    <row r="646">
      <c r="A646" s="96"/>
      <c r="B646" s="96"/>
      <c r="C646" s="96"/>
      <c r="D646" s="96"/>
      <c r="E646" s="96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98"/>
      <c r="Q646" s="96"/>
      <c r="T646" s="98"/>
      <c r="U646" s="98"/>
    </row>
    <row r="647">
      <c r="A647" s="96"/>
      <c r="B647" s="96"/>
      <c r="C647" s="96"/>
      <c r="D647" s="96"/>
      <c r="E647" s="96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98"/>
      <c r="Q647" s="96"/>
      <c r="T647" s="98"/>
      <c r="U647" s="98"/>
    </row>
    <row r="648">
      <c r="A648" s="96"/>
      <c r="B648" s="96"/>
      <c r="C648" s="96"/>
      <c r="D648" s="96"/>
      <c r="E648" s="96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98"/>
      <c r="Q648" s="96"/>
      <c r="T648" s="98"/>
      <c r="U648" s="98"/>
    </row>
    <row r="649">
      <c r="A649" s="96"/>
      <c r="B649" s="96"/>
      <c r="C649" s="96"/>
      <c r="D649" s="96"/>
      <c r="E649" s="96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98"/>
      <c r="Q649" s="96"/>
      <c r="T649" s="98"/>
      <c r="U649" s="98"/>
    </row>
    <row r="650">
      <c r="A650" s="96"/>
      <c r="B650" s="96"/>
      <c r="C650" s="96"/>
      <c r="D650" s="96"/>
      <c r="E650" s="96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98"/>
      <c r="Q650" s="96"/>
      <c r="T650" s="98"/>
      <c r="U650" s="98"/>
    </row>
    <row r="651">
      <c r="A651" s="96"/>
      <c r="B651" s="96"/>
      <c r="C651" s="96"/>
      <c r="D651" s="96"/>
      <c r="E651" s="96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98"/>
      <c r="Q651" s="96"/>
      <c r="T651" s="98"/>
      <c r="U651" s="98"/>
    </row>
    <row r="652">
      <c r="A652" s="96"/>
      <c r="B652" s="96"/>
      <c r="C652" s="96"/>
      <c r="D652" s="96"/>
      <c r="E652" s="96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98"/>
      <c r="Q652" s="96"/>
      <c r="T652" s="98"/>
      <c r="U652" s="98"/>
    </row>
    <row r="653">
      <c r="A653" s="96"/>
      <c r="B653" s="96"/>
      <c r="C653" s="96"/>
      <c r="D653" s="96"/>
      <c r="E653" s="96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98"/>
      <c r="Q653" s="96"/>
      <c r="T653" s="98"/>
      <c r="U653" s="98"/>
    </row>
    <row r="654">
      <c r="A654" s="96"/>
      <c r="B654" s="96"/>
      <c r="C654" s="96"/>
      <c r="D654" s="96"/>
      <c r="E654" s="96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98"/>
      <c r="Q654" s="96"/>
      <c r="T654" s="98"/>
      <c r="U654" s="98"/>
    </row>
    <row r="655">
      <c r="A655" s="96"/>
      <c r="B655" s="96"/>
      <c r="C655" s="96"/>
      <c r="D655" s="96"/>
      <c r="E655" s="96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98"/>
      <c r="Q655" s="96"/>
      <c r="T655" s="98"/>
      <c r="U655" s="98"/>
    </row>
    <row r="656">
      <c r="A656" s="96"/>
      <c r="B656" s="96"/>
      <c r="C656" s="96"/>
      <c r="D656" s="96"/>
      <c r="E656" s="96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98"/>
      <c r="Q656" s="96"/>
      <c r="T656" s="98"/>
      <c r="U656" s="98"/>
    </row>
    <row r="657">
      <c r="A657" s="96"/>
      <c r="B657" s="96"/>
      <c r="C657" s="96"/>
      <c r="D657" s="96"/>
      <c r="E657" s="96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98"/>
      <c r="Q657" s="96"/>
      <c r="T657" s="98"/>
      <c r="U657" s="98"/>
    </row>
    <row r="658">
      <c r="A658" s="96"/>
      <c r="B658" s="96"/>
      <c r="C658" s="96"/>
      <c r="D658" s="96"/>
      <c r="E658" s="96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98"/>
      <c r="Q658" s="96"/>
      <c r="T658" s="98"/>
      <c r="U658" s="98"/>
    </row>
    <row r="659">
      <c r="A659" s="96"/>
      <c r="B659" s="96"/>
      <c r="C659" s="96"/>
      <c r="D659" s="96"/>
      <c r="E659" s="96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98"/>
      <c r="Q659" s="96"/>
      <c r="T659" s="98"/>
      <c r="U659" s="98"/>
    </row>
    <row r="660">
      <c r="A660" s="96"/>
      <c r="B660" s="96"/>
      <c r="C660" s="96"/>
      <c r="D660" s="96"/>
      <c r="E660" s="96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98"/>
      <c r="Q660" s="96"/>
      <c r="T660" s="98"/>
      <c r="U660" s="98"/>
    </row>
    <row r="661">
      <c r="A661" s="96"/>
      <c r="B661" s="96"/>
      <c r="C661" s="96"/>
      <c r="D661" s="96"/>
      <c r="E661" s="96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98"/>
      <c r="Q661" s="96"/>
      <c r="T661" s="98"/>
      <c r="U661" s="98"/>
    </row>
    <row r="662">
      <c r="A662" s="96"/>
      <c r="B662" s="96"/>
      <c r="C662" s="96"/>
      <c r="D662" s="96"/>
      <c r="E662" s="96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98"/>
      <c r="Q662" s="96"/>
      <c r="T662" s="98"/>
      <c r="U662" s="98"/>
    </row>
    <row r="663">
      <c r="A663" s="96"/>
      <c r="B663" s="96"/>
      <c r="C663" s="96"/>
      <c r="D663" s="96"/>
      <c r="E663" s="96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98"/>
      <c r="Q663" s="96"/>
      <c r="T663" s="98"/>
      <c r="U663" s="98"/>
    </row>
    <row r="664">
      <c r="A664" s="96"/>
      <c r="B664" s="96"/>
      <c r="C664" s="96"/>
      <c r="D664" s="96"/>
      <c r="E664" s="96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98"/>
      <c r="Q664" s="96"/>
      <c r="T664" s="98"/>
      <c r="U664" s="98"/>
    </row>
    <row r="665">
      <c r="A665" s="96"/>
      <c r="B665" s="96"/>
      <c r="C665" s="96"/>
      <c r="D665" s="96"/>
      <c r="E665" s="96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98"/>
      <c r="Q665" s="96"/>
      <c r="T665" s="98"/>
      <c r="U665" s="98"/>
    </row>
    <row r="666">
      <c r="A666" s="96"/>
      <c r="B666" s="96"/>
      <c r="C666" s="96"/>
      <c r="D666" s="96"/>
      <c r="E666" s="96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98"/>
      <c r="Q666" s="96"/>
      <c r="T666" s="98"/>
      <c r="U666" s="98"/>
    </row>
    <row r="667">
      <c r="A667" s="96"/>
      <c r="B667" s="96"/>
      <c r="C667" s="96"/>
      <c r="D667" s="96"/>
      <c r="E667" s="96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98"/>
      <c r="Q667" s="96"/>
      <c r="T667" s="98"/>
      <c r="U667" s="98"/>
    </row>
    <row r="668">
      <c r="A668" s="96"/>
      <c r="B668" s="96"/>
      <c r="C668" s="96"/>
      <c r="D668" s="96"/>
      <c r="E668" s="96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98"/>
      <c r="Q668" s="96"/>
      <c r="T668" s="98"/>
      <c r="U668" s="98"/>
    </row>
    <row r="669">
      <c r="A669" s="96"/>
      <c r="B669" s="96"/>
      <c r="C669" s="96"/>
      <c r="D669" s="96"/>
      <c r="E669" s="96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98"/>
      <c r="Q669" s="96"/>
      <c r="T669" s="98"/>
      <c r="U669" s="98"/>
    </row>
    <row r="670">
      <c r="A670" s="96"/>
      <c r="B670" s="96"/>
      <c r="C670" s="96"/>
      <c r="D670" s="96"/>
      <c r="E670" s="96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98"/>
      <c r="Q670" s="96"/>
      <c r="T670" s="98"/>
      <c r="U670" s="98"/>
    </row>
    <row r="671">
      <c r="A671" s="96"/>
      <c r="B671" s="96"/>
      <c r="C671" s="96"/>
      <c r="D671" s="96"/>
      <c r="E671" s="96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98"/>
      <c r="Q671" s="96"/>
      <c r="T671" s="98"/>
      <c r="U671" s="98"/>
    </row>
    <row r="672">
      <c r="A672" s="96"/>
      <c r="B672" s="96"/>
      <c r="C672" s="96"/>
      <c r="D672" s="96"/>
      <c r="E672" s="96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98"/>
      <c r="Q672" s="96"/>
      <c r="T672" s="98"/>
      <c r="U672" s="98"/>
    </row>
    <row r="673">
      <c r="A673" s="96"/>
      <c r="B673" s="96"/>
      <c r="C673" s="96"/>
      <c r="D673" s="96"/>
      <c r="E673" s="96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98"/>
      <c r="Q673" s="96"/>
      <c r="T673" s="98"/>
      <c r="U673" s="98"/>
    </row>
    <row r="674">
      <c r="A674" s="96"/>
      <c r="B674" s="96"/>
      <c r="C674" s="96"/>
      <c r="D674" s="96"/>
      <c r="E674" s="96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98"/>
      <c r="Q674" s="96"/>
      <c r="T674" s="98"/>
      <c r="U674" s="98"/>
    </row>
    <row r="675">
      <c r="A675" s="96"/>
      <c r="B675" s="96"/>
      <c r="C675" s="96"/>
      <c r="D675" s="96"/>
      <c r="E675" s="96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98"/>
      <c r="Q675" s="96"/>
      <c r="T675" s="98"/>
      <c r="U675" s="98"/>
    </row>
    <row r="676">
      <c r="A676" s="96"/>
      <c r="B676" s="96"/>
      <c r="C676" s="96"/>
      <c r="D676" s="96"/>
      <c r="E676" s="96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98"/>
      <c r="Q676" s="96"/>
      <c r="T676" s="98"/>
      <c r="U676" s="98"/>
    </row>
    <row r="677">
      <c r="A677" s="96"/>
      <c r="B677" s="96"/>
      <c r="C677" s="96"/>
      <c r="D677" s="96"/>
      <c r="E677" s="96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98"/>
      <c r="Q677" s="96"/>
      <c r="T677" s="98"/>
      <c r="U677" s="98"/>
    </row>
    <row r="678">
      <c r="A678" s="96"/>
      <c r="B678" s="96"/>
      <c r="C678" s="96"/>
      <c r="D678" s="96"/>
      <c r="E678" s="96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98"/>
      <c r="Q678" s="96"/>
      <c r="T678" s="98"/>
      <c r="U678" s="98"/>
    </row>
    <row r="679">
      <c r="A679" s="96"/>
      <c r="B679" s="96"/>
      <c r="C679" s="96"/>
      <c r="D679" s="96"/>
      <c r="E679" s="96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98"/>
      <c r="Q679" s="96"/>
      <c r="T679" s="98"/>
      <c r="U679" s="98"/>
    </row>
    <row r="680">
      <c r="A680" s="96"/>
      <c r="B680" s="96"/>
      <c r="C680" s="96"/>
      <c r="D680" s="96"/>
      <c r="E680" s="96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98"/>
      <c r="Q680" s="96"/>
      <c r="T680" s="98"/>
      <c r="U680" s="98"/>
    </row>
    <row r="681">
      <c r="A681" s="96"/>
      <c r="B681" s="96"/>
      <c r="C681" s="96"/>
      <c r="D681" s="96"/>
      <c r="E681" s="96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98"/>
      <c r="Q681" s="96"/>
      <c r="T681" s="98"/>
      <c r="U681" s="98"/>
    </row>
    <row r="682">
      <c r="A682" s="96"/>
      <c r="B682" s="96"/>
      <c r="C682" s="96"/>
      <c r="D682" s="96"/>
      <c r="E682" s="96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98"/>
      <c r="Q682" s="96"/>
      <c r="T682" s="98"/>
      <c r="U682" s="98"/>
    </row>
    <row r="683">
      <c r="A683" s="96"/>
      <c r="B683" s="96"/>
      <c r="C683" s="96"/>
      <c r="D683" s="96"/>
      <c r="E683" s="96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98"/>
      <c r="Q683" s="96"/>
      <c r="T683" s="98"/>
      <c r="U683" s="98"/>
    </row>
    <row r="684">
      <c r="A684" s="96"/>
      <c r="B684" s="96"/>
      <c r="C684" s="96"/>
      <c r="D684" s="96"/>
      <c r="E684" s="96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98"/>
      <c r="Q684" s="96"/>
      <c r="T684" s="98"/>
      <c r="U684" s="98"/>
    </row>
    <row r="685">
      <c r="A685" s="96"/>
      <c r="B685" s="96"/>
      <c r="C685" s="96"/>
      <c r="D685" s="96"/>
      <c r="E685" s="96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98"/>
      <c r="Q685" s="96"/>
      <c r="T685" s="98"/>
      <c r="U685" s="98"/>
    </row>
    <row r="686">
      <c r="A686" s="96"/>
      <c r="B686" s="96"/>
      <c r="C686" s="96"/>
      <c r="D686" s="96"/>
      <c r="E686" s="96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98"/>
      <c r="Q686" s="96"/>
      <c r="T686" s="98"/>
      <c r="U686" s="98"/>
    </row>
    <row r="687">
      <c r="A687" s="96"/>
      <c r="B687" s="96"/>
      <c r="C687" s="96"/>
      <c r="D687" s="96"/>
      <c r="E687" s="96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98"/>
      <c r="Q687" s="96"/>
      <c r="T687" s="98"/>
      <c r="U687" s="98"/>
    </row>
    <row r="688">
      <c r="A688" s="96"/>
      <c r="B688" s="96"/>
      <c r="C688" s="96"/>
      <c r="D688" s="96"/>
      <c r="E688" s="96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98"/>
      <c r="Q688" s="96"/>
      <c r="T688" s="98"/>
      <c r="U688" s="98"/>
    </row>
    <row r="689">
      <c r="A689" s="96"/>
      <c r="B689" s="96"/>
      <c r="C689" s="96"/>
      <c r="D689" s="96"/>
      <c r="E689" s="96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98"/>
      <c r="Q689" s="96"/>
      <c r="T689" s="98"/>
      <c r="U689" s="98"/>
    </row>
    <row r="690">
      <c r="A690" s="96"/>
      <c r="B690" s="96"/>
      <c r="C690" s="96"/>
      <c r="D690" s="96"/>
      <c r="E690" s="96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98"/>
      <c r="Q690" s="96"/>
      <c r="T690" s="98"/>
      <c r="U690" s="98"/>
    </row>
    <row r="691">
      <c r="A691" s="96"/>
      <c r="B691" s="96"/>
      <c r="C691" s="96"/>
      <c r="D691" s="96"/>
      <c r="E691" s="96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98"/>
      <c r="Q691" s="96"/>
      <c r="T691" s="98"/>
      <c r="U691" s="98"/>
    </row>
    <row r="692">
      <c r="A692" s="96"/>
      <c r="B692" s="96"/>
      <c r="C692" s="96"/>
      <c r="D692" s="96"/>
      <c r="E692" s="96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98"/>
      <c r="Q692" s="96"/>
      <c r="T692" s="98"/>
      <c r="U692" s="98"/>
    </row>
    <row r="693">
      <c r="A693" s="96"/>
      <c r="B693" s="96"/>
      <c r="C693" s="96"/>
      <c r="D693" s="96"/>
      <c r="E693" s="96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98"/>
      <c r="Q693" s="96"/>
      <c r="T693" s="98"/>
      <c r="U693" s="98"/>
    </row>
    <row r="694">
      <c r="A694" s="96"/>
      <c r="B694" s="96"/>
      <c r="C694" s="96"/>
      <c r="D694" s="96"/>
      <c r="E694" s="96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98"/>
      <c r="Q694" s="96"/>
      <c r="T694" s="98"/>
      <c r="U694" s="98"/>
    </row>
    <row r="695">
      <c r="A695" s="96"/>
      <c r="B695" s="96"/>
      <c r="C695" s="96"/>
      <c r="D695" s="96"/>
      <c r="E695" s="96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98"/>
      <c r="Q695" s="96"/>
      <c r="T695" s="98"/>
      <c r="U695" s="98"/>
    </row>
    <row r="696">
      <c r="A696" s="96"/>
      <c r="B696" s="96"/>
      <c r="C696" s="96"/>
      <c r="D696" s="96"/>
      <c r="E696" s="96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98"/>
      <c r="Q696" s="96"/>
      <c r="T696" s="98"/>
      <c r="U696" s="98"/>
    </row>
    <row r="697">
      <c r="A697" s="96"/>
      <c r="B697" s="96"/>
      <c r="C697" s="96"/>
      <c r="D697" s="96"/>
      <c r="E697" s="96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98"/>
      <c r="Q697" s="96"/>
      <c r="T697" s="98"/>
      <c r="U697" s="98"/>
    </row>
    <row r="698">
      <c r="A698" s="96"/>
      <c r="B698" s="96"/>
      <c r="C698" s="96"/>
      <c r="D698" s="96"/>
      <c r="E698" s="96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98"/>
      <c r="Q698" s="96"/>
      <c r="T698" s="98"/>
      <c r="U698" s="98"/>
    </row>
    <row r="699">
      <c r="A699" s="96"/>
      <c r="B699" s="96"/>
      <c r="C699" s="96"/>
      <c r="D699" s="96"/>
      <c r="E699" s="96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98"/>
      <c r="Q699" s="96"/>
      <c r="T699" s="98"/>
      <c r="U699" s="98"/>
    </row>
    <row r="700">
      <c r="A700" s="96"/>
      <c r="B700" s="96"/>
      <c r="C700" s="96"/>
      <c r="D700" s="96"/>
      <c r="E700" s="96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98"/>
      <c r="Q700" s="96"/>
      <c r="T700" s="98"/>
      <c r="U700" s="98"/>
    </row>
    <row r="701">
      <c r="A701" s="96"/>
      <c r="B701" s="96"/>
      <c r="C701" s="96"/>
      <c r="D701" s="96"/>
      <c r="E701" s="96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98"/>
      <c r="Q701" s="96"/>
      <c r="T701" s="98"/>
      <c r="U701" s="98"/>
    </row>
    <row r="702">
      <c r="A702" s="96"/>
      <c r="B702" s="96"/>
      <c r="C702" s="96"/>
      <c r="D702" s="96"/>
      <c r="E702" s="96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98"/>
      <c r="Q702" s="96"/>
      <c r="T702" s="98"/>
      <c r="U702" s="98"/>
    </row>
    <row r="703">
      <c r="A703" s="96"/>
      <c r="B703" s="96"/>
      <c r="C703" s="96"/>
      <c r="D703" s="96"/>
      <c r="E703" s="96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98"/>
      <c r="Q703" s="96"/>
      <c r="T703" s="98"/>
      <c r="U703" s="98"/>
    </row>
    <row r="704">
      <c r="A704" s="96"/>
      <c r="B704" s="96"/>
      <c r="C704" s="96"/>
      <c r="D704" s="96"/>
      <c r="E704" s="96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98"/>
      <c r="Q704" s="96"/>
      <c r="T704" s="98"/>
      <c r="U704" s="98"/>
    </row>
    <row r="705">
      <c r="A705" s="96"/>
      <c r="B705" s="96"/>
      <c r="C705" s="96"/>
      <c r="D705" s="96"/>
      <c r="E705" s="96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98"/>
      <c r="Q705" s="96"/>
      <c r="T705" s="98"/>
      <c r="U705" s="98"/>
    </row>
    <row r="706">
      <c r="A706" s="96"/>
      <c r="B706" s="96"/>
      <c r="C706" s="96"/>
      <c r="D706" s="96"/>
      <c r="E706" s="96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98"/>
      <c r="Q706" s="96"/>
      <c r="T706" s="98"/>
      <c r="U706" s="98"/>
    </row>
    <row r="707">
      <c r="A707" s="96"/>
      <c r="B707" s="96"/>
      <c r="C707" s="96"/>
      <c r="D707" s="96"/>
      <c r="E707" s="96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98"/>
      <c r="Q707" s="96"/>
      <c r="T707" s="98"/>
      <c r="U707" s="98"/>
    </row>
    <row r="708">
      <c r="A708" s="96"/>
      <c r="B708" s="96"/>
      <c r="C708" s="96"/>
      <c r="D708" s="96"/>
      <c r="E708" s="96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98"/>
      <c r="Q708" s="96"/>
      <c r="T708" s="98"/>
      <c r="U708" s="98"/>
    </row>
    <row r="709">
      <c r="A709" s="96"/>
      <c r="B709" s="96"/>
      <c r="C709" s="96"/>
      <c r="D709" s="96"/>
      <c r="E709" s="96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98"/>
      <c r="Q709" s="96"/>
      <c r="T709" s="98"/>
      <c r="U709" s="98"/>
    </row>
    <row r="710">
      <c r="A710" s="96"/>
      <c r="B710" s="96"/>
      <c r="C710" s="96"/>
      <c r="D710" s="96"/>
      <c r="E710" s="96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98"/>
      <c r="Q710" s="96"/>
      <c r="T710" s="98"/>
      <c r="U710" s="98"/>
    </row>
    <row r="711">
      <c r="A711" s="96"/>
      <c r="B711" s="96"/>
      <c r="C711" s="96"/>
      <c r="D711" s="96"/>
      <c r="E711" s="96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98"/>
      <c r="Q711" s="96"/>
      <c r="T711" s="98"/>
      <c r="U711" s="98"/>
    </row>
    <row r="712">
      <c r="A712" s="96"/>
      <c r="B712" s="96"/>
      <c r="C712" s="96"/>
      <c r="D712" s="96"/>
      <c r="E712" s="96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98"/>
      <c r="Q712" s="96"/>
      <c r="T712" s="98"/>
      <c r="U712" s="98"/>
    </row>
    <row r="713">
      <c r="A713" s="96"/>
      <c r="B713" s="96"/>
      <c r="C713" s="96"/>
      <c r="D713" s="96"/>
      <c r="E713" s="96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98"/>
      <c r="Q713" s="96"/>
      <c r="T713" s="98"/>
      <c r="U713" s="98"/>
    </row>
    <row r="714">
      <c r="A714" s="96"/>
      <c r="B714" s="96"/>
      <c r="C714" s="96"/>
      <c r="D714" s="96"/>
      <c r="E714" s="96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98"/>
      <c r="Q714" s="96"/>
      <c r="T714" s="98"/>
      <c r="U714" s="98"/>
    </row>
    <row r="715">
      <c r="A715" s="96"/>
      <c r="B715" s="96"/>
      <c r="C715" s="96"/>
      <c r="D715" s="96"/>
      <c r="E715" s="96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98"/>
      <c r="Q715" s="96"/>
      <c r="T715" s="98"/>
      <c r="U715" s="98"/>
    </row>
    <row r="716">
      <c r="A716" s="96"/>
      <c r="B716" s="96"/>
      <c r="C716" s="96"/>
      <c r="D716" s="96"/>
      <c r="E716" s="96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98"/>
      <c r="Q716" s="96"/>
      <c r="T716" s="98"/>
      <c r="U716" s="98"/>
    </row>
    <row r="717">
      <c r="A717" s="96"/>
      <c r="B717" s="96"/>
      <c r="C717" s="96"/>
      <c r="D717" s="96"/>
      <c r="E717" s="96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98"/>
      <c r="Q717" s="96"/>
      <c r="T717" s="98"/>
      <c r="U717" s="98"/>
    </row>
    <row r="718">
      <c r="A718" s="96"/>
      <c r="B718" s="96"/>
      <c r="C718" s="96"/>
      <c r="D718" s="96"/>
      <c r="E718" s="96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98"/>
      <c r="Q718" s="96"/>
      <c r="T718" s="98"/>
      <c r="U718" s="98"/>
    </row>
    <row r="719">
      <c r="A719" s="96"/>
      <c r="B719" s="96"/>
      <c r="C719" s="96"/>
      <c r="D719" s="96"/>
      <c r="E719" s="96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98"/>
      <c r="Q719" s="96"/>
      <c r="T719" s="98"/>
      <c r="U719" s="98"/>
    </row>
    <row r="720">
      <c r="A720" s="96"/>
      <c r="B720" s="96"/>
      <c r="C720" s="96"/>
      <c r="D720" s="96"/>
      <c r="E720" s="96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98"/>
      <c r="Q720" s="96"/>
      <c r="T720" s="98"/>
      <c r="U720" s="98"/>
    </row>
    <row r="721">
      <c r="A721" s="96"/>
      <c r="B721" s="96"/>
      <c r="C721" s="96"/>
      <c r="D721" s="96"/>
      <c r="E721" s="96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98"/>
      <c r="Q721" s="96"/>
      <c r="T721" s="98"/>
      <c r="U721" s="98"/>
    </row>
    <row r="722">
      <c r="A722" s="96"/>
      <c r="B722" s="96"/>
      <c r="C722" s="96"/>
      <c r="D722" s="96"/>
      <c r="E722" s="96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98"/>
      <c r="Q722" s="96"/>
      <c r="T722" s="98"/>
      <c r="U722" s="98"/>
    </row>
    <row r="723">
      <c r="A723" s="96"/>
      <c r="B723" s="96"/>
      <c r="C723" s="96"/>
      <c r="D723" s="96"/>
      <c r="E723" s="96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98"/>
      <c r="Q723" s="96"/>
      <c r="T723" s="98"/>
      <c r="U723" s="98"/>
    </row>
    <row r="724">
      <c r="A724" s="96"/>
      <c r="B724" s="96"/>
      <c r="C724" s="96"/>
      <c r="D724" s="96"/>
      <c r="E724" s="96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98"/>
      <c r="Q724" s="96"/>
      <c r="T724" s="98"/>
      <c r="U724" s="98"/>
    </row>
    <row r="725">
      <c r="A725" s="96"/>
      <c r="B725" s="96"/>
      <c r="C725" s="96"/>
      <c r="D725" s="96"/>
      <c r="E725" s="96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98"/>
      <c r="Q725" s="96"/>
      <c r="T725" s="98"/>
      <c r="U725" s="98"/>
    </row>
    <row r="726">
      <c r="A726" s="96"/>
      <c r="B726" s="96"/>
      <c r="C726" s="96"/>
      <c r="D726" s="96"/>
      <c r="E726" s="96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98"/>
      <c r="Q726" s="96"/>
      <c r="T726" s="98"/>
      <c r="U726" s="98"/>
    </row>
    <row r="727">
      <c r="A727" s="96"/>
      <c r="B727" s="96"/>
      <c r="C727" s="96"/>
      <c r="D727" s="96"/>
      <c r="E727" s="96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98"/>
      <c r="Q727" s="96"/>
      <c r="T727" s="98"/>
      <c r="U727" s="98"/>
    </row>
    <row r="728">
      <c r="A728" s="96"/>
      <c r="B728" s="96"/>
      <c r="C728" s="96"/>
      <c r="D728" s="96"/>
      <c r="E728" s="96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98"/>
      <c r="Q728" s="96"/>
      <c r="T728" s="98"/>
      <c r="U728" s="98"/>
    </row>
    <row r="729">
      <c r="A729" s="96"/>
      <c r="B729" s="96"/>
      <c r="C729" s="96"/>
      <c r="D729" s="96"/>
      <c r="E729" s="96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98"/>
      <c r="Q729" s="96"/>
      <c r="T729" s="98"/>
      <c r="U729" s="98"/>
    </row>
    <row r="730">
      <c r="A730" s="96"/>
      <c r="B730" s="96"/>
      <c r="C730" s="96"/>
      <c r="D730" s="96"/>
      <c r="E730" s="96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98"/>
      <c r="Q730" s="96"/>
      <c r="T730" s="98"/>
      <c r="U730" s="98"/>
    </row>
    <row r="731">
      <c r="A731" s="96"/>
      <c r="B731" s="96"/>
      <c r="C731" s="96"/>
      <c r="D731" s="96"/>
      <c r="E731" s="96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98"/>
      <c r="Q731" s="96"/>
      <c r="T731" s="98"/>
      <c r="U731" s="98"/>
    </row>
    <row r="732">
      <c r="A732" s="96"/>
      <c r="B732" s="96"/>
      <c r="C732" s="96"/>
      <c r="D732" s="96"/>
      <c r="E732" s="96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98"/>
      <c r="Q732" s="96"/>
      <c r="T732" s="98"/>
      <c r="U732" s="98"/>
    </row>
    <row r="733">
      <c r="A733" s="96"/>
      <c r="B733" s="96"/>
      <c r="C733" s="96"/>
      <c r="D733" s="96"/>
      <c r="E733" s="96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98"/>
      <c r="Q733" s="96"/>
      <c r="T733" s="98"/>
      <c r="U733" s="98"/>
    </row>
    <row r="734">
      <c r="A734" s="96"/>
      <c r="B734" s="96"/>
      <c r="C734" s="96"/>
      <c r="D734" s="96"/>
      <c r="E734" s="96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98"/>
      <c r="Q734" s="96"/>
      <c r="T734" s="98"/>
      <c r="U734" s="98"/>
    </row>
    <row r="735">
      <c r="A735" s="96"/>
      <c r="B735" s="96"/>
      <c r="C735" s="96"/>
      <c r="D735" s="96"/>
      <c r="E735" s="96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98"/>
      <c r="Q735" s="96"/>
      <c r="T735" s="98"/>
      <c r="U735" s="98"/>
    </row>
    <row r="736">
      <c r="A736" s="96"/>
      <c r="B736" s="96"/>
      <c r="C736" s="96"/>
      <c r="D736" s="96"/>
      <c r="E736" s="96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98"/>
      <c r="Q736" s="96"/>
      <c r="T736" s="98"/>
      <c r="U736" s="98"/>
    </row>
    <row r="737">
      <c r="A737" s="96"/>
      <c r="B737" s="96"/>
      <c r="C737" s="96"/>
      <c r="D737" s="96"/>
      <c r="E737" s="96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98"/>
      <c r="Q737" s="96"/>
      <c r="T737" s="98"/>
      <c r="U737" s="98"/>
    </row>
    <row r="738">
      <c r="A738" s="96"/>
      <c r="B738" s="96"/>
      <c r="C738" s="96"/>
      <c r="D738" s="96"/>
      <c r="E738" s="96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98"/>
      <c r="Q738" s="96"/>
      <c r="T738" s="98"/>
      <c r="U738" s="98"/>
    </row>
    <row r="739">
      <c r="A739" s="96"/>
      <c r="B739" s="96"/>
      <c r="C739" s="96"/>
      <c r="D739" s="96"/>
      <c r="E739" s="96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98"/>
      <c r="Q739" s="96"/>
      <c r="T739" s="98"/>
      <c r="U739" s="98"/>
    </row>
    <row r="740">
      <c r="A740" s="96"/>
      <c r="B740" s="96"/>
      <c r="C740" s="96"/>
      <c r="D740" s="96"/>
      <c r="E740" s="96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98"/>
      <c r="Q740" s="96"/>
      <c r="T740" s="98"/>
      <c r="U740" s="98"/>
    </row>
    <row r="741">
      <c r="A741" s="96"/>
      <c r="B741" s="96"/>
      <c r="C741" s="96"/>
      <c r="D741" s="96"/>
      <c r="E741" s="96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98"/>
      <c r="Q741" s="96"/>
      <c r="T741" s="98"/>
      <c r="U741" s="98"/>
    </row>
    <row r="742">
      <c r="A742" s="96"/>
      <c r="B742" s="96"/>
      <c r="C742" s="96"/>
      <c r="D742" s="96"/>
      <c r="E742" s="96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98"/>
      <c r="Q742" s="96"/>
      <c r="T742" s="98"/>
      <c r="U742" s="98"/>
    </row>
    <row r="743">
      <c r="A743" s="96"/>
      <c r="B743" s="96"/>
      <c r="C743" s="96"/>
      <c r="D743" s="96"/>
      <c r="E743" s="96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98"/>
      <c r="Q743" s="96"/>
      <c r="T743" s="98"/>
      <c r="U743" s="98"/>
    </row>
    <row r="744">
      <c r="A744" s="96"/>
      <c r="B744" s="96"/>
      <c r="C744" s="96"/>
      <c r="D744" s="96"/>
      <c r="E744" s="96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98"/>
      <c r="Q744" s="96"/>
      <c r="T744" s="98"/>
      <c r="U744" s="98"/>
    </row>
    <row r="745">
      <c r="A745" s="96"/>
      <c r="B745" s="96"/>
      <c r="C745" s="96"/>
      <c r="D745" s="96"/>
      <c r="E745" s="96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98"/>
      <c r="Q745" s="96"/>
      <c r="T745" s="98"/>
      <c r="U745" s="98"/>
    </row>
    <row r="746">
      <c r="A746" s="96"/>
      <c r="B746" s="96"/>
      <c r="C746" s="96"/>
      <c r="D746" s="96"/>
      <c r="E746" s="96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98"/>
      <c r="Q746" s="96"/>
      <c r="T746" s="98"/>
      <c r="U746" s="98"/>
    </row>
    <row r="747">
      <c r="A747" s="96"/>
      <c r="B747" s="96"/>
      <c r="C747" s="96"/>
      <c r="D747" s="96"/>
      <c r="E747" s="96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98"/>
      <c r="Q747" s="96"/>
      <c r="T747" s="98"/>
      <c r="U747" s="98"/>
    </row>
    <row r="748">
      <c r="A748" s="96"/>
      <c r="B748" s="96"/>
      <c r="C748" s="96"/>
      <c r="D748" s="96"/>
      <c r="E748" s="96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98"/>
      <c r="Q748" s="96"/>
      <c r="T748" s="98"/>
      <c r="U748" s="98"/>
    </row>
    <row r="749">
      <c r="A749" s="96"/>
      <c r="B749" s="96"/>
      <c r="C749" s="96"/>
      <c r="D749" s="96"/>
      <c r="E749" s="96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98"/>
      <c r="Q749" s="96"/>
      <c r="T749" s="98"/>
      <c r="U749" s="98"/>
    </row>
    <row r="750">
      <c r="A750" s="96"/>
      <c r="B750" s="96"/>
      <c r="C750" s="96"/>
      <c r="D750" s="96"/>
      <c r="E750" s="96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98"/>
      <c r="Q750" s="96"/>
      <c r="T750" s="98"/>
      <c r="U750" s="98"/>
    </row>
    <row r="751">
      <c r="A751" s="96"/>
      <c r="B751" s="96"/>
      <c r="C751" s="96"/>
      <c r="D751" s="96"/>
      <c r="E751" s="96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98"/>
      <c r="Q751" s="96"/>
      <c r="T751" s="98"/>
      <c r="U751" s="98"/>
    </row>
    <row r="752">
      <c r="A752" s="96"/>
      <c r="B752" s="96"/>
      <c r="C752" s="96"/>
      <c r="D752" s="96"/>
      <c r="E752" s="96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98"/>
      <c r="Q752" s="96"/>
      <c r="T752" s="98"/>
      <c r="U752" s="98"/>
    </row>
    <row r="753">
      <c r="A753" s="96"/>
      <c r="B753" s="96"/>
      <c r="C753" s="96"/>
      <c r="D753" s="96"/>
      <c r="E753" s="96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98"/>
      <c r="Q753" s="96"/>
      <c r="T753" s="98"/>
      <c r="U753" s="98"/>
    </row>
    <row r="754">
      <c r="A754" s="96"/>
      <c r="B754" s="96"/>
      <c r="C754" s="96"/>
      <c r="D754" s="96"/>
      <c r="E754" s="96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98"/>
      <c r="Q754" s="96"/>
      <c r="T754" s="98"/>
      <c r="U754" s="98"/>
    </row>
    <row r="755">
      <c r="A755" s="96"/>
      <c r="B755" s="96"/>
      <c r="C755" s="96"/>
      <c r="D755" s="96"/>
      <c r="E755" s="96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98"/>
      <c r="Q755" s="96"/>
      <c r="T755" s="98"/>
      <c r="U755" s="98"/>
    </row>
    <row r="756">
      <c r="A756" s="96"/>
      <c r="B756" s="96"/>
      <c r="C756" s="96"/>
      <c r="D756" s="96"/>
      <c r="E756" s="96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98"/>
      <c r="Q756" s="96"/>
      <c r="T756" s="98"/>
      <c r="U756" s="98"/>
    </row>
    <row r="757">
      <c r="A757" s="96"/>
      <c r="B757" s="96"/>
      <c r="C757" s="96"/>
      <c r="D757" s="96"/>
      <c r="E757" s="96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98"/>
      <c r="Q757" s="96"/>
      <c r="T757" s="98"/>
      <c r="U757" s="98"/>
    </row>
    <row r="758">
      <c r="A758" s="96"/>
      <c r="B758" s="96"/>
      <c r="C758" s="96"/>
      <c r="D758" s="96"/>
      <c r="E758" s="96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98"/>
      <c r="Q758" s="96"/>
      <c r="T758" s="98"/>
      <c r="U758" s="98"/>
    </row>
    <row r="759">
      <c r="A759" s="96"/>
      <c r="B759" s="96"/>
      <c r="C759" s="96"/>
      <c r="D759" s="96"/>
      <c r="E759" s="96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98"/>
      <c r="Q759" s="96"/>
      <c r="T759" s="98"/>
      <c r="U759" s="98"/>
    </row>
    <row r="760">
      <c r="A760" s="96"/>
      <c r="B760" s="96"/>
      <c r="C760" s="96"/>
      <c r="D760" s="96"/>
      <c r="E760" s="96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98"/>
      <c r="Q760" s="96"/>
      <c r="T760" s="98"/>
      <c r="U760" s="98"/>
    </row>
    <row r="761">
      <c r="A761" s="96"/>
      <c r="B761" s="96"/>
      <c r="C761" s="96"/>
      <c r="D761" s="96"/>
      <c r="E761" s="96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98"/>
      <c r="Q761" s="96"/>
      <c r="T761" s="98"/>
      <c r="U761" s="98"/>
    </row>
    <row r="762">
      <c r="A762" s="96"/>
      <c r="B762" s="96"/>
      <c r="C762" s="96"/>
      <c r="D762" s="96"/>
      <c r="E762" s="96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98"/>
      <c r="Q762" s="96"/>
      <c r="T762" s="98"/>
      <c r="U762" s="98"/>
    </row>
    <row r="763">
      <c r="A763" s="96"/>
      <c r="B763" s="96"/>
      <c r="C763" s="96"/>
      <c r="D763" s="96"/>
      <c r="E763" s="96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98"/>
      <c r="Q763" s="96"/>
      <c r="T763" s="98"/>
      <c r="U763" s="98"/>
    </row>
    <row r="764">
      <c r="A764" s="96"/>
      <c r="B764" s="96"/>
      <c r="C764" s="96"/>
      <c r="D764" s="96"/>
      <c r="E764" s="96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98"/>
      <c r="Q764" s="96"/>
      <c r="T764" s="98"/>
      <c r="U764" s="98"/>
    </row>
    <row r="765">
      <c r="A765" s="96"/>
      <c r="B765" s="96"/>
      <c r="C765" s="96"/>
      <c r="D765" s="96"/>
      <c r="E765" s="96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98"/>
      <c r="Q765" s="96"/>
      <c r="T765" s="98"/>
      <c r="U765" s="98"/>
    </row>
    <row r="766">
      <c r="A766" s="96"/>
      <c r="B766" s="96"/>
      <c r="C766" s="96"/>
      <c r="D766" s="96"/>
      <c r="E766" s="96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98"/>
      <c r="Q766" s="96"/>
      <c r="T766" s="98"/>
      <c r="U766" s="98"/>
    </row>
    <row r="767">
      <c r="A767" s="96"/>
      <c r="B767" s="96"/>
      <c r="C767" s="96"/>
      <c r="D767" s="96"/>
      <c r="E767" s="96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98"/>
      <c r="Q767" s="96"/>
      <c r="T767" s="98"/>
      <c r="U767" s="98"/>
    </row>
    <row r="768">
      <c r="A768" s="96"/>
      <c r="B768" s="96"/>
      <c r="C768" s="96"/>
      <c r="D768" s="96"/>
      <c r="E768" s="96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98"/>
      <c r="Q768" s="96"/>
      <c r="T768" s="98"/>
      <c r="U768" s="98"/>
    </row>
    <row r="769">
      <c r="A769" s="96"/>
      <c r="B769" s="96"/>
      <c r="C769" s="96"/>
      <c r="D769" s="96"/>
      <c r="E769" s="96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98"/>
      <c r="Q769" s="96"/>
      <c r="T769" s="98"/>
      <c r="U769" s="98"/>
    </row>
    <row r="770">
      <c r="A770" s="96"/>
      <c r="B770" s="96"/>
      <c r="C770" s="96"/>
      <c r="D770" s="96"/>
      <c r="E770" s="96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98"/>
      <c r="Q770" s="96"/>
      <c r="T770" s="98"/>
      <c r="U770" s="98"/>
    </row>
    <row r="771">
      <c r="A771" s="96"/>
      <c r="B771" s="96"/>
      <c r="C771" s="96"/>
      <c r="D771" s="96"/>
      <c r="E771" s="96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98"/>
      <c r="Q771" s="96"/>
      <c r="T771" s="98"/>
      <c r="U771" s="98"/>
    </row>
    <row r="772">
      <c r="A772" s="96"/>
      <c r="B772" s="96"/>
      <c r="C772" s="96"/>
      <c r="D772" s="96"/>
      <c r="E772" s="96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98"/>
      <c r="Q772" s="96"/>
      <c r="T772" s="98"/>
      <c r="U772" s="98"/>
    </row>
    <row r="773">
      <c r="A773" s="96"/>
      <c r="B773" s="96"/>
      <c r="C773" s="96"/>
      <c r="D773" s="96"/>
      <c r="E773" s="96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98"/>
      <c r="Q773" s="96"/>
      <c r="T773" s="98"/>
      <c r="U773" s="98"/>
    </row>
    <row r="774">
      <c r="A774" s="96"/>
      <c r="B774" s="96"/>
      <c r="C774" s="96"/>
      <c r="D774" s="96"/>
      <c r="E774" s="96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98"/>
      <c r="Q774" s="96"/>
      <c r="T774" s="98"/>
      <c r="U774" s="98"/>
    </row>
    <row r="775">
      <c r="A775" s="96"/>
      <c r="B775" s="96"/>
      <c r="C775" s="96"/>
      <c r="D775" s="96"/>
      <c r="E775" s="96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98"/>
      <c r="Q775" s="96"/>
      <c r="T775" s="98"/>
      <c r="U775" s="98"/>
    </row>
    <row r="776">
      <c r="A776" s="96"/>
      <c r="B776" s="96"/>
      <c r="C776" s="96"/>
      <c r="D776" s="96"/>
      <c r="E776" s="96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98"/>
      <c r="Q776" s="96"/>
      <c r="T776" s="98"/>
      <c r="U776" s="98"/>
    </row>
    <row r="777">
      <c r="A777" s="96"/>
      <c r="B777" s="96"/>
      <c r="C777" s="96"/>
      <c r="D777" s="96"/>
      <c r="E777" s="96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98"/>
      <c r="Q777" s="96"/>
      <c r="T777" s="98"/>
      <c r="U777" s="98"/>
    </row>
    <row r="778">
      <c r="A778" s="96"/>
      <c r="B778" s="96"/>
      <c r="C778" s="96"/>
      <c r="D778" s="96"/>
      <c r="E778" s="96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98"/>
      <c r="Q778" s="96"/>
      <c r="T778" s="98"/>
      <c r="U778" s="98"/>
    </row>
    <row r="779">
      <c r="A779" s="96"/>
      <c r="B779" s="96"/>
      <c r="C779" s="96"/>
      <c r="D779" s="96"/>
      <c r="E779" s="96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98"/>
      <c r="Q779" s="96"/>
      <c r="T779" s="98"/>
      <c r="U779" s="98"/>
    </row>
    <row r="780">
      <c r="A780" s="96"/>
      <c r="B780" s="96"/>
      <c r="C780" s="96"/>
      <c r="D780" s="96"/>
      <c r="E780" s="96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98"/>
      <c r="Q780" s="96"/>
      <c r="T780" s="98"/>
      <c r="U780" s="98"/>
    </row>
    <row r="781">
      <c r="A781" s="96"/>
      <c r="B781" s="96"/>
      <c r="C781" s="96"/>
      <c r="D781" s="96"/>
      <c r="E781" s="96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98"/>
      <c r="Q781" s="96"/>
      <c r="T781" s="98"/>
      <c r="U781" s="98"/>
    </row>
    <row r="782">
      <c r="A782" s="96"/>
      <c r="B782" s="96"/>
      <c r="C782" s="96"/>
      <c r="D782" s="96"/>
      <c r="E782" s="96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98"/>
      <c r="Q782" s="96"/>
      <c r="T782" s="98"/>
      <c r="U782" s="98"/>
    </row>
    <row r="783">
      <c r="A783" s="96"/>
      <c r="B783" s="96"/>
      <c r="C783" s="96"/>
      <c r="D783" s="96"/>
      <c r="E783" s="96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98"/>
      <c r="Q783" s="96"/>
      <c r="T783" s="98"/>
      <c r="U783" s="98"/>
    </row>
    <row r="784">
      <c r="A784" s="96"/>
      <c r="B784" s="96"/>
      <c r="C784" s="96"/>
      <c r="D784" s="96"/>
      <c r="E784" s="96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98"/>
      <c r="Q784" s="96"/>
      <c r="T784" s="98"/>
      <c r="U784" s="98"/>
    </row>
    <row r="785">
      <c r="A785" s="96"/>
      <c r="B785" s="96"/>
      <c r="C785" s="96"/>
      <c r="D785" s="96"/>
      <c r="E785" s="96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98"/>
      <c r="Q785" s="96"/>
      <c r="T785" s="98"/>
      <c r="U785" s="98"/>
    </row>
    <row r="786">
      <c r="A786" s="96"/>
      <c r="B786" s="96"/>
      <c r="C786" s="96"/>
      <c r="D786" s="96"/>
      <c r="E786" s="96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98"/>
      <c r="Q786" s="96"/>
      <c r="T786" s="98"/>
      <c r="U786" s="98"/>
    </row>
    <row r="787">
      <c r="A787" s="96"/>
      <c r="B787" s="96"/>
      <c r="C787" s="96"/>
      <c r="D787" s="96"/>
      <c r="E787" s="96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98"/>
      <c r="Q787" s="96"/>
      <c r="T787" s="98"/>
      <c r="U787" s="98"/>
    </row>
    <row r="788">
      <c r="A788" s="96"/>
      <c r="B788" s="96"/>
      <c r="C788" s="96"/>
      <c r="D788" s="96"/>
      <c r="E788" s="96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98"/>
      <c r="Q788" s="96"/>
      <c r="T788" s="98"/>
      <c r="U788" s="98"/>
    </row>
    <row r="789">
      <c r="A789" s="96"/>
      <c r="B789" s="96"/>
      <c r="C789" s="96"/>
      <c r="D789" s="96"/>
      <c r="E789" s="96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98"/>
      <c r="Q789" s="96"/>
      <c r="T789" s="98"/>
      <c r="U789" s="98"/>
    </row>
    <row r="790">
      <c r="A790" s="96"/>
      <c r="B790" s="96"/>
      <c r="C790" s="96"/>
      <c r="D790" s="96"/>
      <c r="E790" s="96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98"/>
      <c r="Q790" s="96"/>
      <c r="T790" s="98"/>
      <c r="U790" s="98"/>
    </row>
    <row r="791">
      <c r="A791" s="96"/>
      <c r="B791" s="96"/>
      <c r="C791" s="96"/>
      <c r="D791" s="96"/>
      <c r="E791" s="96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98"/>
      <c r="Q791" s="96"/>
      <c r="T791" s="98"/>
      <c r="U791" s="98"/>
    </row>
    <row r="792">
      <c r="A792" s="96"/>
      <c r="B792" s="96"/>
      <c r="C792" s="96"/>
      <c r="D792" s="96"/>
      <c r="E792" s="96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98"/>
      <c r="Q792" s="96"/>
      <c r="T792" s="98"/>
      <c r="U792" s="98"/>
    </row>
    <row r="793">
      <c r="A793" s="96"/>
      <c r="B793" s="96"/>
      <c r="C793" s="96"/>
      <c r="D793" s="96"/>
      <c r="E793" s="96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98"/>
      <c r="Q793" s="96"/>
      <c r="T793" s="98"/>
      <c r="U793" s="98"/>
    </row>
    <row r="794">
      <c r="A794" s="96"/>
      <c r="B794" s="96"/>
      <c r="C794" s="96"/>
      <c r="D794" s="96"/>
      <c r="E794" s="96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98"/>
      <c r="Q794" s="96"/>
      <c r="T794" s="98"/>
      <c r="U794" s="98"/>
    </row>
    <row r="795">
      <c r="A795" s="96"/>
      <c r="B795" s="96"/>
      <c r="C795" s="96"/>
      <c r="D795" s="96"/>
      <c r="E795" s="96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98"/>
      <c r="Q795" s="96"/>
      <c r="T795" s="98"/>
      <c r="U795" s="98"/>
    </row>
    <row r="796">
      <c r="A796" s="96"/>
      <c r="B796" s="96"/>
      <c r="C796" s="96"/>
      <c r="D796" s="96"/>
      <c r="E796" s="96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98"/>
      <c r="Q796" s="96"/>
      <c r="T796" s="98"/>
      <c r="U796" s="98"/>
    </row>
    <row r="797">
      <c r="A797" s="96"/>
      <c r="B797" s="96"/>
      <c r="C797" s="96"/>
      <c r="D797" s="96"/>
      <c r="E797" s="96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98"/>
      <c r="Q797" s="96"/>
      <c r="T797" s="98"/>
      <c r="U797" s="98"/>
    </row>
    <row r="798">
      <c r="A798" s="96"/>
      <c r="B798" s="96"/>
      <c r="C798" s="96"/>
      <c r="D798" s="96"/>
      <c r="E798" s="96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98"/>
      <c r="Q798" s="96"/>
      <c r="T798" s="98"/>
      <c r="U798" s="98"/>
    </row>
    <row r="799">
      <c r="A799" s="96"/>
      <c r="B799" s="96"/>
      <c r="C799" s="96"/>
      <c r="D799" s="96"/>
      <c r="E799" s="96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98"/>
      <c r="Q799" s="96"/>
      <c r="T799" s="98"/>
      <c r="U799" s="98"/>
    </row>
    <row r="800">
      <c r="A800" s="96"/>
      <c r="B800" s="96"/>
      <c r="C800" s="96"/>
      <c r="D800" s="96"/>
      <c r="E800" s="96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98"/>
      <c r="Q800" s="96"/>
      <c r="T800" s="98"/>
      <c r="U800" s="98"/>
    </row>
    <row r="801">
      <c r="A801" s="96"/>
      <c r="B801" s="96"/>
      <c r="C801" s="96"/>
      <c r="D801" s="96"/>
      <c r="E801" s="96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98"/>
      <c r="Q801" s="96"/>
      <c r="T801" s="98"/>
      <c r="U801" s="98"/>
    </row>
    <row r="802">
      <c r="A802" s="96"/>
      <c r="B802" s="96"/>
      <c r="C802" s="96"/>
      <c r="D802" s="96"/>
      <c r="E802" s="96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98"/>
      <c r="Q802" s="96"/>
      <c r="T802" s="98"/>
      <c r="U802" s="98"/>
    </row>
    <row r="803">
      <c r="A803" s="96"/>
      <c r="B803" s="96"/>
      <c r="C803" s="96"/>
      <c r="D803" s="96"/>
      <c r="E803" s="96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98"/>
      <c r="Q803" s="96"/>
      <c r="T803" s="98"/>
      <c r="U803" s="98"/>
    </row>
    <row r="804">
      <c r="A804" s="96"/>
      <c r="B804" s="96"/>
      <c r="C804" s="96"/>
      <c r="D804" s="96"/>
      <c r="E804" s="96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98"/>
      <c r="Q804" s="96"/>
      <c r="T804" s="98"/>
      <c r="U804" s="98"/>
    </row>
    <row r="805">
      <c r="A805" s="96"/>
      <c r="B805" s="96"/>
      <c r="C805" s="96"/>
      <c r="D805" s="96"/>
      <c r="E805" s="96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98"/>
      <c r="Q805" s="96"/>
      <c r="T805" s="98"/>
      <c r="U805" s="98"/>
    </row>
    <row r="806">
      <c r="A806" s="96"/>
      <c r="B806" s="96"/>
      <c r="C806" s="96"/>
      <c r="D806" s="96"/>
      <c r="E806" s="96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98"/>
      <c r="Q806" s="96"/>
      <c r="T806" s="98"/>
      <c r="U806" s="98"/>
    </row>
    <row r="807">
      <c r="A807" s="96"/>
      <c r="B807" s="96"/>
      <c r="C807" s="96"/>
      <c r="D807" s="96"/>
      <c r="E807" s="96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98"/>
      <c r="Q807" s="96"/>
      <c r="T807" s="98"/>
      <c r="U807" s="98"/>
    </row>
    <row r="808">
      <c r="A808" s="96"/>
      <c r="B808" s="96"/>
      <c r="C808" s="96"/>
      <c r="D808" s="96"/>
      <c r="E808" s="96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98"/>
      <c r="Q808" s="96"/>
      <c r="T808" s="98"/>
      <c r="U808" s="98"/>
    </row>
    <row r="809">
      <c r="A809" s="96"/>
      <c r="B809" s="96"/>
      <c r="C809" s="96"/>
      <c r="D809" s="96"/>
      <c r="E809" s="96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98"/>
      <c r="Q809" s="96"/>
      <c r="T809" s="98"/>
      <c r="U809" s="98"/>
    </row>
    <row r="810">
      <c r="A810" s="96"/>
      <c r="B810" s="96"/>
      <c r="C810" s="96"/>
      <c r="D810" s="96"/>
      <c r="E810" s="96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98"/>
      <c r="Q810" s="96"/>
      <c r="T810" s="98"/>
      <c r="U810" s="98"/>
    </row>
    <row r="811">
      <c r="A811" s="96"/>
      <c r="B811" s="96"/>
      <c r="C811" s="96"/>
      <c r="D811" s="96"/>
      <c r="E811" s="96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98"/>
      <c r="Q811" s="96"/>
      <c r="T811" s="98"/>
      <c r="U811" s="98"/>
    </row>
    <row r="812">
      <c r="A812" s="96"/>
      <c r="B812" s="96"/>
      <c r="C812" s="96"/>
      <c r="D812" s="96"/>
      <c r="E812" s="96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98"/>
      <c r="Q812" s="96"/>
      <c r="T812" s="98"/>
      <c r="U812" s="98"/>
    </row>
    <row r="813">
      <c r="A813" s="96"/>
      <c r="B813" s="96"/>
      <c r="C813" s="96"/>
      <c r="D813" s="96"/>
      <c r="E813" s="96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98"/>
      <c r="Q813" s="96"/>
      <c r="T813" s="98"/>
      <c r="U813" s="98"/>
    </row>
    <row r="814">
      <c r="A814" s="96"/>
      <c r="B814" s="96"/>
      <c r="C814" s="96"/>
      <c r="D814" s="96"/>
      <c r="E814" s="96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98"/>
      <c r="Q814" s="96"/>
      <c r="T814" s="98"/>
      <c r="U814" s="98"/>
    </row>
    <row r="815">
      <c r="A815" s="96"/>
      <c r="B815" s="96"/>
      <c r="C815" s="96"/>
      <c r="D815" s="96"/>
      <c r="E815" s="96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98"/>
      <c r="Q815" s="96"/>
      <c r="T815" s="98"/>
      <c r="U815" s="98"/>
    </row>
    <row r="816">
      <c r="A816" s="96"/>
      <c r="B816" s="96"/>
      <c r="C816" s="96"/>
      <c r="D816" s="96"/>
      <c r="E816" s="96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98"/>
      <c r="Q816" s="96"/>
      <c r="T816" s="98"/>
      <c r="U816" s="98"/>
    </row>
    <row r="817">
      <c r="A817" s="96"/>
      <c r="B817" s="96"/>
      <c r="C817" s="96"/>
      <c r="D817" s="96"/>
      <c r="E817" s="96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98"/>
      <c r="Q817" s="96"/>
      <c r="T817" s="98"/>
      <c r="U817" s="98"/>
    </row>
    <row r="818">
      <c r="A818" s="96"/>
      <c r="B818" s="96"/>
      <c r="C818" s="96"/>
      <c r="D818" s="96"/>
      <c r="E818" s="96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98"/>
      <c r="Q818" s="96"/>
      <c r="T818" s="98"/>
      <c r="U818" s="98"/>
    </row>
    <row r="819">
      <c r="A819" s="96"/>
      <c r="B819" s="96"/>
      <c r="C819" s="96"/>
      <c r="D819" s="96"/>
      <c r="E819" s="96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98"/>
      <c r="Q819" s="96"/>
      <c r="T819" s="98"/>
      <c r="U819" s="98"/>
    </row>
    <row r="820">
      <c r="A820" s="96"/>
      <c r="B820" s="96"/>
      <c r="C820" s="96"/>
      <c r="D820" s="96"/>
      <c r="E820" s="96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98"/>
      <c r="Q820" s="96"/>
      <c r="T820" s="98"/>
      <c r="U820" s="98"/>
    </row>
    <row r="821">
      <c r="A821" s="96"/>
      <c r="B821" s="96"/>
      <c r="C821" s="96"/>
      <c r="D821" s="96"/>
      <c r="E821" s="96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98"/>
      <c r="Q821" s="96"/>
      <c r="T821" s="98"/>
      <c r="U821" s="98"/>
    </row>
    <row r="822">
      <c r="A822" s="96"/>
      <c r="B822" s="96"/>
      <c r="C822" s="96"/>
      <c r="D822" s="96"/>
      <c r="E822" s="96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98"/>
      <c r="Q822" s="96"/>
      <c r="T822" s="98"/>
      <c r="U822" s="98"/>
    </row>
    <row r="823">
      <c r="A823" s="96"/>
      <c r="B823" s="96"/>
      <c r="C823" s="96"/>
      <c r="D823" s="96"/>
      <c r="E823" s="96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98"/>
      <c r="Q823" s="96"/>
      <c r="T823" s="98"/>
      <c r="U823" s="98"/>
    </row>
    <row r="824">
      <c r="A824" s="96"/>
      <c r="B824" s="96"/>
      <c r="C824" s="96"/>
      <c r="D824" s="96"/>
      <c r="E824" s="96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98"/>
      <c r="Q824" s="96"/>
      <c r="T824" s="98"/>
      <c r="U824" s="98"/>
    </row>
    <row r="825">
      <c r="A825" s="96"/>
      <c r="B825" s="96"/>
      <c r="C825" s="96"/>
      <c r="D825" s="96"/>
      <c r="E825" s="96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98"/>
      <c r="Q825" s="96"/>
      <c r="T825" s="98"/>
      <c r="U825" s="98"/>
    </row>
    <row r="826">
      <c r="A826" s="96"/>
      <c r="B826" s="96"/>
      <c r="C826" s="96"/>
      <c r="D826" s="96"/>
      <c r="E826" s="96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98"/>
      <c r="Q826" s="96"/>
      <c r="T826" s="98"/>
      <c r="U826" s="98"/>
    </row>
    <row r="827">
      <c r="A827" s="96"/>
      <c r="B827" s="96"/>
      <c r="C827" s="96"/>
      <c r="D827" s="96"/>
      <c r="E827" s="96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98"/>
      <c r="Q827" s="96"/>
      <c r="T827" s="98"/>
      <c r="U827" s="98"/>
    </row>
    <row r="828">
      <c r="A828" s="96"/>
      <c r="B828" s="96"/>
      <c r="C828" s="96"/>
      <c r="D828" s="96"/>
      <c r="E828" s="96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98"/>
      <c r="Q828" s="96"/>
      <c r="T828" s="98"/>
      <c r="U828" s="98"/>
    </row>
    <row r="829">
      <c r="A829" s="96"/>
      <c r="B829" s="96"/>
      <c r="C829" s="96"/>
      <c r="D829" s="96"/>
      <c r="E829" s="96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98"/>
      <c r="Q829" s="96"/>
      <c r="T829" s="98"/>
      <c r="U829" s="98"/>
    </row>
    <row r="830">
      <c r="A830" s="96"/>
      <c r="B830" s="96"/>
      <c r="C830" s="96"/>
      <c r="D830" s="96"/>
      <c r="E830" s="96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98"/>
      <c r="Q830" s="96"/>
      <c r="T830" s="98"/>
      <c r="U830" s="98"/>
    </row>
    <row r="831">
      <c r="A831" s="96"/>
      <c r="B831" s="96"/>
      <c r="C831" s="96"/>
      <c r="D831" s="96"/>
      <c r="E831" s="96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98"/>
      <c r="Q831" s="96"/>
      <c r="T831" s="98"/>
      <c r="U831" s="98"/>
    </row>
    <row r="832">
      <c r="A832" s="96"/>
      <c r="B832" s="96"/>
      <c r="C832" s="96"/>
      <c r="D832" s="96"/>
      <c r="E832" s="96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98"/>
      <c r="Q832" s="96"/>
      <c r="T832" s="98"/>
      <c r="U832" s="98"/>
    </row>
    <row r="833">
      <c r="A833" s="96"/>
      <c r="B833" s="96"/>
      <c r="C833" s="96"/>
      <c r="D833" s="96"/>
      <c r="E833" s="96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98"/>
      <c r="Q833" s="96"/>
      <c r="T833" s="98"/>
      <c r="U833" s="98"/>
    </row>
    <row r="834">
      <c r="A834" s="96"/>
      <c r="B834" s="96"/>
      <c r="C834" s="96"/>
      <c r="D834" s="96"/>
      <c r="E834" s="96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98"/>
      <c r="Q834" s="96"/>
      <c r="T834" s="98"/>
      <c r="U834" s="98"/>
    </row>
    <row r="835">
      <c r="A835" s="96"/>
      <c r="B835" s="96"/>
      <c r="C835" s="96"/>
      <c r="D835" s="96"/>
      <c r="E835" s="96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98"/>
      <c r="Q835" s="96"/>
      <c r="T835" s="98"/>
      <c r="U835" s="98"/>
    </row>
    <row r="836">
      <c r="A836" s="96"/>
      <c r="B836" s="96"/>
      <c r="C836" s="96"/>
      <c r="D836" s="96"/>
      <c r="E836" s="96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98"/>
      <c r="Q836" s="96"/>
      <c r="T836" s="98"/>
      <c r="U836" s="98"/>
    </row>
    <row r="837">
      <c r="A837" s="96"/>
      <c r="B837" s="96"/>
      <c r="C837" s="96"/>
      <c r="D837" s="96"/>
      <c r="E837" s="96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98"/>
      <c r="Q837" s="96"/>
      <c r="T837" s="98"/>
      <c r="U837" s="98"/>
    </row>
    <row r="838">
      <c r="A838" s="96"/>
      <c r="B838" s="96"/>
      <c r="C838" s="96"/>
      <c r="D838" s="96"/>
      <c r="E838" s="96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98"/>
      <c r="Q838" s="96"/>
      <c r="T838" s="98"/>
      <c r="U838" s="98"/>
    </row>
    <row r="839">
      <c r="A839" s="96"/>
      <c r="B839" s="96"/>
      <c r="C839" s="96"/>
      <c r="D839" s="96"/>
      <c r="E839" s="96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98"/>
      <c r="Q839" s="96"/>
      <c r="T839" s="98"/>
      <c r="U839" s="98"/>
    </row>
    <row r="840">
      <c r="A840" s="96"/>
      <c r="B840" s="96"/>
      <c r="C840" s="96"/>
      <c r="D840" s="96"/>
      <c r="E840" s="96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98"/>
      <c r="Q840" s="96"/>
      <c r="T840" s="98"/>
      <c r="U840" s="98"/>
    </row>
    <row r="841">
      <c r="A841" s="96"/>
      <c r="B841" s="96"/>
      <c r="C841" s="96"/>
      <c r="D841" s="96"/>
      <c r="E841" s="96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98"/>
      <c r="Q841" s="96"/>
      <c r="T841" s="98"/>
      <c r="U841" s="98"/>
    </row>
    <row r="842">
      <c r="A842" s="96"/>
      <c r="B842" s="96"/>
      <c r="C842" s="96"/>
      <c r="D842" s="96"/>
      <c r="E842" s="96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98"/>
      <c r="Q842" s="96"/>
      <c r="T842" s="98"/>
      <c r="U842" s="98"/>
    </row>
    <row r="843">
      <c r="A843" s="96"/>
      <c r="B843" s="96"/>
      <c r="C843" s="96"/>
      <c r="D843" s="96"/>
      <c r="E843" s="96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98"/>
      <c r="Q843" s="96"/>
      <c r="T843" s="98"/>
      <c r="U843" s="98"/>
    </row>
    <row r="844">
      <c r="A844" s="96"/>
      <c r="B844" s="96"/>
      <c r="C844" s="96"/>
      <c r="D844" s="96"/>
      <c r="E844" s="96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98"/>
      <c r="Q844" s="96"/>
      <c r="T844" s="98"/>
      <c r="U844" s="98"/>
    </row>
    <row r="845">
      <c r="A845" s="96"/>
      <c r="B845" s="96"/>
      <c r="C845" s="96"/>
      <c r="D845" s="96"/>
      <c r="E845" s="96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98"/>
      <c r="Q845" s="96"/>
      <c r="T845" s="98"/>
      <c r="U845" s="98"/>
    </row>
    <row r="846">
      <c r="A846" s="96"/>
      <c r="B846" s="96"/>
      <c r="C846" s="96"/>
      <c r="D846" s="96"/>
      <c r="E846" s="96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98"/>
      <c r="Q846" s="96"/>
      <c r="T846" s="98"/>
      <c r="U846" s="98"/>
    </row>
    <row r="847">
      <c r="A847" s="96"/>
      <c r="B847" s="96"/>
      <c r="C847" s="96"/>
      <c r="D847" s="96"/>
      <c r="E847" s="96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98"/>
      <c r="Q847" s="96"/>
      <c r="T847" s="98"/>
      <c r="U847" s="98"/>
    </row>
    <row r="848">
      <c r="A848" s="96"/>
      <c r="B848" s="96"/>
      <c r="C848" s="96"/>
      <c r="D848" s="96"/>
      <c r="E848" s="96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98"/>
      <c r="Q848" s="96"/>
      <c r="T848" s="98"/>
      <c r="U848" s="98"/>
    </row>
    <row r="849">
      <c r="A849" s="96"/>
      <c r="B849" s="96"/>
      <c r="C849" s="96"/>
      <c r="D849" s="96"/>
      <c r="E849" s="96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98"/>
      <c r="Q849" s="96"/>
      <c r="T849" s="98"/>
      <c r="U849" s="98"/>
    </row>
    <row r="850">
      <c r="A850" s="96"/>
      <c r="B850" s="96"/>
      <c r="C850" s="96"/>
      <c r="D850" s="96"/>
      <c r="E850" s="96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98"/>
      <c r="Q850" s="96"/>
      <c r="T850" s="98"/>
      <c r="U850" s="98"/>
    </row>
    <row r="851">
      <c r="A851" s="96"/>
      <c r="B851" s="96"/>
      <c r="C851" s="96"/>
      <c r="D851" s="96"/>
      <c r="E851" s="96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98"/>
      <c r="Q851" s="96"/>
      <c r="T851" s="98"/>
      <c r="U851" s="98"/>
    </row>
    <row r="852">
      <c r="A852" s="96"/>
      <c r="B852" s="96"/>
      <c r="C852" s="96"/>
      <c r="D852" s="96"/>
      <c r="E852" s="96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98"/>
      <c r="Q852" s="96"/>
      <c r="T852" s="98"/>
      <c r="U852" s="98"/>
    </row>
    <row r="853">
      <c r="A853" s="96"/>
      <c r="B853" s="96"/>
      <c r="C853" s="96"/>
      <c r="D853" s="96"/>
      <c r="E853" s="96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98"/>
      <c r="Q853" s="96"/>
      <c r="T853" s="98"/>
      <c r="U853" s="98"/>
    </row>
    <row r="854">
      <c r="A854" s="96"/>
      <c r="B854" s="96"/>
      <c r="C854" s="96"/>
      <c r="D854" s="96"/>
      <c r="E854" s="96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98"/>
      <c r="Q854" s="96"/>
      <c r="T854" s="98"/>
      <c r="U854" s="98"/>
    </row>
    <row r="855">
      <c r="A855" s="96"/>
      <c r="B855" s="96"/>
      <c r="C855" s="96"/>
      <c r="D855" s="96"/>
      <c r="E855" s="96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98"/>
      <c r="Q855" s="96"/>
      <c r="T855" s="98"/>
      <c r="U855" s="98"/>
    </row>
    <row r="856">
      <c r="A856" s="96"/>
      <c r="B856" s="96"/>
      <c r="C856" s="96"/>
      <c r="D856" s="96"/>
      <c r="E856" s="96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98"/>
      <c r="Q856" s="96"/>
      <c r="T856" s="98"/>
      <c r="U856" s="98"/>
    </row>
    <row r="857">
      <c r="A857" s="96"/>
      <c r="B857" s="96"/>
      <c r="C857" s="96"/>
      <c r="D857" s="96"/>
      <c r="E857" s="96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98"/>
      <c r="Q857" s="96"/>
      <c r="T857" s="98"/>
      <c r="U857" s="98"/>
    </row>
    <row r="858">
      <c r="A858" s="96"/>
      <c r="B858" s="96"/>
      <c r="C858" s="96"/>
      <c r="D858" s="96"/>
      <c r="E858" s="96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98"/>
      <c r="Q858" s="96"/>
      <c r="T858" s="98"/>
      <c r="U858" s="98"/>
    </row>
    <row r="859">
      <c r="A859" s="96"/>
      <c r="B859" s="96"/>
      <c r="C859" s="96"/>
      <c r="D859" s="96"/>
      <c r="E859" s="96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98"/>
      <c r="Q859" s="96"/>
      <c r="T859" s="98"/>
      <c r="U859" s="98"/>
    </row>
    <row r="860">
      <c r="A860" s="96"/>
      <c r="B860" s="96"/>
      <c r="C860" s="96"/>
      <c r="D860" s="96"/>
      <c r="E860" s="96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98"/>
      <c r="Q860" s="96"/>
      <c r="T860" s="98"/>
      <c r="U860" s="98"/>
    </row>
    <row r="861">
      <c r="A861" s="96"/>
      <c r="B861" s="96"/>
      <c r="C861" s="96"/>
      <c r="D861" s="96"/>
      <c r="E861" s="96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98"/>
      <c r="Q861" s="96"/>
      <c r="T861" s="98"/>
      <c r="U861" s="98"/>
    </row>
    <row r="862">
      <c r="A862" s="96"/>
      <c r="B862" s="96"/>
      <c r="C862" s="96"/>
      <c r="D862" s="96"/>
      <c r="E862" s="96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98"/>
      <c r="Q862" s="96"/>
      <c r="T862" s="98"/>
      <c r="U862" s="98"/>
    </row>
    <row r="863">
      <c r="A863" s="96"/>
      <c r="B863" s="96"/>
      <c r="C863" s="96"/>
      <c r="D863" s="96"/>
      <c r="E863" s="96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98"/>
      <c r="Q863" s="96"/>
      <c r="T863" s="98"/>
      <c r="U863" s="98"/>
    </row>
    <row r="864">
      <c r="A864" s="96"/>
      <c r="B864" s="96"/>
      <c r="C864" s="96"/>
      <c r="D864" s="96"/>
      <c r="E864" s="96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98"/>
      <c r="Q864" s="96"/>
      <c r="T864" s="98"/>
      <c r="U864" s="98"/>
    </row>
    <row r="865">
      <c r="A865" s="96"/>
      <c r="B865" s="96"/>
      <c r="C865" s="96"/>
      <c r="D865" s="96"/>
      <c r="E865" s="96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98"/>
      <c r="Q865" s="96"/>
      <c r="T865" s="98"/>
      <c r="U865" s="98"/>
    </row>
    <row r="866">
      <c r="A866" s="96"/>
      <c r="B866" s="96"/>
      <c r="C866" s="96"/>
      <c r="D866" s="96"/>
      <c r="E866" s="96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98"/>
      <c r="Q866" s="96"/>
      <c r="T866" s="98"/>
      <c r="U866" s="98"/>
    </row>
    <row r="867">
      <c r="A867" s="96"/>
      <c r="B867" s="96"/>
      <c r="C867" s="96"/>
      <c r="D867" s="96"/>
      <c r="E867" s="96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98"/>
      <c r="Q867" s="96"/>
      <c r="T867" s="98"/>
      <c r="U867" s="98"/>
    </row>
    <row r="868">
      <c r="A868" s="96"/>
      <c r="B868" s="96"/>
      <c r="C868" s="96"/>
      <c r="D868" s="96"/>
      <c r="E868" s="96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98"/>
      <c r="Q868" s="96"/>
      <c r="T868" s="98"/>
      <c r="U868" s="98"/>
    </row>
    <row r="869">
      <c r="A869" s="96"/>
      <c r="B869" s="96"/>
      <c r="C869" s="96"/>
      <c r="D869" s="96"/>
      <c r="E869" s="96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98"/>
      <c r="Q869" s="96"/>
      <c r="T869" s="98"/>
      <c r="U869" s="98"/>
    </row>
    <row r="870">
      <c r="A870" s="96"/>
      <c r="B870" s="96"/>
      <c r="C870" s="96"/>
      <c r="D870" s="96"/>
      <c r="E870" s="96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98"/>
      <c r="Q870" s="96"/>
      <c r="T870" s="98"/>
      <c r="U870" s="98"/>
    </row>
    <row r="871">
      <c r="A871" s="96"/>
      <c r="B871" s="96"/>
      <c r="C871" s="96"/>
      <c r="D871" s="96"/>
      <c r="E871" s="96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98"/>
      <c r="Q871" s="96"/>
      <c r="T871" s="98"/>
      <c r="U871" s="98"/>
    </row>
    <row r="872">
      <c r="A872" s="96"/>
      <c r="B872" s="96"/>
      <c r="C872" s="96"/>
      <c r="D872" s="96"/>
      <c r="E872" s="96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98"/>
      <c r="Q872" s="96"/>
      <c r="T872" s="98"/>
      <c r="U872" s="98"/>
    </row>
    <row r="873">
      <c r="A873" s="96"/>
      <c r="B873" s="96"/>
      <c r="C873" s="96"/>
      <c r="D873" s="96"/>
      <c r="E873" s="96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98"/>
      <c r="Q873" s="96"/>
      <c r="T873" s="98"/>
      <c r="U873" s="98"/>
    </row>
    <row r="874">
      <c r="A874" s="96"/>
      <c r="B874" s="96"/>
      <c r="C874" s="96"/>
      <c r="D874" s="96"/>
      <c r="E874" s="96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98"/>
      <c r="Q874" s="96"/>
      <c r="T874" s="98"/>
      <c r="U874" s="98"/>
    </row>
    <row r="875">
      <c r="A875" s="96"/>
      <c r="B875" s="96"/>
      <c r="C875" s="96"/>
      <c r="D875" s="96"/>
      <c r="E875" s="96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98"/>
      <c r="Q875" s="96"/>
      <c r="T875" s="98"/>
      <c r="U875" s="98"/>
    </row>
    <row r="876">
      <c r="A876" s="96"/>
      <c r="B876" s="96"/>
      <c r="C876" s="96"/>
      <c r="D876" s="96"/>
      <c r="E876" s="96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98"/>
      <c r="Q876" s="96"/>
      <c r="T876" s="98"/>
      <c r="U876" s="98"/>
    </row>
    <row r="877">
      <c r="A877" s="96"/>
      <c r="B877" s="96"/>
      <c r="C877" s="96"/>
      <c r="D877" s="96"/>
      <c r="E877" s="96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98"/>
      <c r="Q877" s="96"/>
      <c r="T877" s="98"/>
      <c r="U877" s="98"/>
    </row>
    <row r="878">
      <c r="A878" s="96"/>
      <c r="B878" s="96"/>
      <c r="C878" s="96"/>
      <c r="D878" s="96"/>
      <c r="E878" s="96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98"/>
      <c r="Q878" s="96"/>
      <c r="T878" s="98"/>
      <c r="U878" s="98"/>
    </row>
    <row r="879">
      <c r="A879" s="96"/>
      <c r="B879" s="96"/>
      <c r="C879" s="96"/>
      <c r="D879" s="96"/>
      <c r="E879" s="96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98"/>
      <c r="Q879" s="96"/>
      <c r="T879" s="98"/>
      <c r="U879" s="98"/>
    </row>
    <row r="880">
      <c r="A880" s="96"/>
      <c r="B880" s="96"/>
      <c r="C880" s="96"/>
      <c r="D880" s="96"/>
      <c r="E880" s="96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98"/>
      <c r="Q880" s="96"/>
      <c r="T880" s="98"/>
      <c r="U880" s="98"/>
    </row>
    <row r="881">
      <c r="A881" s="96"/>
      <c r="B881" s="96"/>
      <c r="C881" s="96"/>
      <c r="D881" s="96"/>
      <c r="E881" s="96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98"/>
      <c r="Q881" s="96"/>
      <c r="T881" s="98"/>
      <c r="U881" s="98"/>
    </row>
    <row r="882">
      <c r="A882" s="96"/>
      <c r="B882" s="96"/>
      <c r="C882" s="96"/>
      <c r="D882" s="96"/>
      <c r="E882" s="96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98"/>
      <c r="Q882" s="96"/>
      <c r="T882" s="98"/>
      <c r="U882" s="98"/>
    </row>
    <row r="883">
      <c r="A883" s="96"/>
      <c r="B883" s="96"/>
      <c r="C883" s="96"/>
      <c r="D883" s="96"/>
      <c r="E883" s="96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98"/>
      <c r="Q883" s="96"/>
      <c r="T883" s="98"/>
      <c r="U883" s="98"/>
    </row>
    <row r="884">
      <c r="A884" s="96"/>
      <c r="B884" s="96"/>
      <c r="C884" s="96"/>
      <c r="D884" s="96"/>
      <c r="E884" s="96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98"/>
      <c r="Q884" s="96"/>
      <c r="T884" s="98"/>
      <c r="U884" s="98"/>
    </row>
    <row r="885">
      <c r="A885" s="96"/>
      <c r="B885" s="96"/>
      <c r="C885" s="96"/>
      <c r="D885" s="96"/>
      <c r="E885" s="96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98"/>
      <c r="Q885" s="96"/>
      <c r="T885" s="98"/>
      <c r="U885" s="98"/>
    </row>
    <row r="886">
      <c r="A886" s="96"/>
      <c r="B886" s="96"/>
      <c r="C886" s="96"/>
      <c r="D886" s="96"/>
      <c r="E886" s="96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98"/>
      <c r="Q886" s="96"/>
      <c r="T886" s="98"/>
      <c r="U886" s="98"/>
    </row>
    <row r="887">
      <c r="A887" s="96"/>
      <c r="B887" s="96"/>
      <c r="C887" s="96"/>
      <c r="D887" s="96"/>
      <c r="E887" s="96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98"/>
      <c r="Q887" s="96"/>
      <c r="T887" s="98"/>
      <c r="U887" s="98"/>
    </row>
    <row r="888">
      <c r="A888" s="96"/>
      <c r="B888" s="96"/>
      <c r="C888" s="96"/>
      <c r="D888" s="96"/>
      <c r="E888" s="96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98"/>
      <c r="Q888" s="96"/>
      <c r="T888" s="98"/>
      <c r="U888" s="98"/>
    </row>
    <row r="889">
      <c r="A889" s="96"/>
      <c r="B889" s="96"/>
      <c r="C889" s="96"/>
      <c r="D889" s="96"/>
      <c r="E889" s="96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98"/>
      <c r="Q889" s="96"/>
      <c r="T889" s="98"/>
      <c r="U889" s="98"/>
    </row>
    <row r="890">
      <c r="A890" s="96"/>
      <c r="B890" s="96"/>
      <c r="C890" s="96"/>
      <c r="D890" s="96"/>
      <c r="E890" s="96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98"/>
      <c r="Q890" s="96"/>
      <c r="T890" s="98"/>
      <c r="U890" s="98"/>
    </row>
    <row r="891">
      <c r="A891" s="96"/>
      <c r="B891" s="96"/>
      <c r="C891" s="96"/>
      <c r="D891" s="96"/>
      <c r="E891" s="96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98"/>
      <c r="Q891" s="96"/>
      <c r="T891" s="98"/>
      <c r="U891" s="98"/>
    </row>
    <row r="892">
      <c r="A892" s="96"/>
      <c r="B892" s="96"/>
      <c r="C892" s="96"/>
      <c r="D892" s="96"/>
      <c r="E892" s="96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98"/>
      <c r="Q892" s="96"/>
      <c r="T892" s="98"/>
      <c r="U892" s="98"/>
    </row>
    <row r="893">
      <c r="A893" s="96"/>
      <c r="B893" s="96"/>
      <c r="C893" s="96"/>
      <c r="D893" s="96"/>
      <c r="E893" s="96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98"/>
      <c r="Q893" s="96"/>
      <c r="T893" s="98"/>
      <c r="U893" s="98"/>
    </row>
    <row r="894">
      <c r="A894" s="96"/>
      <c r="B894" s="96"/>
      <c r="C894" s="96"/>
      <c r="D894" s="96"/>
      <c r="E894" s="96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98"/>
      <c r="Q894" s="96"/>
      <c r="T894" s="98"/>
      <c r="U894" s="98"/>
    </row>
    <row r="895">
      <c r="A895" s="96"/>
      <c r="B895" s="96"/>
      <c r="C895" s="96"/>
      <c r="D895" s="96"/>
      <c r="E895" s="96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98"/>
      <c r="Q895" s="96"/>
      <c r="T895" s="98"/>
      <c r="U895" s="98"/>
    </row>
    <row r="896">
      <c r="A896" s="96"/>
      <c r="B896" s="96"/>
      <c r="C896" s="96"/>
      <c r="D896" s="96"/>
      <c r="E896" s="96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98"/>
      <c r="Q896" s="96"/>
      <c r="T896" s="98"/>
      <c r="U896" s="98"/>
    </row>
    <row r="897">
      <c r="A897" s="96"/>
      <c r="B897" s="96"/>
      <c r="C897" s="96"/>
      <c r="D897" s="96"/>
      <c r="E897" s="96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98"/>
      <c r="Q897" s="96"/>
      <c r="T897" s="98"/>
      <c r="U897" s="98"/>
    </row>
    <row r="898">
      <c r="A898" s="96"/>
      <c r="B898" s="96"/>
      <c r="C898" s="96"/>
      <c r="D898" s="96"/>
      <c r="E898" s="96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98"/>
      <c r="Q898" s="96"/>
      <c r="T898" s="98"/>
      <c r="U898" s="98"/>
    </row>
    <row r="899">
      <c r="A899" s="96"/>
      <c r="B899" s="96"/>
      <c r="C899" s="96"/>
      <c r="D899" s="96"/>
      <c r="E899" s="96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98"/>
      <c r="Q899" s="96"/>
      <c r="T899" s="98"/>
      <c r="U899" s="98"/>
    </row>
    <row r="900">
      <c r="A900" s="96"/>
      <c r="B900" s="96"/>
      <c r="C900" s="96"/>
      <c r="D900" s="96"/>
      <c r="E900" s="96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98"/>
      <c r="Q900" s="96"/>
      <c r="T900" s="98"/>
      <c r="U900" s="98"/>
    </row>
    <row r="901">
      <c r="A901" s="96"/>
      <c r="B901" s="96"/>
      <c r="C901" s="96"/>
      <c r="D901" s="96"/>
      <c r="E901" s="96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98"/>
      <c r="Q901" s="96"/>
      <c r="T901" s="98"/>
      <c r="U901" s="98"/>
    </row>
    <row r="902">
      <c r="A902" s="96"/>
      <c r="B902" s="96"/>
      <c r="C902" s="96"/>
      <c r="D902" s="96"/>
      <c r="E902" s="96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98"/>
      <c r="Q902" s="96"/>
      <c r="T902" s="98"/>
      <c r="U902" s="98"/>
    </row>
    <row r="903">
      <c r="A903" s="96"/>
      <c r="B903" s="96"/>
      <c r="C903" s="96"/>
      <c r="D903" s="96"/>
      <c r="E903" s="96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98"/>
      <c r="Q903" s="96"/>
      <c r="T903" s="98"/>
      <c r="U903" s="98"/>
    </row>
    <row r="904">
      <c r="A904" s="96"/>
      <c r="B904" s="96"/>
      <c r="C904" s="96"/>
      <c r="D904" s="96"/>
      <c r="E904" s="96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98"/>
      <c r="Q904" s="96"/>
      <c r="T904" s="98"/>
      <c r="U904" s="98"/>
    </row>
    <row r="905">
      <c r="A905" s="96"/>
      <c r="B905" s="96"/>
      <c r="C905" s="96"/>
      <c r="D905" s="96"/>
      <c r="E905" s="96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98"/>
      <c r="Q905" s="96"/>
      <c r="T905" s="98"/>
      <c r="U905" s="98"/>
    </row>
    <row r="906">
      <c r="A906" s="96"/>
      <c r="B906" s="96"/>
      <c r="C906" s="96"/>
      <c r="D906" s="96"/>
      <c r="E906" s="96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98"/>
      <c r="Q906" s="96"/>
      <c r="T906" s="98"/>
      <c r="U906" s="98"/>
    </row>
    <row r="907">
      <c r="A907" s="96"/>
      <c r="B907" s="96"/>
      <c r="C907" s="96"/>
      <c r="D907" s="96"/>
      <c r="E907" s="96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98"/>
      <c r="Q907" s="96"/>
      <c r="T907" s="98"/>
      <c r="U907" s="98"/>
    </row>
    <row r="908">
      <c r="A908" s="96"/>
      <c r="B908" s="96"/>
      <c r="C908" s="96"/>
      <c r="D908" s="96"/>
      <c r="E908" s="96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98"/>
      <c r="Q908" s="96"/>
      <c r="T908" s="98"/>
      <c r="U908" s="98"/>
    </row>
    <row r="909">
      <c r="A909" s="96"/>
      <c r="B909" s="96"/>
      <c r="C909" s="96"/>
      <c r="D909" s="96"/>
      <c r="E909" s="96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98"/>
      <c r="Q909" s="96"/>
      <c r="T909" s="98"/>
      <c r="U909" s="98"/>
    </row>
    <row r="910">
      <c r="A910" s="96"/>
      <c r="B910" s="96"/>
      <c r="C910" s="96"/>
      <c r="D910" s="96"/>
      <c r="E910" s="96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98"/>
      <c r="Q910" s="96"/>
      <c r="T910" s="98"/>
      <c r="U910" s="98"/>
    </row>
    <row r="911">
      <c r="A911" s="96"/>
      <c r="B911" s="96"/>
      <c r="C911" s="96"/>
      <c r="D911" s="96"/>
      <c r="E911" s="96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98"/>
      <c r="Q911" s="96"/>
      <c r="T911" s="98"/>
      <c r="U911" s="98"/>
    </row>
    <row r="912">
      <c r="A912" s="96"/>
      <c r="B912" s="96"/>
      <c r="C912" s="96"/>
      <c r="D912" s="96"/>
      <c r="E912" s="96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98"/>
      <c r="Q912" s="96"/>
      <c r="T912" s="98"/>
      <c r="U912" s="98"/>
    </row>
    <row r="913">
      <c r="A913" s="96"/>
      <c r="B913" s="96"/>
      <c r="C913" s="96"/>
      <c r="D913" s="96"/>
      <c r="E913" s="96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98"/>
      <c r="Q913" s="96"/>
      <c r="T913" s="98"/>
      <c r="U913" s="98"/>
    </row>
    <row r="914">
      <c r="A914" s="96"/>
      <c r="B914" s="96"/>
      <c r="C914" s="96"/>
      <c r="D914" s="96"/>
      <c r="E914" s="96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98"/>
      <c r="Q914" s="96"/>
      <c r="T914" s="98"/>
      <c r="U914" s="98"/>
    </row>
    <row r="915">
      <c r="A915" s="96"/>
      <c r="B915" s="96"/>
      <c r="C915" s="96"/>
      <c r="D915" s="96"/>
      <c r="E915" s="96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98"/>
      <c r="Q915" s="96"/>
      <c r="T915" s="98"/>
      <c r="U915" s="98"/>
    </row>
    <row r="916">
      <c r="A916" s="96"/>
      <c r="B916" s="96"/>
      <c r="C916" s="96"/>
      <c r="D916" s="96"/>
      <c r="E916" s="96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98"/>
      <c r="Q916" s="96"/>
      <c r="T916" s="98"/>
      <c r="U916" s="98"/>
    </row>
    <row r="917">
      <c r="A917" s="96"/>
      <c r="B917" s="96"/>
      <c r="C917" s="96"/>
      <c r="D917" s="96"/>
      <c r="E917" s="96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98"/>
      <c r="Q917" s="96"/>
      <c r="T917" s="98"/>
      <c r="U917" s="98"/>
    </row>
    <row r="918">
      <c r="A918" s="96"/>
      <c r="B918" s="96"/>
      <c r="C918" s="96"/>
      <c r="D918" s="96"/>
      <c r="E918" s="96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98"/>
      <c r="Q918" s="96"/>
      <c r="T918" s="98"/>
      <c r="U918" s="98"/>
    </row>
    <row r="919">
      <c r="A919" s="96"/>
      <c r="B919" s="96"/>
      <c r="C919" s="96"/>
      <c r="D919" s="96"/>
      <c r="E919" s="96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98"/>
      <c r="Q919" s="96"/>
      <c r="T919" s="98"/>
      <c r="U919" s="98"/>
    </row>
    <row r="920">
      <c r="A920" s="96"/>
      <c r="B920" s="96"/>
      <c r="C920" s="96"/>
      <c r="D920" s="96"/>
      <c r="E920" s="96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98"/>
      <c r="Q920" s="96"/>
      <c r="T920" s="98"/>
      <c r="U920" s="98"/>
    </row>
    <row r="921">
      <c r="A921" s="96"/>
      <c r="B921" s="96"/>
      <c r="C921" s="96"/>
      <c r="D921" s="96"/>
      <c r="E921" s="96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98"/>
      <c r="Q921" s="96"/>
      <c r="T921" s="98"/>
      <c r="U921" s="98"/>
    </row>
    <row r="922">
      <c r="A922" s="96"/>
      <c r="B922" s="96"/>
      <c r="C922" s="96"/>
      <c r="D922" s="96"/>
      <c r="E922" s="96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98"/>
      <c r="Q922" s="96"/>
      <c r="T922" s="98"/>
      <c r="U922" s="98"/>
    </row>
    <row r="923">
      <c r="A923" s="96"/>
      <c r="B923" s="96"/>
      <c r="C923" s="96"/>
      <c r="D923" s="96"/>
      <c r="E923" s="96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98"/>
      <c r="Q923" s="96"/>
      <c r="T923" s="98"/>
      <c r="U923" s="98"/>
    </row>
    <row r="924">
      <c r="A924" s="96"/>
      <c r="B924" s="96"/>
      <c r="C924" s="96"/>
      <c r="D924" s="96"/>
      <c r="E924" s="96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98"/>
      <c r="Q924" s="96"/>
      <c r="T924" s="98"/>
      <c r="U924" s="98"/>
    </row>
    <row r="925">
      <c r="A925" s="96"/>
      <c r="B925" s="96"/>
      <c r="C925" s="96"/>
      <c r="D925" s="96"/>
      <c r="E925" s="96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98"/>
      <c r="Q925" s="96"/>
      <c r="T925" s="98"/>
      <c r="U925" s="98"/>
    </row>
    <row r="926">
      <c r="A926" s="96"/>
      <c r="B926" s="96"/>
      <c r="C926" s="96"/>
      <c r="D926" s="96"/>
      <c r="E926" s="96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98"/>
      <c r="Q926" s="96"/>
      <c r="T926" s="98"/>
      <c r="U926" s="98"/>
    </row>
    <row r="927">
      <c r="A927" s="96"/>
      <c r="B927" s="96"/>
      <c r="C927" s="96"/>
      <c r="D927" s="96"/>
      <c r="E927" s="96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98"/>
      <c r="Q927" s="96"/>
      <c r="T927" s="98"/>
      <c r="U927" s="98"/>
    </row>
    <row r="928">
      <c r="A928" s="96"/>
      <c r="B928" s="96"/>
      <c r="C928" s="96"/>
      <c r="D928" s="96"/>
      <c r="E928" s="96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98"/>
      <c r="Q928" s="96"/>
      <c r="T928" s="98"/>
      <c r="U928" s="98"/>
    </row>
    <row r="929">
      <c r="A929" s="96"/>
      <c r="B929" s="96"/>
      <c r="C929" s="96"/>
      <c r="D929" s="96"/>
      <c r="E929" s="96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98"/>
      <c r="Q929" s="96"/>
      <c r="T929" s="98"/>
      <c r="U929" s="98"/>
    </row>
    <row r="930">
      <c r="A930" s="96"/>
      <c r="B930" s="96"/>
      <c r="C930" s="96"/>
      <c r="D930" s="96"/>
      <c r="E930" s="96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98"/>
      <c r="Q930" s="96"/>
      <c r="T930" s="98"/>
      <c r="U930" s="98"/>
    </row>
    <row r="931">
      <c r="A931" s="96"/>
      <c r="B931" s="96"/>
      <c r="C931" s="96"/>
      <c r="D931" s="96"/>
      <c r="E931" s="96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98"/>
      <c r="Q931" s="96"/>
      <c r="T931" s="98"/>
      <c r="U931" s="98"/>
    </row>
    <row r="932">
      <c r="A932" s="96"/>
      <c r="B932" s="96"/>
      <c r="C932" s="96"/>
      <c r="D932" s="96"/>
      <c r="E932" s="96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98"/>
      <c r="Q932" s="96"/>
      <c r="T932" s="98"/>
      <c r="U932" s="98"/>
    </row>
    <row r="933">
      <c r="A933" s="96"/>
      <c r="B933" s="96"/>
      <c r="C933" s="96"/>
      <c r="D933" s="96"/>
      <c r="E933" s="96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98"/>
      <c r="Q933" s="96"/>
      <c r="T933" s="98"/>
      <c r="U933" s="98"/>
    </row>
    <row r="934">
      <c r="A934" s="96"/>
      <c r="B934" s="96"/>
      <c r="C934" s="96"/>
      <c r="D934" s="96"/>
      <c r="E934" s="96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98"/>
      <c r="Q934" s="96"/>
      <c r="T934" s="98"/>
      <c r="U934" s="98"/>
    </row>
    <row r="935">
      <c r="A935" s="96"/>
      <c r="B935" s="96"/>
      <c r="C935" s="96"/>
      <c r="D935" s="96"/>
      <c r="E935" s="96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98"/>
      <c r="Q935" s="96"/>
      <c r="T935" s="98"/>
      <c r="U935" s="98"/>
    </row>
    <row r="936">
      <c r="A936" s="96"/>
      <c r="B936" s="96"/>
      <c r="C936" s="96"/>
      <c r="D936" s="96"/>
      <c r="E936" s="96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98"/>
      <c r="Q936" s="96"/>
      <c r="T936" s="98"/>
      <c r="U936" s="98"/>
    </row>
    <row r="937">
      <c r="A937" s="96"/>
      <c r="B937" s="96"/>
      <c r="C937" s="96"/>
      <c r="D937" s="96"/>
      <c r="E937" s="96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98"/>
      <c r="Q937" s="96"/>
      <c r="T937" s="98"/>
      <c r="U937" s="98"/>
    </row>
    <row r="938">
      <c r="A938" s="96"/>
      <c r="B938" s="96"/>
      <c r="C938" s="96"/>
      <c r="D938" s="96"/>
      <c r="E938" s="96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98"/>
      <c r="Q938" s="96"/>
      <c r="T938" s="98"/>
      <c r="U938" s="98"/>
    </row>
    <row r="939">
      <c r="A939" s="96"/>
      <c r="B939" s="96"/>
      <c r="C939" s="96"/>
      <c r="D939" s="96"/>
      <c r="E939" s="96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98"/>
      <c r="Q939" s="96"/>
      <c r="T939" s="98"/>
      <c r="U939" s="98"/>
    </row>
    <row r="940">
      <c r="A940" s="96"/>
      <c r="B940" s="96"/>
      <c r="C940" s="96"/>
      <c r="D940" s="96"/>
      <c r="E940" s="96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98"/>
      <c r="Q940" s="96"/>
      <c r="T940" s="98"/>
      <c r="U940" s="98"/>
    </row>
    <row r="941">
      <c r="A941" s="96"/>
      <c r="B941" s="96"/>
      <c r="C941" s="96"/>
      <c r="D941" s="96"/>
      <c r="E941" s="96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98"/>
      <c r="Q941" s="96"/>
      <c r="T941" s="98"/>
      <c r="U941" s="98"/>
    </row>
    <row r="942">
      <c r="A942" s="96"/>
      <c r="B942" s="96"/>
      <c r="C942" s="96"/>
      <c r="D942" s="96"/>
      <c r="E942" s="96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98"/>
      <c r="Q942" s="96"/>
      <c r="T942" s="98"/>
      <c r="U942" s="98"/>
    </row>
    <row r="943">
      <c r="A943" s="96"/>
      <c r="B943" s="96"/>
      <c r="C943" s="96"/>
      <c r="D943" s="96"/>
      <c r="E943" s="96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98"/>
      <c r="Q943" s="96"/>
      <c r="T943" s="98"/>
      <c r="U943" s="98"/>
    </row>
    <row r="944">
      <c r="A944" s="96"/>
      <c r="B944" s="96"/>
      <c r="C944" s="96"/>
      <c r="D944" s="96"/>
      <c r="E944" s="96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98"/>
      <c r="Q944" s="96"/>
      <c r="T944" s="98"/>
      <c r="U944" s="98"/>
    </row>
    <row r="945">
      <c r="A945" s="96"/>
      <c r="B945" s="96"/>
      <c r="C945" s="96"/>
      <c r="D945" s="96"/>
      <c r="E945" s="96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98"/>
      <c r="Q945" s="96"/>
      <c r="T945" s="98"/>
      <c r="U945" s="98"/>
    </row>
    <row r="946">
      <c r="A946" s="96"/>
      <c r="B946" s="96"/>
      <c r="C946" s="96"/>
      <c r="D946" s="96"/>
      <c r="E946" s="96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98"/>
      <c r="Q946" s="96"/>
      <c r="T946" s="98"/>
      <c r="U946" s="98"/>
    </row>
    <row r="947">
      <c r="A947" s="96"/>
      <c r="B947" s="96"/>
      <c r="C947" s="96"/>
      <c r="D947" s="96"/>
      <c r="E947" s="96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98"/>
      <c r="Q947" s="96"/>
      <c r="T947" s="98"/>
      <c r="U947" s="98"/>
    </row>
    <row r="948">
      <c r="A948" s="96"/>
      <c r="B948" s="96"/>
      <c r="C948" s="96"/>
      <c r="D948" s="96"/>
      <c r="E948" s="96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98"/>
      <c r="Q948" s="96"/>
      <c r="T948" s="98"/>
      <c r="U948" s="98"/>
    </row>
    <row r="949">
      <c r="A949" s="96"/>
      <c r="B949" s="96"/>
      <c r="C949" s="96"/>
      <c r="D949" s="96"/>
      <c r="E949" s="96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98"/>
      <c r="Q949" s="96"/>
      <c r="T949" s="98"/>
      <c r="U949" s="98"/>
    </row>
    <row r="950">
      <c r="A950" s="96"/>
      <c r="B950" s="96"/>
      <c r="C950" s="96"/>
      <c r="D950" s="96"/>
      <c r="E950" s="96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98"/>
      <c r="Q950" s="96"/>
      <c r="T950" s="98"/>
      <c r="U950" s="98"/>
    </row>
    <row r="951">
      <c r="A951" s="96"/>
      <c r="B951" s="96"/>
      <c r="C951" s="96"/>
      <c r="D951" s="96"/>
      <c r="E951" s="96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98"/>
      <c r="Q951" s="96"/>
      <c r="T951" s="98"/>
      <c r="U951" s="98"/>
    </row>
    <row r="952">
      <c r="A952" s="96"/>
      <c r="B952" s="96"/>
      <c r="C952" s="96"/>
      <c r="D952" s="96"/>
      <c r="E952" s="96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98"/>
      <c r="Q952" s="96"/>
      <c r="T952" s="98"/>
      <c r="U952" s="98"/>
    </row>
    <row r="953">
      <c r="A953" s="96"/>
      <c r="B953" s="96"/>
      <c r="C953" s="96"/>
      <c r="D953" s="96"/>
      <c r="E953" s="96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98"/>
      <c r="Q953" s="96"/>
      <c r="T953" s="98"/>
      <c r="U953" s="98"/>
    </row>
    <row r="954">
      <c r="A954" s="96"/>
      <c r="B954" s="96"/>
      <c r="C954" s="96"/>
      <c r="D954" s="96"/>
      <c r="E954" s="96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98"/>
      <c r="Q954" s="96"/>
      <c r="T954" s="98"/>
      <c r="U954" s="98"/>
    </row>
    <row r="955">
      <c r="A955" s="96"/>
      <c r="B955" s="96"/>
      <c r="C955" s="96"/>
      <c r="D955" s="96"/>
      <c r="E955" s="96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98"/>
      <c r="Q955" s="96"/>
      <c r="T955" s="98"/>
      <c r="U955" s="98"/>
    </row>
    <row r="956">
      <c r="A956" s="96"/>
      <c r="B956" s="96"/>
      <c r="C956" s="96"/>
      <c r="D956" s="96"/>
      <c r="E956" s="96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98"/>
      <c r="Q956" s="96"/>
      <c r="T956" s="98"/>
      <c r="U956" s="98"/>
    </row>
    <row r="957">
      <c r="A957" s="96"/>
      <c r="B957" s="96"/>
      <c r="C957" s="96"/>
      <c r="D957" s="96"/>
      <c r="E957" s="96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98"/>
      <c r="Q957" s="96"/>
      <c r="T957" s="98"/>
      <c r="U957" s="98"/>
    </row>
    <row r="958">
      <c r="A958" s="96"/>
      <c r="B958" s="96"/>
      <c r="C958" s="96"/>
      <c r="D958" s="96"/>
      <c r="E958" s="96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98"/>
      <c r="Q958" s="96"/>
      <c r="T958" s="98"/>
      <c r="U958" s="98"/>
    </row>
    <row r="959">
      <c r="A959" s="96"/>
      <c r="B959" s="96"/>
      <c r="C959" s="96"/>
      <c r="D959" s="96"/>
      <c r="E959" s="96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98"/>
      <c r="Q959" s="96"/>
      <c r="T959" s="98"/>
      <c r="U959" s="98"/>
    </row>
    <row r="960">
      <c r="A960" s="96"/>
      <c r="B960" s="96"/>
      <c r="C960" s="96"/>
      <c r="D960" s="96"/>
      <c r="E960" s="96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98"/>
      <c r="Q960" s="96"/>
      <c r="T960" s="98"/>
      <c r="U960" s="98"/>
    </row>
    <row r="961">
      <c r="A961" s="96"/>
      <c r="B961" s="96"/>
      <c r="C961" s="96"/>
      <c r="D961" s="96"/>
      <c r="E961" s="96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98"/>
      <c r="Q961" s="96"/>
      <c r="T961" s="98"/>
      <c r="U961" s="98"/>
    </row>
    <row r="962">
      <c r="A962" s="96"/>
      <c r="B962" s="96"/>
      <c r="C962" s="96"/>
      <c r="D962" s="96"/>
      <c r="E962" s="96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98"/>
      <c r="Q962" s="96"/>
      <c r="T962" s="98"/>
      <c r="U962" s="98"/>
    </row>
    <row r="963">
      <c r="A963" s="96"/>
      <c r="B963" s="96"/>
      <c r="C963" s="96"/>
      <c r="D963" s="96"/>
      <c r="E963" s="96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98"/>
      <c r="Q963" s="96"/>
      <c r="T963" s="98"/>
      <c r="U963" s="98"/>
    </row>
    <row r="964">
      <c r="A964" s="96"/>
      <c r="B964" s="96"/>
      <c r="C964" s="96"/>
      <c r="D964" s="96"/>
      <c r="E964" s="96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98"/>
      <c r="Q964" s="96"/>
      <c r="T964" s="98"/>
      <c r="U964" s="98"/>
    </row>
    <row r="965">
      <c r="A965" s="96"/>
      <c r="B965" s="96"/>
      <c r="C965" s="96"/>
      <c r="D965" s="96"/>
      <c r="E965" s="96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98"/>
      <c r="Q965" s="96"/>
      <c r="T965" s="98"/>
      <c r="U965" s="98"/>
    </row>
    <row r="966">
      <c r="A966" s="96"/>
      <c r="B966" s="96"/>
      <c r="C966" s="96"/>
      <c r="D966" s="96"/>
      <c r="E966" s="96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98"/>
      <c r="Q966" s="96"/>
      <c r="T966" s="98"/>
      <c r="U966" s="98"/>
    </row>
    <row r="967">
      <c r="A967" s="96"/>
      <c r="B967" s="96"/>
      <c r="C967" s="96"/>
      <c r="D967" s="96"/>
      <c r="E967" s="96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98"/>
      <c r="Q967" s="96"/>
      <c r="T967" s="98"/>
      <c r="U967" s="98"/>
    </row>
    <row r="968">
      <c r="A968" s="96"/>
      <c r="B968" s="96"/>
      <c r="C968" s="96"/>
      <c r="D968" s="96"/>
      <c r="E968" s="96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98"/>
      <c r="Q968" s="96"/>
      <c r="T968" s="98"/>
      <c r="U968" s="98"/>
    </row>
    <row r="969">
      <c r="A969" s="96"/>
      <c r="B969" s="96"/>
      <c r="C969" s="96"/>
      <c r="D969" s="96"/>
      <c r="E969" s="96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98"/>
      <c r="Q969" s="96"/>
      <c r="T969" s="98"/>
      <c r="U969" s="98"/>
    </row>
    <row r="970">
      <c r="A970" s="96"/>
      <c r="B970" s="96"/>
      <c r="C970" s="96"/>
      <c r="D970" s="96"/>
      <c r="E970" s="96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98"/>
      <c r="Q970" s="96"/>
      <c r="T970" s="98"/>
      <c r="U970" s="98"/>
    </row>
    <row r="971">
      <c r="A971" s="96"/>
      <c r="B971" s="96"/>
      <c r="C971" s="96"/>
      <c r="D971" s="96"/>
      <c r="E971" s="96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98"/>
      <c r="Q971" s="96"/>
      <c r="T971" s="98"/>
      <c r="U971" s="98"/>
    </row>
    <row r="972">
      <c r="A972" s="96"/>
      <c r="B972" s="96"/>
      <c r="C972" s="96"/>
      <c r="D972" s="96"/>
      <c r="E972" s="96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98"/>
      <c r="Q972" s="96"/>
      <c r="T972" s="98"/>
      <c r="U972" s="98"/>
    </row>
    <row r="973">
      <c r="A973" s="96"/>
      <c r="B973" s="96"/>
      <c r="C973" s="96"/>
      <c r="D973" s="96"/>
      <c r="E973" s="96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98"/>
      <c r="Q973" s="96"/>
      <c r="T973" s="98"/>
      <c r="U973" s="98"/>
    </row>
    <row r="974">
      <c r="A974" s="96"/>
      <c r="B974" s="96"/>
      <c r="C974" s="96"/>
      <c r="D974" s="96"/>
      <c r="E974" s="96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98"/>
      <c r="Q974" s="96"/>
      <c r="T974" s="98"/>
      <c r="U974" s="98"/>
    </row>
    <row r="975">
      <c r="A975" s="96"/>
      <c r="B975" s="96"/>
      <c r="C975" s="96"/>
      <c r="D975" s="96"/>
      <c r="E975" s="96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98"/>
      <c r="Q975" s="96"/>
      <c r="T975" s="98"/>
      <c r="U975" s="98"/>
    </row>
    <row r="976">
      <c r="A976" s="96"/>
      <c r="B976" s="96"/>
      <c r="C976" s="96"/>
      <c r="D976" s="96"/>
      <c r="E976" s="96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98"/>
      <c r="Q976" s="96"/>
      <c r="T976" s="98"/>
      <c r="U976" s="98"/>
    </row>
    <row r="977">
      <c r="A977" s="96"/>
      <c r="B977" s="96"/>
      <c r="C977" s="96"/>
      <c r="D977" s="96"/>
      <c r="E977" s="96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98"/>
      <c r="Q977" s="96"/>
      <c r="T977" s="98"/>
      <c r="U977" s="98"/>
    </row>
    <row r="978">
      <c r="A978" s="96"/>
      <c r="B978" s="96"/>
      <c r="C978" s="96"/>
      <c r="D978" s="96"/>
      <c r="E978" s="96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98"/>
      <c r="Q978" s="96"/>
      <c r="T978" s="98"/>
      <c r="U978" s="98"/>
    </row>
    <row r="979">
      <c r="A979" s="96"/>
      <c r="B979" s="96"/>
      <c r="C979" s="96"/>
      <c r="D979" s="96"/>
      <c r="E979" s="96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98"/>
      <c r="Q979" s="96"/>
      <c r="T979" s="98"/>
      <c r="U979" s="98"/>
    </row>
    <row r="980">
      <c r="A980" s="96"/>
      <c r="B980" s="96"/>
      <c r="C980" s="96"/>
      <c r="D980" s="96"/>
      <c r="E980" s="96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98"/>
      <c r="Q980" s="96"/>
      <c r="T980" s="98"/>
      <c r="U980" s="98"/>
    </row>
    <row r="981">
      <c r="A981" s="96"/>
      <c r="B981" s="96"/>
      <c r="C981" s="96"/>
      <c r="D981" s="96"/>
      <c r="E981" s="96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98"/>
      <c r="Q981" s="96"/>
      <c r="T981" s="98"/>
      <c r="U981" s="98"/>
    </row>
    <row r="982">
      <c r="A982" s="96"/>
      <c r="B982" s="96"/>
      <c r="C982" s="96"/>
      <c r="D982" s="96"/>
      <c r="E982" s="96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98"/>
      <c r="Q982" s="96"/>
      <c r="T982" s="98"/>
      <c r="U982" s="98"/>
    </row>
    <row r="983">
      <c r="A983" s="96"/>
      <c r="B983" s="96"/>
      <c r="C983" s="96"/>
      <c r="D983" s="96"/>
      <c r="E983" s="96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98"/>
      <c r="Q983" s="96"/>
      <c r="T983" s="98"/>
      <c r="U983" s="98"/>
    </row>
    <row r="984">
      <c r="A984" s="96"/>
      <c r="B984" s="96"/>
      <c r="C984" s="96"/>
      <c r="D984" s="96"/>
      <c r="E984" s="96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98"/>
      <c r="Q984" s="96"/>
      <c r="T984" s="98"/>
      <c r="U984" s="98"/>
    </row>
    <row r="985">
      <c r="A985" s="96"/>
      <c r="B985" s="96"/>
      <c r="C985" s="96"/>
      <c r="D985" s="96"/>
      <c r="E985" s="96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98"/>
      <c r="Q985" s="96"/>
      <c r="T985" s="98"/>
      <c r="U985" s="98"/>
    </row>
    <row r="986">
      <c r="A986" s="96"/>
      <c r="B986" s="96"/>
      <c r="C986" s="96"/>
      <c r="D986" s="96"/>
      <c r="E986" s="96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98"/>
      <c r="Q986" s="96"/>
      <c r="T986" s="98"/>
      <c r="U986" s="98"/>
    </row>
    <row r="987">
      <c r="A987" s="96"/>
      <c r="B987" s="96"/>
      <c r="C987" s="96"/>
      <c r="D987" s="96"/>
      <c r="E987" s="96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98"/>
      <c r="Q987" s="96"/>
      <c r="T987" s="98"/>
      <c r="U987" s="98"/>
    </row>
    <row r="988">
      <c r="A988" s="96"/>
      <c r="B988" s="96"/>
      <c r="C988" s="96"/>
      <c r="D988" s="96"/>
      <c r="E988" s="96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98"/>
      <c r="Q988" s="96"/>
      <c r="T988" s="98"/>
      <c r="U988" s="98"/>
    </row>
    <row r="989">
      <c r="A989" s="96"/>
      <c r="B989" s="96"/>
      <c r="C989" s="96"/>
      <c r="D989" s="96"/>
      <c r="E989" s="96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98"/>
      <c r="Q989" s="96"/>
      <c r="T989" s="98"/>
      <c r="U989" s="98"/>
    </row>
    <row r="990">
      <c r="A990" s="96"/>
      <c r="B990" s="96"/>
      <c r="C990" s="96"/>
      <c r="D990" s="96"/>
      <c r="E990" s="96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98"/>
      <c r="Q990" s="96"/>
      <c r="T990" s="98"/>
      <c r="U990" s="98"/>
    </row>
    <row r="991">
      <c r="A991" s="96"/>
      <c r="B991" s="96"/>
      <c r="C991" s="96"/>
      <c r="D991" s="96"/>
      <c r="E991" s="96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98"/>
      <c r="Q991" s="96"/>
      <c r="T991" s="98"/>
      <c r="U991" s="98"/>
    </row>
    <row r="992">
      <c r="A992" s="96"/>
      <c r="B992" s="96"/>
      <c r="C992" s="96"/>
      <c r="D992" s="96"/>
      <c r="E992" s="96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98"/>
      <c r="Q992" s="96"/>
      <c r="T992" s="98"/>
      <c r="U992" s="98"/>
    </row>
    <row r="993">
      <c r="A993" s="96"/>
      <c r="B993" s="96"/>
      <c r="C993" s="96"/>
      <c r="D993" s="96"/>
      <c r="E993" s="96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98"/>
      <c r="Q993" s="96"/>
      <c r="T993" s="98"/>
      <c r="U993" s="98"/>
    </row>
    <row r="994">
      <c r="A994" s="96"/>
      <c r="B994" s="96"/>
      <c r="C994" s="96"/>
      <c r="D994" s="96"/>
      <c r="E994" s="96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98"/>
      <c r="Q994" s="96"/>
      <c r="T994" s="98"/>
      <c r="U994" s="98"/>
    </row>
    <row r="995">
      <c r="A995" s="96"/>
      <c r="B995" s="96"/>
      <c r="C995" s="96"/>
      <c r="D995" s="96"/>
      <c r="E995" s="96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98"/>
      <c r="Q995" s="96"/>
      <c r="T995" s="98"/>
      <c r="U995" s="98"/>
    </row>
    <row r="996">
      <c r="A996" s="96"/>
      <c r="B996" s="96"/>
      <c r="C996" s="96"/>
      <c r="D996" s="96"/>
      <c r="E996" s="96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98"/>
      <c r="Q996" s="96"/>
      <c r="T996" s="98"/>
      <c r="U996" s="98"/>
    </row>
    <row r="997">
      <c r="A997" s="96"/>
      <c r="B997" s="96"/>
      <c r="C997" s="96"/>
      <c r="D997" s="96"/>
      <c r="E997" s="96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98"/>
      <c r="Q997" s="96"/>
      <c r="T997" s="98"/>
      <c r="U997" s="98"/>
    </row>
    <row r="998">
      <c r="A998" s="96"/>
      <c r="B998" s="96"/>
      <c r="C998" s="96"/>
      <c r="D998" s="96"/>
      <c r="E998" s="96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98"/>
      <c r="Q998" s="96"/>
      <c r="T998" s="98"/>
      <c r="U998" s="98"/>
    </row>
    <row r="999">
      <c r="A999" s="96"/>
      <c r="B999" s="96"/>
      <c r="C999" s="96"/>
      <c r="D999" s="96"/>
      <c r="E999" s="96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98"/>
      <c r="Q999" s="96"/>
      <c r="T999" s="98"/>
      <c r="U999" s="98"/>
    </row>
    <row r="1000">
      <c r="A1000" s="96"/>
      <c r="B1000" s="96"/>
      <c r="C1000" s="96"/>
      <c r="D1000" s="96"/>
      <c r="E1000" s="96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98"/>
      <c r="Q1000" s="96"/>
      <c r="T1000" s="98"/>
      <c r="U1000" s="98"/>
    </row>
  </sheetData>
  <mergeCells count="2">
    <mergeCell ref="A1:B1"/>
    <mergeCell ref="A30:B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3.13"/>
    <col customWidth="1" min="3" max="5" width="13.13"/>
    <col customWidth="1" min="6" max="6" width="9.75"/>
    <col customWidth="1" min="7" max="47" width="12.88"/>
    <col customWidth="1" min="48" max="51" width="10.5"/>
  </cols>
  <sheetData>
    <row r="1">
      <c r="A1" s="1" t="s">
        <v>0</v>
      </c>
      <c r="B1" s="3"/>
      <c r="C1" s="4" t="s">
        <v>1</v>
      </c>
      <c r="D1" s="4" t="s">
        <v>3</v>
      </c>
      <c r="E1" s="4" t="s">
        <v>4</v>
      </c>
      <c r="F1" s="4" t="s">
        <v>5</v>
      </c>
      <c r="G1" s="4" t="s">
        <v>7</v>
      </c>
      <c r="H1" s="7">
        <v>45553.0</v>
      </c>
      <c r="I1" s="8">
        <v>45582.0</v>
      </c>
      <c r="J1" s="8">
        <v>45602.0</v>
      </c>
      <c r="K1" s="7">
        <v>45603.0</v>
      </c>
      <c r="L1" s="8">
        <v>45616.0</v>
      </c>
      <c r="M1" s="7">
        <v>45630.0</v>
      </c>
      <c r="N1" s="7">
        <v>45664.0</v>
      </c>
      <c r="O1" s="9">
        <v>45678.0</v>
      </c>
      <c r="P1" s="9">
        <v>45680.0</v>
      </c>
      <c r="Q1" s="7">
        <v>45692.0</v>
      </c>
      <c r="R1" s="11">
        <v>45692.0</v>
      </c>
      <c r="S1" s="13">
        <v>45713.0</v>
      </c>
      <c r="T1" s="15">
        <v>45350.0</v>
      </c>
      <c r="U1" s="13">
        <v>45722.0</v>
      </c>
      <c r="V1" s="13">
        <v>45735.0</v>
      </c>
      <c r="W1" s="13">
        <v>45740.0</v>
      </c>
      <c r="X1" s="18">
        <v>45756.0</v>
      </c>
      <c r="Y1" s="19">
        <v>45768.0</v>
      </c>
      <c r="Z1" s="18">
        <v>45772.0</v>
      </c>
      <c r="AA1" s="18">
        <v>45784.0</v>
      </c>
      <c r="AB1" s="21">
        <v>45810.0</v>
      </c>
      <c r="AC1" s="23">
        <v>45828.0</v>
      </c>
      <c r="AD1" s="23">
        <v>45845.0</v>
      </c>
      <c r="AE1" s="21">
        <v>45852.0</v>
      </c>
      <c r="AF1" s="21">
        <v>45867.0</v>
      </c>
      <c r="AG1" s="21">
        <v>45881.0</v>
      </c>
      <c r="AH1" s="21">
        <v>45909.0</v>
      </c>
      <c r="AI1" s="21">
        <v>45919.0</v>
      </c>
      <c r="AJ1" s="21">
        <v>45922.0</v>
      </c>
      <c r="AK1" s="21">
        <v>45933.0</v>
      </c>
      <c r="AL1" s="21">
        <v>45938.0</v>
      </c>
      <c r="AM1" s="21">
        <v>45946.0</v>
      </c>
      <c r="AN1" s="25" t="s">
        <v>8</v>
      </c>
      <c r="AO1" s="23">
        <v>45968.0</v>
      </c>
      <c r="AP1" s="23">
        <v>45972.0</v>
      </c>
      <c r="AQ1" s="23">
        <v>45979.0</v>
      </c>
      <c r="AR1" s="23">
        <v>45986.0</v>
      </c>
      <c r="AS1" s="25" t="s">
        <v>10</v>
      </c>
      <c r="AT1" s="23">
        <v>45999.0</v>
      </c>
      <c r="AU1" s="25" t="s">
        <v>11</v>
      </c>
      <c r="AV1" s="25" t="s">
        <v>12</v>
      </c>
      <c r="AW1" s="23">
        <v>45665.0</v>
      </c>
      <c r="AX1" s="23">
        <v>46034.0</v>
      </c>
      <c r="AY1" s="23">
        <v>46063.0</v>
      </c>
    </row>
    <row r="2">
      <c r="A2" s="27">
        <v>1.075935019E10</v>
      </c>
      <c r="B2" s="29" t="s">
        <v>14</v>
      </c>
      <c r="C2" s="30">
        <v>3.0</v>
      </c>
      <c r="D2" s="33">
        <f>C2*12</f>
        <v>36</v>
      </c>
      <c r="E2" s="34" t="s">
        <v>17</v>
      </c>
      <c r="F2" s="34">
        <f t="shared" ref="F2:F61" si="1">SUM(H2:AM2)</f>
        <v>12</v>
      </c>
      <c r="G2" s="34">
        <f t="shared" ref="G2:G61" si="2">D2-F2</f>
        <v>24</v>
      </c>
      <c r="H2" s="36">
        <v>12.0</v>
      </c>
      <c r="I2" s="34"/>
      <c r="J2" s="34"/>
      <c r="K2" s="34">
        <v>0.0</v>
      </c>
      <c r="L2" s="34"/>
      <c r="M2" s="34">
        <v>0.0</v>
      </c>
      <c r="N2" s="34">
        <v>0.0</v>
      </c>
      <c r="O2" s="35"/>
      <c r="P2" s="35"/>
      <c r="Q2" s="35"/>
      <c r="R2" s="38">
        <v>0.0</v>
      </c>
      <c r="S2" s="37"/>
      <c r="T2" s="39">
        <v>0.0</v>
      </c>
      <c r="U2" s="37"/>
      <c r="V2" s="37"/>
      <c r="W2" s="39">
        <v>0.0</v>
      </c>
      <c r="X2" s="40"/>
      <c r="Y2" s="41">
        <v>0.0</v>
      </c>
      <c r="Z2" s="40"/>
      <c r="AA2" s="41">
        <v>0.0</v>
      </c>
      <c r="AB2" s="42">
        <v>0.0</v>
      </c>
      <c r="AC2" s="42">
        <v>0.0</v>
      </c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>
        <v>5.0</v>
      </c>
      <c r="AO2" s="42"/>
      <c r="AP2" s="42"/>
      <c r="AQ2" s="42"/>
      <c r="AR2" s="42"/>
      <c r="AS2" s="42">
        <v>4.0</v>
      </c>
      <c r="AT2" s="42"/>
      <c r="AU2" s="42"/>
      <c r="AV2" s="42">
        <v>4.0</v>
      </c>
      <c r="AW2" s="42"/>
      <c r="AX2" s="42"/>
      <c r="AY2" s="42"/>
    </row>
    <row r="3">
      <c r="A3" s="27">
        <v>1.2172623122E10</v>
      </c>
      <c r="B3" s="31" t="s">
        <v>20</v>
      </c>
      <c r="C3" s="35">
        <v>5.0</v>
      </c>
      <c r="D3" s="33">
        <f t="shared" ref="D3:D4" si="3">C3*3</f>
        <v>15</v>
      </c>
      <c r="E3" s="34" t="s">
        <v>22</v>
      </c>
      <c r="F3" s="34">
        <f t="shared" si="1"/>
        <v>6</v>
      </c>
      <c r="G3" s="34">
        <f t="shared" si="2"/>
        <v>9</v>
      </c>
      <c r="H3" s="34">
        <v>3.0</v>
      </c>
      <c r="I3" s="35"/>
      <c r="J3" s="35"/>
      <c r="K3" s="34">
        <v>2.0</v>
      </c>
      <c r="L3" s="35"/>
      <c r="M3" s="34">
        <v>0.0</v>
      </c>
      <c r="N3" s="34">
        <v>0.0</v>
      </c>
      <c r="O3" s="35"/>
      <c r="P3" s="35"/>
      <c r="Q3" s="35"/>
      <c r="R3" s="38">
        <v>0.0</v>
      </c>
      <c r="S3" s="37"/>
      <c r="T3" s="39">
        <v>0.0</v>
      </c>
      <c r="U3" s="37"/>
      <c r="V3" s="37"/>
      <c r="W3" s="39">
        <v>0.0</v>
      </c>
      <c r="X3" s="40"/>
      <c r="Y3" s="41">
        <v>0.0</v>
      </c>
      <c r="Z3" s="40"/>
      <c r="AA3" s="41">
        <v>1.0</v>
      </c>
      <c r="AB3" s="42">
        <v>0.0</v>
      </c>
      <c r="AC3" s="42">
        <v>0.0</v>
      </c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>
        <v>1.0</v>
      </c>
      <c r="AO3" s="42">
        <v>1.0</v>
      </c>
      <c r="AP3" s="42"/>
      <c r="AQ3" s="42"/>
      <c r="AR3" s="42"/>
      <c r="AS3" s="42">
        <v>2.0</v>
      </c>
      <c r="AT3" s="42"/>
      <c r="AU3" s="42"/>
      <c r="AV3" s="42">
        <v>2.0</v>
      </c>
      <c r="AW3" s="42"/>
      <c r="AX3" s="42"/>
      <c r="AY3" s="42"/>
    </row>
    <row r="4">
      <c r="A4" s="27">
        <v>1.1447394216E10</v>
      </c>
      <c r="B4" s="31" t="s">
        <v>24</v>
      </c>
      <c r="C4" s="35">
        <v>5.0</v>
      </c>
      <c r="D4" s="33">
        <f t="shared" si="3"/>
        <v>15</v>
      </c>
      <c r="E4" s="34" t="s">
        <v>22</v>
      </c>
      <c r="F4" s="34">
        <f t="shared" si="1"/>
        <v>11</v>
      </c>
      <c r="G4" s="34">
        <f t="shared" si="2"/>
        <v>4</v>
      </c>
      <c r="H4" s="34">
        <v>3.0</v>
      </c>
      <c r="I4" s="35"/>
      <c r="J4" s="35"/>
      <c r="K4" s="34">
        <v>1.0</v>
      </c>
      <c r="L4" s="35"/>
      <c r="M4" s="34">
        <v>1.0</v>
      </c>
      <c r="N4" s="34">
        <v>0.0</v>
      </c>
      <c r="O4" s="35"/>
      <c r="P4" s="35"/>
      <c r="Q4" s="35"/>
      <c r="R4" s="38">
        <v>1.0</v>
      </c>
      <c r="S4" s="37"/>
      <c r="T4" s="39">
        <v>0.0</v>
      </c>
      <c r="U4" s="37"/>
      <c r="V4" s="37"/>
      <c r="W4" s="39">
        <v>0.0</v>
      </c>
      <c r="X4" s="40"/>
      <c r="Y4" s="41">
        <v>2.0</v>
      </c>
      <c r="Z4" s="40"/>
      <c r="AA4" s="41">
        <v>2.0</v>
      </c>
      <c r="AB4" s="42">
        <v>0.0</v>
      </c>
      <c r="AC4" s="42">
        <v>1.0</v>
      </c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>
        <v>2.0</v>
      </c>
      <c r="AO4" s="42"/>
      <c r="AP4" s="42"/>
      <c r="AQ4" s="42"/>
      <c r="AR4" s="42"/>
      <c r="AS4" s="42">
        <v>2.0</v>
      </c>
      <c r="AT4" s="42"/>
      <c r="AU4" s="42"/>
      <c r="AV4" s="42">
        <v>2.0</v>
      </c>
      <c r="AW4" s="42"/>
      <c r="AX4" s="42"/>
      <c r="AY4" s="42"/>
    </row>
    <row r="5">
      <c r="A5" s="27">
        <v>3.121305122E9</v>
      </c>
      <c r="B5" s="29" t="s">
        <v>26</v>
      </c>
      <c r="C5" s="35">
        <v>3.0</v>
      </c>
      <c r="D5" s="33">
        <f t="shared" ref="D5:D6" si="4">C5*5</f>
        <v>15</v>
      </c>
      <c r="E5" s="34" t="s">
        <v>27</v>
      </c>
      <c r="F5" s="34">
        <f t="shared" si="1"/>
        <v>12</v>
      </c>
      <c r="G5" s="34">
        <f t="shared" si="2"/>
        <v>3</v>
      </c>
      <c r="H5" s="36">
        <v>5.0</v>
      </c>
      <c r="I5" s="35"/>
      <c r="J5" s="35"/>
      <c r="K5" s="34">
        <v>0.0</v>
      </c>
      <c r="L5" s="35"/>
      <c r="M5" s="34">
        <v>0.0</v>
      </c>
      <c r="N5" s="34">
        <v>2.0</v>
      </c>
      <c r="O5" s="35"/>
      <c r="P5" s="35"/>
      <c r="Q5" s="35"/>
      <c r="R5" s="38">
        <v>0.0</v>
      </c>
      <c r="S5" s="37"/>
      <c r="T5" s="39">
        <v>0.0</v>
      </c>
      <c r="U5" s="37"/>
      <c r="V5" s="37"/>
      <c r="W5" s="39">
        <v>1.0</v>
      </c>
      <c r="X5" s="40"/>
      <c r="Y5" s="41">
        <v>2.0</v>
      </c>
      <c r="Z5" s="40"/>
      <c r="AA5" s="41">
        <v>0.0</v>
      </c>
      <c r="AB5" s="42">
        <v>0.0</v>
      </c>
      <c r="AC5" s="42">
        <v>2.0</v>
      </c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>
        <v>1.0</v>
      </c>
      <c r="AO5" s="42">
        <v>1.0</v>
      </c>
      <c r="AP5" s="42"/>
      <c r="AQ5" s="42"/>
      <c r="AR5" s="42"/>
      <c r="AS5" s="42">
        <v>1.0</v>
      </c>
      <c r="AT5" s="42">
        <v>1.0</v>
      </c>
      <c r="AU5" s="42">
        <v>11432.0</v>
      </c>
      <c r="AV5" s="42">
        <v>2.0</v>
      </c>
      <c r="AW5" s="42"/>
      <c r="AX5" s="42"/>
      <c r="AY5" s="42"/>
    </row>
    <row r="6">
      <c r="A6" s="27">
        <v>1.1355279216E10</v>
      </c>
      <c r="B6" s="29" t="s">
        <v>30</v>
      </c>
      <c r="C6" s="35">
        <v>3.0</v>
      </c>
      <c r="D6" s="46">
        <f t="shared" si="4"/>
        <v>15</v>
      </c>
      <c r="E6" s="34" t="s">
        <v>27</v>
      </c>
      <c r="F6" s="34">
        <f t="shared" si="1"/>
        <v>12</v>
      </c>
      <c r="G6" s="34">
        <f t="shared" si="2"/>
        <v>3</v>
      </c>
      <c r="H6" s="36">
        <v>5.0</v>
      </c>
      <c r="I6" s="35"/>
      <c r="J6" s="35"/>
      <c r="K6" s="34">
        <v>0.0</v>
      </c>
      <c r="L6" s="35"/>
      <c r="M6" s="34">
        <v>0.0</v>
      </c>
      <c r="N6" s="34">
        <v>0.0</v>
      </c>
      <c r="O6" s="35"/>
      <c r="P6" s="35"/>
      <c r="Q6" s="35"/>
      <c r="R6" s="38">
        <v>0.0</v>
      </c>
      <c r="S6" s="37"/>
      <c r="T6" s="39">
        <v>0.0</v>
      </c>
      <c r="U6" s="37"/>
      <c r="V6" s="37"/>
      <c r="W6" s="39">
        <v>0.0</v>
      </c>
      <c r="X6" s="40"/>
      <c r="Y6" s="41">
        <v>3.0</v>
      </c>
      <c r="Z6" s="40"/>
      <c r="AA6" s="41">
        <v>1.0</v>
      </c>
      <c r="AB6" s="42">
        <v>0.0</v>
      </c>
      <c r="AC6" s="42">
        <v>2.0</v>
      </c>
      <c r="AD6" s="42"/>
      <c r="AE6" s="42"/>
      <c r="AF6" s="42"/>
      <c r="AG6" s="42"/>
      <c r="AH6" s="42"/>
      <c r="AI6" s="42"/>
      <c r="AJ6" s="42"/>
      <c r="AK6" s="42"/>
      <c r="AL6" s="42"/>
      <c r="AM6" s="42">
        <v>1.0</v>
      </c>
      <c r="AN6" s="42">
        <v>1.0</v>
      </c>
      <c r="AO6" s="42">
        <v>1.0</v>
      </c>
      <c r="AP6" s="42"/>
      <c r="AQ6" s="42"/>
      <c r="AR6" s="42"/>
      <c r="AS6" s="42">
        <v>2.0</v>
      </c>
      <c r="AT6" s="42"/>
      <c r="AU6" s="42"/>
      <c r="AV6" s="42">
        <v>2.0</v>
      </c>
      <c r="AW6" s="42"/>
      <c r="AX6" s="42"/>
      <c r="AY6" s="42"/>
    </row>
    <row r="7">
      <c r="A7" s="27">
        <v>4.52841719E9</v>
      </c>
      <c r="B7" s="31" t="s">
        <v>32</v>
      </c>
      <c r="C7" s="35">
        <v>5.0</v>
      </c>
      <c r="D7" s="33">
        <f>C7*3</f>
        <v>15</v>
      </c>
      <c r="E7" s="34" t="s">
        <v>34</v>
      </c>
      <c r="F7" s="34">
        <f t="shared" si="1"/>
        <v>7</v>
      </c>
      <c r="G7" s="34">
        <f t="shared" si="2"/>
        <v>8</v>
      </c>
      <c r="H7" s="36">
        <v>3.0</v>
      </c>
      <c r="I7" s="35"/>
      <c r="J7" s="35"/>
      <c r="K7" s="34">
        <v>2.0</v>
      </c>
      <c r="L7" s="35"/>
      <c r="M7" s="34">
        <v>0.0</v>
      </c>
      <c r="N7" s="34">
        <v>2.0</v>
      </c>
      <c r="O7" s="35"/>
      <c r="P7" s="35"/>
      <c r="Q7" s="35"/>
      <c r="R7" s="38">
        <v>0.0</v>
      </c>
      <c r="S7" s="37"/>
      <c r="T7" s="39">
        <v>0.0</v>
      </c>
      <c r="U7" s="37"/>
      <c r="V7" s="37"/>
      <c r="W7" s="39">
        <v>0.0</v>
      </c>
      <c r="X7" s="40"/>
      <c r="Y7" s="41">
        <v>0.0</v>
      </c>
      <c r="Z7" s="40"/>
      <c r="AA7" s="41">
        <v>0.0</v>
      </c>
      <c r="AB7" s="42">
        <v>0.0</v>
      </c>
      <c r="AC7" s="42">
        <v>0.0</v>
      </c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>
        <v>5.0</v>
      </c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</row>
    <row r="8">
      <c r="A8" s="27">
        <v>5.05090119E9</v>
      </c>
      <c r="B8" s="31" t="s">
        <v>36</v>
      </c>
      <c r="C8" s="35">
        <v>12.0</v>
      </c>
      <c r="D8" s="33">
        <f t="shared" ref="D8:D9" si="5">C8*1</f>
        <v>12</v>
      </c>
      <c r="E8" s="34" t="s">
        <v>38</v>
      </c>
      <c r="F8" s="34">
        <f t="shared" si="1"/>
        <v>40</v>
      </c>
      <c r="G8" s="34">
        <f t="shared" si="2"/>
        <v>-28</v>
      </c>
      <c r="H8" s="34">
        <v>12.0</v>
      </c>
      <c r="I8" s="34">
        <v>12.0</v>
      </c>
      <c r="J8" s="35"/>
      <c r="K8" s="34">
        <v>12.0</v>
      </c>
      <c r="L8" s="35"/>
      <c r="M8" s="34">
        <v>0.0</v>
      </c>
      <c r="N8" s="34">
        <v>0.0</v>
      </c>
      <c r="O8" s="35"/>
      <c r="P8" s="35"/>
      <c r="Q8" s="35"/>
      <c r="R8" s="38">
        <v>0.0</v>
      </c>
      <c r="S8" s="37"/>
      <c r="T8" s="39">
        <v>2.0</v>
      </c>
      <c r="U8" s="37"/>
      <c r="V8" s="37"/>
      <c r="W8" s="39">
        <v>0.0</v>
      </c>
      <c r="X8" s="40"/>
      <c r="Y8" s="41">
        <v>0.0</v>
      </c>
      <c r="AA8" s="42">
        <v>0.0</v>
      </c>
      <c r="AB8" s="42">
        <v>0.0</v>
      </c>
      <c r="AC8" s="42">
        <v>2.0</v>
      </c>
      <c r="AD8" s="42"/>
      <c r="AE8" s="42"/>
      <c r="AF8" s="42"/>
      <c r="AG8" s="42"/>
      <c r="AH8" s="42"/>
      <c r="AI8" s="42"/>
      <c r="AJ8" s="42"/>
      <c r="AN8" s="42">
        <v>1.0</v>
      </c>
      <c r="AO8" s="42">
        <v>1.0</v>
      </c>
      <c r="AP8" s="42"/>
      <c r="AQ8" s="42"/>
      <c r="AR8" s="42"/>
      <c r="AS8" s="42">
        <v>2.0</v>
      </c>
      <c r="AT8" s="42"/>
      <c r="AU8" s="42"/>
      <c r="AV8" s="42">
        <v>2.0</v>
      </c>
      <c r="AW8" s="42"/>
      <c r="AX8" s="42"/>
      <c r="AY8" s="42"/>
    </row>
    <row r="9">
      <c r="A9" s="27">
        <v>1.2172828322E10</v>
      </c>
      <c r="B9" s="29" t="s">
        <v>39</v>
      </c>
      <c r="C9" s="35">
        <v>12.0</v>
      </c>
      <c r="D9" s="33">
        <f t="shared" si="5"/>
        <v>12</v>
      </c>
      <c r="E9" s="34" t="s">
        <v>27</v>
      </c>
      <c r="F9" s="34">
        <f t="shared" si="1"/>
        <v>52</v>
      </c>
      <c r="G9" s="34">
        <f t="shared" si="2"/>
        <v>-40</v>
      </c>
      <c r="H9" s="47">
        <v>10.0</v>
      </c>
      <c r="I9" s="34">
        <v>10.0</v>
      </c>
      <c r="J9" s="35"/>
      <c r="K9" s="34">
        <v>10.0</v>
      </c>
      <c r="L9" s="35"/>
      <c r="M9" s="34">
        <v>20.0</v>
      </c>
      <c r="N9" s="34">
        <v>0.0</v>
      </c>
      <c r="O9" s="35"/>
      <c r="P9" s="35"/>
      <c r="Q9" s="35"/>
      <c r="R9" s="38">
        <v>0.0</v>
      </c>
      <c r="S9" s="37"/>
      <c r="T9" s="39">
        <v>0.0</v>
      </c>
      <c r="U9" s="37"/>
      <c r="V9" s="37"/>
      <c r="W9" s="39">
        <v>0.0</v>
      </c>
      <c r="X9" s="40"/>
      <c r="Y9" s="41">
        <v>0.0</v>
      </c>
      <c r="AA9" s="42">
        <v>0.0</v>
      </c>
      <c r="AB9" s="42">
        <v>0.0</v>
      </c>
      <c r="AC9" s="42">
        <v>0.0</v>
      </c>
      <c r="AD9" s="42"/>
      <c r="AE9" s="42"/>
      <c r="AF9" s="42"/>
      <c r="AG9" s="42"/>
      <c r="AH9" s="42">
        <v>1.0</v>
      </c>
      <c r="AI9" s="42"/>
      <c r="AJ9" s="42"/>
      <c r="AK9" s="42">
        <v>1.0</v>
      </c>
      <c r="AL9" s="42"/>
      <c r="AM9" s="42"/>
      <c r="AN9" s="42">
        <v>1.0</v>
      </c>
      <c r="AO9" s="42">
        <v>1.0</v>
      </c>
      <c r="AP9" s="42"/>
      <c r="AQ9" s="42"/>
      <c r="AR9" s="42"/>
      <c r="AS9" s="42">
        <v>1.0</v>
      </c>
      <c r="AT9" s="42">
        <v>1.0</v>
      </c>
      <c r="AU9" s="42" t="s">
        <v>18</v>
      </c>
      <c r="AV9" s="42">
        <v>2.0</v>
      </c>
      <c r="AW9" s="42"/>
      <c r="AX9" s="42"/>
      <c r="AY9" s="42"/>
    </row>
    <row r="10">
      <c r="A10" s="48"/>
      <c r="B10" s="48"/>
      <c r="C10" s="49"/>
      <c r="D10" s="49"/>
      <c r="E10" s="49"/>
      <c r="F10" s="34">
        <f t="shared" si="1"/>
        <v>0</v>
      </c>
      <c r="G10" s="34">
        <f t="shared" si="2"/>
        <v>0</v>
      </c>
      <c r="H10" s="49"/>
      <c r="I10" s="35"/>
      <c r="J10" s="35"/>
      <c r="K10" s="35"/>
      <c r="L10" s="35"/>
      <c r="M10" s="35"/>
      <c r="N10" s="35"/>
      <c r="O10" s="35"/>
      <c r="P10" s="35"/>
      <c r="Q10" s="35"/>
      <c r="R10" s="50"/>
      <c r="S10" s="37"/>
      <c r="T10" s="37"/>
      <c r="U10" s="37"/>
      <c r="V10" s="37"/>
      <c r="W10" s="37"/>
      <c r="X10" s="40"/>
      <c r="Y10" s="40"/>
    </row>
    <row r="11">
      <c r="A11" s="51" t="s">
        <v>43</v>
      </c>
      <c r="B11" s="51" t="s">
        <v>44</v>
      </c>
      <c r="C11" s="52"/>
      <c r="D11" s="52"/>
      <c r="E11" s="53"/>
      <c r="F11" s="34">
        <f t="shared" si="1"/>
        <v>0</v>
      </c>
      <c r="G11" s="34">
        <f t="shared" si="2"/>
        <v>0</v>
      </c>
      <c r="H11" s="53"/>
      <c r="I11" s="52"/>
      <c r="J11" s="52"/>
      <c r="K11" s="52"/>
      <c r="L11" s="52"/>
      <c r="M11" s="52"/>
      <c r="N11" s="52"/>
      <c r="O11" s="52"/>
      <c r="P11" s="52"/>
      <c r="Q11" s="52"/>
      <c r="R11" s="54"/>
      <c r="S11" s="55"/>
      <c r="T11" s="55"/>
      <c r="U11" s="55"/>
      <c r="V11" s="55"/>
      <c r="W11" s="55"/>
      <c r="X11" s="56"/>
      <c r="Y11" s="56"/>
    </row>
    <row r="12">
      <c r="A12" s="27">
        <v>3.121313122E9</v>
      </c>
      <c r="B12" s="29" t="s">
        <v>48</v>
      </c>
      <c r="C12" s="35">
        <v>5.0</v>
      </c>
      <c r="D12" s="35">
        <f t="shared" ref="D12:D17" si="6">C12*4</f>
        <v>20</v>
      </c>
      <c r="E12" s="34" t="s">
        <v>49</v>
      </c>
      <c r="F12" s="34">
        <f t="shared" si="1"/>
        <v>27</v>
      </c>
      <c r="G12" s="34">
        <f t="shared" si="2"/>
        <v>-7</v>
      </c>
      <c r="H12" s="34">
        <v>4.0</v>
      </c>
      <c r="I12" s="35"/>
      <c r="J12" s="35"/>
      <c r="K12" s="34">
        <v>0.0</v>
      </c>
      <c r="L12" s="35"/>
      <c r="M12" s="34">
        <v>4.0</v>
      </c>
      <c r="N12" s="34">
        <v>0.0</v>
      </c>
      <c r="O12" s="35"/>
      <c r="P12" s="35"/>
      <c r="Q12" s="35"/>
      <c r="R12" s="38">
        <v>2.0</v>
      </c>
      <c r="S12" s="37"/>
      <c r="T12" s="39">
        <v>2.0</v>
      </c>
      <c r="U12" s="37"/>
      <c r="V12" s="37"/>
      <c r="W12" s="39">
        <v>2.0</v>
      </c>
      <c r="X12" s="40"/>
      <c r="Y12" s="41">
        <v>2.0</v>
      </c>
      <c r="AA12" s="42">
        <v>0.0</v>
      </c>
      <c r="AB12" s="42">
        <v>2.0</v>
      </c>
      <c r="AC12" s="42">
        <v>3.0</v>
      </c>
      <c r="AD12" s="42"/>
      <c r="AG12" s="42">
        <v>3.0</v>
      </c>
      <c r="AH12" s="42">
        <v>1.0</v>
      </c>
      <c r="AI12" s="42"/>
      <c r="AJ12" s="42"/>
      <c r="AK12" s="42">
        <v>2.0</v>
      </c>
      <c r="AL12" s="42"/>
      <c r="AM12" s="42"/>
      <c r="AN12" s="42">
        <v>1.0</v>
      </c>
      <c r="AO12" s="42">
        <v>2.0</v>
      </c>
      <c r="AP12" s="42"/>
      <c r="AQ12" s="42"/>
      <c r="AR12" s="42"/>
      <c r="AS12" s="42">
        <v>0.0</v>
      </c>
      <c r="AT12" s="42">
        <v>2.0</v>
      </c>
      <c r="AU12" s="42" t="s">
        <v>18</v>
      </c>
      <c r="AV12" s="42">
        <v>0.0</v>
      </c>
      <c r="AW12" s="42">
        <v>1.0</v>
      </c>
      <c r="AX12" s="42"/>
      <c r="AY12" s="42"/>
    </row>
    <row r="13">
      <c r="A13" s="27">
        <v>3.121291122E9</v>
      </c>
      <c r="B13" s="29" t="s">
        <v>53</v>
      </c>
      <c r="C13" s="35">
        <v>5.0</v>
      </c>
      <c r="D13" s="35">
        <f t="shared" si="6"/>
        <v>20</v>
      </c>
      <c r="E13" s="34" t="s">
        <v>49</v>
      </c>
      <c r="F13" s="34">
        <f t="shared" si="1"/>
        <v>29</v>
      </c>
      <c r="G13" s="34">
        <f t="shared" si="2"/>
        <v>-9</v>
      </c>
      <c r="H13" s="34">
        <v>4.0</v>
      </c>
      <c r="I13" s="35"/>
      <c r="J13" s="35"/>
      <c r="K13" s="34">
        <v>0.0</v>
      </c>
      <c r="L13" s="35"/>
      <c r="M13" s="34">
        <v>4.0</v>
      </c>
      <c r="N13" s="34">
        <v>0.0</v>
      </c>
      <c r="O13" s="35"/>
      <c r="P13" s="35"/>
      <c r="Q13" s="35"/>
      <c r="R13" s="38">
        <v>2.0</v>
      </c>
      <c r="S13" s="37"/>
      <c r="T13" s="39">
        <v>2.0</v>
      </c>
      <c r="U13" s="37"/>
      <c r="V13" s="37"/>
      <c r="W13" s="39">
        <v>2.0</v>
      </c>
      <c r="X13" s="41">
        <v>2.0</v>
      </c>
      <c r="Y13" s="41">
        <v>2.0</v>
      </c>
      <c r="AA13" s="42">
        <v>0.0</v>
      </c>
      <c r="AB13" s="42">
        <v>2.0</v>
      </c>
      <c r="AC13" s="42">
        <v>3.0</v>
      </c>
      <c r="AD13" s="42"/>
      <c r="AE13" s="42"/>
      <c r="AF13" s="42"/>
      <c r="AG13" s="42">
        <v>3.0</v>
      </c>
      <c r="AH13" s="42">
        <v>2.0</v>
      </c>
      <c r="AI13" s="42"/>
      <c r="AJ13" s="42"/>
      <c r="AK13" s="42">
        <v>1.0</v>
      </c>
      <c r="AL13" s="42"/>
      <c r="AM13" s="42"/>
      <c r="AN13" s="42">
        <v>1.0</v>
      </c>
      <c r="AO13" s="42">
        <v>2.0</v>
      </c>
      <c r="AP13" s="42"/>
      <c r="AQ13" s="42"/>
      <c r="AR13" s="42"/>
      <c r="AS13" s="42">
        <v>0.0</v>
      </c>
      <c r="AT13" s="42">
        <v>2.0</v>
      </c>
      <c r="AU13" s="42">
        <v>11432.0</v>
      </c>
      <c r="AV13" s="42">
        <v>0.0</v>
      </c>
      <c r="AW13" s="42">
        <v>1.0</v>
      </c>
      <c r="AX13" s="42"/>
      <c r="AY13" s="42"/>
    </row>
    <row r="14">
      <c r="A14" s="27">
        <v>5.94762619E9</v>
      </c>
      <c r="B14" s="57" t="s">
        <v>55</v>
      </c>
      <c r="C14" s="35">
        <v>15.0</v>
      </c>
      <c r="D14" s="35">
        <f t="shared" si="6"/>
        <v>60</v>
      </c>
      <c r="E14" s="34" t="s">
        <v>56</v>
      </c>
      <c r="F14" s="34">
        <f t="shared" si="1"/>
        <v>25</v>
      </c>
      <c r="G14" s="34">
        <f t="shared" si="2"/>
        <v>35</v>
      </c>
      <c r="H14" s="58">
        <v>4.0</v>
      </c>
      <c r="I14" s="34"/>
      <c r="J14" s="34"/>
      <c r="K14" s="34">
        <v>0.0</v>
      </c>
      <c r="L14" s="35"/>
      <c r="M14" s="34">
        <v>0.0</v>
      </c>
      <c r="N14" s="34">
        <v>0.0</v>
      </c>
      <c r="O14" s="35"/>
      <c r="P14" s="35"/>
      <c r="Q14" s="35"/>
      <c r="R14" s="38">
        <v>0.0</v>
      </c>
      <c r="S14" s="37"/>
      <c r="T14" s="39">
        <v>4.0</v>
      </c>
      <c r="U14" s="37"/>
      <c r="V14" s="37"/>
      <c r="W14" s="39">
        <v>0.0</v>
      </c>
      <c r="X14" s="40"/>
      <c r="Y14" s="41">
        <v>8.0</v>
      </c>
      <c r="Z14" s="41"/>
      <c r="AA14" s="41">
        <v>0.0</v>
      </c>
      <c r="AB14" s="42">
        <v>4.0</v>
      </c>
      <c r="AC14" s="42">
        <v>0.0</v>
      </c>
      <c r="AD14" s="42"/>
      <c r="AE14" s="42"/>
      <c r="AF14" s="42"/>
      <c r="AG14" s="42"/>
      <c r="AH14" s="42"/>
      <c r="AI14" s="42"/>
      <c r="AJ14" s="42"/>
      <c r="AK14" s="42">
        <v>4.0</v>
      </c>
      <c r="AL14" s="42">
        <v>1.0</v>
      </c>
      <c r="AM14" s="42"/>
      <c r="AN14" s="42">
        <v>2.0</v>
      </c>
      <c r="AO14" s="42">
        <v>2.0</v>
      </c>
      <c r="AP14" s="42"/>
      <c r="AQ14" s="42"/>
      <c r="AR14" s="42"/>
      <c r="AS14" s="42">
        <v>2.0</v>
      </c>
      <c r="AT14" s="42">
        <v>2.0</v>
      </c>
      <c r="AU14" s="42">
        <v>11432.0</v>
      </c>
      <c r="AV14" s="42">
        <v>1.0</v>
      </c>
      <c r="AW14" s="42">
        <v>1.0</v>
      </c>
      <c r="AX14" s="42"/>
      <c r="AY14" s="42" t="s">
        <v>51</v>
      </c>
    </row>
    <row r="15">
      <c r="A15" s="27">
        <v>5.94777419E9</v>
      </c>
      <c r="B15" s="57" t="s">
        <v>58</v>
      </c>
      <c r="C15" s="35">
        <v>15.0</v>
      </c>
      <c r="D15" s="35">
        <f t="shared" si="6"/>
        <v>60</v>
      </c>
      <c r="E15" s="34" t="s">
        <v>59</v>
      </c>
      <c r="F15" s="34">
        <f t="shared" si="1"/>
        <v>21</v>
      </c>
      <c r="G15" s="34">
        <f t="shared" si="2"/>
        <v>39</v>
      </c>
      <c r="H15" s="58">
        <v>4.0</v>
      </c>
      <c r="I15" s="34"/>
      <c r="J15" s="34"/>
      <c r="K15" s="34">
        <v>0.0</v>
      </c>
      <c r="L15" s="35"/>
      <c r="M15" s="34">
        <v>0.0</v>
      </c>
      <c r="N15" s="34">
        <v>4.0</v>
      </c>
      <c r="O15" s="35"/>
      <c r="P15" s="35"/>
      <c r="Q15" s="35"/>
      <c r="R15" s="38">
        <v>0.0</v>
      </c>
      <c r="S15" s="37"/>
      <c r="T15" s="39">
        <v>0.0</v>
      </c>
      <c r="U15" s="37"/>
      <c r="V15" s="37"/>
      <c r="W15" s="39">
        <v>0.0</v>
      </c>
      <c r="X15" s="40"/>
      <c r="Y15" s="41">
        <v>0.0</v>
      </c>
      <c r="AA15" s="42">
        <v>4.0</v>
      </c>
      <c r="AB15" s="42">
        <v>4.0</v>
      </c>
      <c r="AC15" s="42">
        <v>0.0</v>
      </c>
      <c r="AD15" s="42"/>
      <c r="AE15" s="42"/>
      <c r="AF15" s="42"/>
      <c r="AG15" s="42"/>
      <c r="AH15" s="42"/>
      <c r="AI15" s="42"/>
      <c r="AJ15" s="42"/>
      <c r="AK15" s="42">
        <v>4.0</v>
      </c>
      <c r="AL15" s="42">
        <v>1.0</v>
      </c>
      <c r="AM15" s="42"/>
      <c r="AN15" s="42">
        <v>2.0</v>
      </c>
      <c r="AO15" s="42">
        <v>2.0</v>
      </c>
      <c r="AP15" s="42"/>
      <c r="AQ15" s="42"/>
      <c r="AR15" s="42">
        <v>2.0</v>
      </c>
      <c r="AS15" s="42">
        <v>2.0</v>
      </c>
      <c r="AT15" s="42">
        <v>2.0</v>
      </c>
      <c r="AU15" s="42">
        <v>11432.0</v>
      </c>
      <c r="AV15" s="42">
        <v>1.0</v>
      </c>
      <c r="AW15" s="42">
        <v>1.0</v>
      </c>
      <c r="AX15" s="42"/>
      <c r="AY15" s="42"/>
    </row>
    <row r="16">
      <c r="A16" s="27">
        <v>5.47920719E9</v>
      </c>
      <c r="B16" s="31" t="s">
        <v>61</v>
      </c>
      <c r="C16" s="35">
        <v>13.0</v>
      </c>
      <c r="D16" s="35">
        <f t="shared" si="6"/>
        <v>52</v>
      </c>
      <c r="E16" s="34" t="s">
        <v>62</v>
      </c>
      <c r="F16" s="34">
        <f t="shared" si="1"/>
        <v>30</v>
      </c>
      <c r="G16" s="34">
        <f t="shared" si="2"/>
        <v>22</v>
      </c>
      <c r="H16" s="58">
        <v>4.0</v>
      </c>
      <c r="I16" s="35"/>
      <c r="J16" s="34">
        <v>2.0</v>
      </c>
      <c r="K16" s="34">
        <v>2.0</v>
      </c>
      <c r="L16" s="34"/>
      <c r="M16" s="34">
        <v>8.0</v>
      </c>
      <c r="N16" s="34">
        <v>0.0</v>
      </c>
      <c r="O16" s="35"/>
      <c r="P16" s="35"/>
      <c r="Q16" s="35"/>
      <c r="R16" s="38">
        <v>0.0</v>
      </c>
      <c r="S16" s="37"/>
      <c r="T16" s="39">
        <v>0.0</v>
      </c>
      <c r="U16" s="37"/>
      <c r="V16" s="37"/>
      <c r="W16" s="39">
        <v>3.0</v>
      </c>
      <c r="X16" s="40"/>
      <c r="Y16" s="41">
        <v>4.0</v>
      </c>
      <c r="AA16" s="42">
        <v>0.0</v>
      </c>
      <c r="AB16" s="42">
        <v>2.0</v>
      </c>
      <c r="AC16" s="42">
        <v>2.0</v>
      </c>
      <c r="AD16" s="42"/>
      <c r="AE16" s="42"/>
      <c r="AF16" s="42"/>
      <c r="AG16" s="42">
        <v>3.0</v>
      </c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</row>
    <row r="17">
      <c r="A17" s="27">
        <v>5.91250419E9</v>
      </c>
      <c r="B17" s="31" t="s">
        <v>63</v>
      </c>
      <c r="C17" s="35">
        <v>13.0</v>
      </c>
      <c r="D17" s="35">
        <f t="shared" si="6"/>
        <v>52</v>
      </c>
      <c r="E17" s="34" t="s">
        <v>62</v>
      </c>
      <c r="F17" s="34">
        <f t="shared" si="1"/>
        <v>34</v>
      </c>
      <c r="G17" s="34">
        <f t="shared" si="2"/>
        <v>18</v>
      </c>
      <c r="H17" s="58">
        <v>4.0</v>
      </c>
      <c r="I17" s="35"/>
      <c r="J17" s="34">
        <v>2.0</v>
      </c>
      <c r="K17" s="34">
        <v>2.0</v>
      </c>
      <c r="L17" s="34"/>
      <c r="M17" s="34">
        <v>8.0</v>
      </c>
      <c r="N17" s="34">
        <v>0.0</v>
      </c>
      <c r="O17" s="35"/>
      <c r="P17" s="35"/>
      <c r="Q17" s="35"/>
      <c r="R17" s="38">
        <v>0.0</v>
      </c>
      <c r="S17" s="37"/>
      <c r="T17" s="39">
        <v>4.0</v>
      </c>
      <c r="U17" s="37"/>
      <c r="V17" s="37"/>
      <c r="W17" s="39">
        <v>2.0</v>
      </c>
      <c r="X17" s="40"/>
      <c r="Y17" s="41">
        <v>4.0</v>
      </c>
      <c r="AA17" s="42">
        <v>0.0</v>
      </c>
      <c r="AB17" s="42">
        <v>2.0</v>
      </c>
      <c r="AC17" s="42">
        <v>3.0</v>
      </c>
      <c r="AD17" s="42"/>
      <c r="AE17" s="42"/>
      <c r="AF17" s="42"/>
      <c r="AG17" s="42">
        <v>3.0</v>
      </c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</row>
    <row r="18">
      <c r="A18" s="27">
        <v>5.05093619E9</v>
      </c>
      <c r="B18" s="31" t="s">
        <v>67</v>
      </c>
      <c r="C18" s="35">
        <v>30.0</v>
      </c>
      <c r="D18" s="35"/>
      <c r="E18" s="34" t="s">
        <v>68</v>
      </c>
      <c r="F18" s="34">
        <f t="shared" si="1"/>
        <v>37</v>
      </c>
      <c r="G18" s="34">
        <f t="shared" si="2"/>
        <v>-37</v>
      </c>
      <c r="H18" s="47">
        <v>2.0</v>
      </c>
      <c r="I18" s="34">
        <v>2.0</v>
      </c>
      <c r="J18" s="35"/>
      <c r="K18" s="34">
        <v>2.0</v>
      </c>
      <c r="L18" s="35"/>
      <c r="M18" s="34">
        <v>3.0</v>
      </c>
      <c r="N18" s="34">
        <v>0.0</v>
      </c>
      <c r="O18" s="35"/>
      <c r="P18" s="35"/>
      <c r="Q18" s="35"/>
      <c r="R18" s="38">
        <v>2.0</v>
      </c>
      <c r="S18" s="37"/>
      <c r="T18" s="39">
        <v>0.0</v>
      </c>
      <c r="U18" s="37"/>
      <c r="V18" s="37"/>
      <c r="W18" s="39">
        <v>1.0</v>
      </c>
      <c r="X18" s="40"/>
      <c r="Y18" s="41">
        <v>6.0</v>
      </c>
      <c r="AA18" s="42">
        <v>2.0</v>
      </c>
      <c r="AB18" s="42">
        <v>4.0</v>
      </c>
      <c r="AC18" s="42">
        <v>0.0</v>
      </c>
      <c r="AD18" s="42"/>
      <c r="AE18" s="42">
        <v>4.0</v>
      </c>
      <c r="AF18" s="42"/>
      <c r="AG18" s="42">
        <v>3.0</v>
      </c>
      <c r="AH18" s="42">
        <v>3.0</v>
      </c>
      <c r="AI18" s="42"/>
      <c r="AJ18" s="42"/>
      <c r="AK18" s="42">
        <v>3.0</v>
      </c>
      <c r="AL18" s="42"/>
      <c r="AM18" s="42"/>
      <c r="AN18" s="42">
        <v>2.0</v>
      </c>
      <c r="AO18" s="42">
        <v>2.0</v>
      </c>
      <c r="AP18" s="42"/>
      <c r="AQ18" s="42"/>
      <c r="AR18" s="42"/>
      <c r="AS18" s="42">
        <v>4.0</v>
      </c>
      <c r="AT18" s="42"/>
      <c r="AU18" s="42"/>
      <c r="AV18" s="42">
        <v>4.0</v>
      </c>
      <c r="AW18" s="42"/>
      <c r="AX18" s="42"/>
      <c r="AY18" s="42"/>
    </row>
    <row r="19">
      <c r="A19" s="27">
        <v>3.005496122E9</v>
      </c>
      <c r="B19" s="29" t="s">
        <v>70</v>
      </c>
      <c r="C19" s="35">
        <v>30.0</v>
      </c>
      <c r="D19" s="35"/>
      <c r="E19" s="34" t="s">
        <v>68</v>
      </c>
      <c r="F19" s="34">
        <f t="shared" si="1"/>
        <v>19</v>
      </c>
      <c r="G19" s="34">
        <f t="shared" si="2"/>
        <v>-19</v>
      </c>
      <c r="H19" s="47">
        <v>2.0</v>
      </c>
      <c r="I19" s="34">
        <v>2.0</v>
      </c>
      <c r="J19" s="35"/>
      <c r="K19" s="34">
        <v>2.0</v>
      </c>
      <c r="L19" s="35"/>
      <c r="M19" s="34">
        <v>4.0</v>
      </c>
      <c r="N19" s="34">
        <v>0.0</v>
      </c>
      <c r="O19" s="35"/>
      <c r="P19" s="35"/>
      <c r="Q19" s="35"/>
      <c r="R19" s="38">
        <v>0.0</v>
      </c>
      <c r="S19" s="37"/>
      <c r="T19" s="39">
        <v>1.0</v>
      </c>
      <c r="U19" s="37"/>
      <c r="V19" s="37"/>
      <c r="W19" s="39">
        <v>1.0</v>
      </c>
      <c r="X19" s="40"/>
      <c r="Y19" s="41">
        <v>0.0</v>
      </c>
      <c r="AA19" s="42">
        <v>4.0</v>
      </c>
      <c r="AB19" s="42">
        <v>1.0</v>
      </c>
      <c r="AC19" s="42">
        <v>0.0</v>
      </c>
      <c r="AD19" s="42"/>
      <c r="AE19" s="42">
        <v>2.0</v>
      </c>
      <c r="AF19" s="42"/>
      <c r="AG19" s="42"/>
      <c r="AH19" s="42"/>
      <c r="AI19" s="42"/>
      <c r="AJ19" s="42"/>
      <c r="AK19" s="42"/>
      <c r="AL19" s="42"/>
      <c r="AM19" s="42"/>
      <c r="AN19" s="42">
        <v>6.0</v>
      </c>
      <c r="AO19" s="42"/>
      <c r="AP19" s="42"/>
      <c r="AQ19" s="42"/>
      <c r="AR19" s="42"/>
      <c r="AS19" s="42">
        <v>0.0</v>
      </c>
      <c r="AT19" s="42" t="s">
        <v>72</v>
      </c>
      <c r="AU19" s="42" t="s">
        <v>18</v>
      </c>
      <c r="AV19" s="42">
        <v>0.0</v>
      </c>
      <c r="AW19" s="42">
        <v>1.0</v>
      </c>
      <c r="AX19" s="42"/>
      <c r="AY19" s="42"/>
    </row>
    <row r="20">
      <c r="A20" s="48"/>
      <c r="B20" s="48"/>
      <c r="C20" s="49"/>
      <c r="D20" s="49"/>
      <c r="E20" s="49"/>
      <c r="F20" s="34">
        <f t="shared" si="1"/>
        <v>0</v>
      </c>
      <c r="G20" s="34">
        <f t="shared" si="2"/>
        <v>0</v>
      </c>
      <c r="H20" s="49"/>
      <c r="I20" s="35"/>
      <c r="J20" s="35"/>
      <c r="K20" s="35"/>
      <c r="L20" s="35"/>
      <c r="M20" s="35"/>
      <c r="N20" s="35"/>
      <c r="O20" s="35"/>
      <c r="P20" s="35"/>
      <c r="Q20" s="35"/>
      <c r="R20" s="50"/>
      <c r="S20" s="37"/>
      <c r="T20" s="37"/>
      <c r="U20" s="37"/>
      <c r="V20" s="37"/>
      <c r="W20" s="37"/>
      <c r="X20" s="40"/>
      <c r="Y20" s="40"/>
    </row>
    <row r="21">
      <c r="A21" s="51" t="s">
        <v>43</v>
      </c>
      <c r="B21" s="51" t="s">
        <v>74</v>
      </c>
      <c r="C21" s="52"/>
      <c r="D21" s="52"/>
      <c r="E21" s="52"/>
      <c r="F21" s="34">
        <f t="shared" si="1"/>
        <v>0</v>
      </c>
      <c r="G21" s="34">
        <f t="shared" si="2"/>
        <v>0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4"/>
      <c r="S21" s="55"/>
      <c r="T21" s="55"/>
      <c r="U21" s="55"/>
      <c r="V21" s="55"/>
      <c r="W21" s="55"/>
      <c r="X21" s="56"/>
      <c r="Y21" s="56"/>
    </row>
    <row r="22">
      <c r="A22" s="27">
        <v>7.700814001E9</v>
      </c>
      <c r="B22" s="29" t="s">
        <v>76</v>
      </c>
      <c r="C22" s="35">
        <v>5.0</v>
      </c>
      <c r="D22" s="34">
        <v>5.0</v>
      </c>
      <c r="E22" s="34"/>
      <c r="F22" s="34">
        <f t="shared" si="1"/>
        <v>6</v>
      </c>
      <c r="G22" s="34">
        <f t="shared" si="2"/>
        <v>-1</v>
      </c>
      <c r="H22" s="34">
        <v>1.0</v>
      </c>
      <c r="I22" s="34">
        <v>1.0</v>
      </c>
      <c r="J22" s="35"/>
      <c r="K22" s="34">
        <v>0.0</v>
      </c>
      <c r="L22" s="35"/>
      <c r="M22" s="34">
        <v>0.0</v>
      </c>
      <c r="N22" s="34">
        <v>0.0</v>
      </c>
      <c r="O22" s="35"/>
      <c r="P22" s="35"/>
      <c r="Q22" s="35"/>
      <c r="R22" s="38">
        <v>0.0</v>
      </c>
      <c r="S22" s="39"/>
      <c r="T22" s="39">
        <v>0.0</v>
      </c>
      <c r="U22" s="37"/>
      <c r="V22" s="39">
        <v>1.0</v>
      </c>
      <c r="W22" s="39">
        <v>0.0</v>
      </c>
      <c r="X22" s="40"/>
      <c r="Y22" s="41">
        <v>1.0</v>
      </c>
      <c r="AA22" s="42">
        <v>0.0</v>
      </c>
      <c r="AB22" s="42">
        <v>0.0</v>
      </c>
      <c r="AC22" s="42">
        <v>0.0</v>
      </c>
      <c r="AD22" s="42"/>
      <c r="AE22" s="42"/>
      <c r="AF22" s="42"/>
      <c r="AG22" s="42">
        <v>1.0</v>
      </c>
      <c r="AH22" s="42"/>
      <c r="AI22" s="42"/>
      <c r="AJ22" s="42"/>
      <c r="AK22" s="42"/>
      <c r="AL22" s="42"/>
      <c r="AM22" s="42">
        <v>1.0</v>
      </c>
      <c r="AN22" s="42">
        <v>1.0</v>
      </c>
      <c r="AO22" s="42">
        <v>1.0</v>
      </c>
      <c r="AP22" s="42"/>
      <c r="AQ22" s="42"/>
      <c r="AR22" s="42"/>
      <c r="AS22" s="42">
        <v>2.0</v>
      </c>
      <c r="AT22" s="42"/>
      <c r="AU22" s="42"/>
      <c r="AV22" s="42">
        <v>1.0</v>
      </c>
      <c r="AW22" s="42"/>
      <c r="AX22" s="42"/>
      <c r="AY22" s="42"/>
    </row>
    <row r="23">
      <c r="A23" s="27">
        <v>8.06335419E9</v>
      </c>
      <c r="B23" s="29" t="s">
        <v>78</v>
      </c>
      <c r="C23" s="35">
        <v>25.0</v>
      </c>
      <c r="D23" s="34">
        <v>25.0</v>
      </c>
      <c r="E23" s="34"/>
      <c r="F23" s="34">
        <f t="shared" si="1"/>
        <v>45</v>
      </c>
      <c r="G23" s="34">
        <f t="shared" si="2"/>
        <v>-20</v>
      </c>
      <c r="H23" s="34">
        <v>5.0</v>
      </c>
      <c r="I23" s="34"/>
      <c r="J23" s="34"/>
      <c r="K23" s="34">
        <v>5.0</v>
      </c>
      <c r="L23" s="35"/>
      <c r="M23" s="34">
        <v>8.0</v>
      </c>
      <c r="N23" s="34">
        <v>0.0</v>
      </c>
      <c r="O23" s="35"/>
      <c r="P23" s="35"/>
      <c r="Q23" s="35"/>
      <c r="R23" s="38">
        <v>6.0</v>
      </c>
      <c r="S23" s="37"/>
      <c r="T23" s="39">
        <v>4.0</v>
      </c>
      <c r="U23" s="37"/>
      <c r="V23" s="37"/>
      <c r="W23" s="39">
        <v>5.0</v>
      </c>
      <c r="X23" s="40"/>
      <c r="Y23" s="41">
        <v>0.0</v>
      </c>
      <c r="AA23" s="42">
        <v>0.0</v>
      </c>
      <c r="AB23" s="42">
        <v>4.0</v>
      </c>
      <c r="AC23" s="42">
        <v>0.0</v>
      </c>
      <c r="AD23" s="42"/>
      <c r="AE23" s="42"/>
      <c r="AF23" s="42"/>
      <c r="AG23" s="42">
        <v>4.0</v>
      </c>
      <c r="AH23" s="42"/>
      <c r="AI23" s="42"/>
      <c r="AJ23" s="42"/>
      <c r="AK23" s="42">
        <v>4.0</v>
      </c>
      <c r="AL23" s="42"/>
      <c r="AM23" s="42"/>
      <c r="AN23" s="42">
        <v>10.0</v>
      </c>
      <c r="AO23" s="42"/>
      <c r="AP23" s="42"/>
      <c r="AQ23" s="42"/>
      <c r="AR23" s="42"/>
      <c r="AS23" s="42">
        <v>9.0</v>
      </c>
      <c r="AT23" s="42"/>
      <c r="AU23" s="42"/>
      <c r="AV23" s="42">
        <v>6.0</v>
      </c>
      <c r="AW23" s="42"/>
      <c r="AX23" s="42"/>
      <c r="AY23" s="42"/>
    </row>
    <row r="24">
      <c r="A24" s="27">
        <v>8.06345119E9</v>
      </c>
      <c r="B24" s="29" t="s">
        <v>79</v>
      </c>
      <c r="C24" s="35">
        <v>27.0</v>
      </c>
      <c r="D24" s="34">
        <v>27.0</v>
      </c>
      <c r="E24" s="34"/>
      <c r="F24" s="34">
        <f t="shared" si="1"/>
        <v>122</v>
      </c>
      <c r="G24" s="34">
        <f t="shared" si="2"/>
        <v>-95</v>
      </c>
      <c r="H24" s="47">
        <v>5.0</v>
      </c>
      <c r="I24" s="34">
        <v>8.0</v>
      </c>
      <c r="J24" s="34"/>
      <c r="K24" s="34">
        <v>10.0</v>
      </c>
      <c r="L24" s="35"/>
      <c r="M24" s="34">
        <v>15.0</v>
      </c>
      <c r="N24" s="34">
        <v>0.0</v>
      </c>
      <c r="O24" s="35"/>
      <c r="P24" s="35"/>
      <c r="Q24" s="35"/>
      <c r="R24" s="38">
        <v>10.0</v>
      </c>
      <c r="S24" s="37"/>
      <c r="T24" s="39">
        <v>8.0</v>
      </c>
      <c r="U24" s="37"/>
      <c r="V24" s="37"/>
      <c r="W24" s="39">
        <v>6.0</v>
      </c>
      <c r="X24" s="40"/>
      <c r="Y24" s="41">
        <v>10.0</v>
      </c>
      <c r="AA24" s="42">
        <v>6.0</v>
      </c>
      <c r="AB24" s="42">
        <v>4.0</v>
      </c>
      <c r="AC24" s="42">
        <v>5.0</v>
      </c>
      <c r="AD24" s="42"/>
      <c r="AE24" s="42">
        <v>6.0</v>
      </c>
      <c r="AF24" s="42"/>
      <c r="AG24" s="42">
        <v>10.0</v>
      </c>
      <c r="AH24" s="42">
        <v>7.0</v>
      </c>
      <c r="AI24" s="42"/>
      <c r="AJ24" s="42"/>
      <c r="AK24" s="42">
        <v>8.0</v>
      </c>
      <c r="AL24" s="42"/>
      <c r="AM24" s="42">
        <v>4.0</v>
      </c>
      <c r="AN24" s="42">
        <v>2.0</v>
      </c>
      <c r="AO24" s="42">
        <v>6.0</v>
      </c>
      <c r="AP24" s="42"/>
      <c r="AQ24" s="42"/>
      <c r="AR24" s="42">
        <v>5.0</v>
      </c>
      <c r="AS24" s="42">
        <v>1.0</v>
      </c>
      <c r="AT24" s="42">
        <v>10.0</v>
      </c>
      <c r="AU24" s="42" t="s">
        <v>80</v>
      </c>
      <c r="AV24" s="42">
        <v>3.0</v>
      </c>
      <c r="AW24" s="42">
        <v>2.0</v>
      </c>
      <c r="AX24" s="42"/>
      <c r="AY24" s="42">
        <v>2.0</v>
      </c>
    </row>
    <row r="25">
      <c r="A25" s="27">
        <v>8.06349419E9</v>
      </c>
      <c r="B25" s="29" t="s">
        <v>81</v>
      </c>
      <c r="C25" s="35">
        <v>12.0</v>
      </c>
      <c r="D25" s="34">
        <v>12.0</v>
      </c>
      <c r="E25" s="34"/>
      <c r="F25" s="34">
        <f t="shared" si="1"/>
        <v>6</v>
      </c>
      <c r="G25" s="34">
        <f t="shared" si="2"/>
        <v>6</v>
      </c>
      <c r="H25" s="34">
        <v>2.0</v>
      </c>
      <c r="I25" s="35"/>
      <c r="J25" s="35"/>
      <c r="K25" s="34">
        <v>0.0</v>
      </c>
      <c r="L25" s="34"/>
      <c r="M25" s="34">
        <v>0.0</v>
      </c>
      <c r="N25" s="34">
        <v>0.0</v>
      </c>
      <c r="O25" s="35"/>
      <c r="P25" s="35"/>
      <c r="Q25" s="35"/>
      <c r="R25" s="38">
        <v>1.0</v>
      </c>
      <c r="S25" s="37"/>
      <c r="T25" s="39">
        <v>1.0</v>
      </c>
      <c r="U25" s="37"/>
      <c r="V25" s="37"/>
      <c r="W25" s="39">
        <v>1.0</v>
      </c>
      <c r="X25" s="40"/>
      <c r="Y25" s="41">
        <v>0.0</v>
      </c>
      <c r="AA25" s="42">
        <v>0.0</v>
      </c>
      <c r="AB25" s="42">
        <v>0.0</v>
      </c>
      <c r="AC25" s="42">
        <v>0.0</v>
      </c>
      <c r="AD25" s="42"/>
      <c r="AE25" s="42"/>
      <c r="AF25" s="42"/>
      <c r="AG25" s="42">
        <v>1.0</v>
      </c>
      <c r="AH25" s="42"/>
      <c r="AI25" s="42"/>
      <c r="AJ25" s="42"/>
      <c r="AK25" s="42"/>
      <c r="AL25" s="42"/>
      <c r="AM25" s="42"/>
      <c r="AN25" s="42">
        <v>1.0</v>
      </c>
      <c r="AO25" s="42"/>
      <c r="AP25" s="42"/>
      <c r="AQ25" s="42"/>
      <c r="AR25" s="42"/>
      <c r="AS25" s="42">
        <v>1.0</v>
      </c>
      <c r="AT25" s="42">
        <v>1.0</v>
      </c>
      <c r="AU25" s="42" t="s">
        <v>18</v>
      </c>
      <c r="AV25" s="42">
        <v>2.0</v>
      </c>
      <c r="AW25" s="42"/>
      <c r="AX25" s="42"/>
      <c r="AY25" s="42"/>
    </row>
    <row r="26">
      <c r="A26" s="27">
        <v>8.06347819E9</v>
      </c>
      <c r="B26" s="29" t="s">
        <v>83</v>
      </c>
      <c r="C26" s="35">
        <v>8.0</v>
      </c>
      <c r="D26" s="34">
        <v>8.0</v>
      </c>
      <c r="E26" s="34"/>
      <c r="F26" s="34">
        <f t="shared" si="1"/>
        <v>6</v>
      </c>
      <c r="G26" s="34">
        <f t="shared" si="2"/>
        <v>2</v>
      </c>
      <c r="H26" s="34">
        <v>1.0</v>
      </c>
      <c r="I26" s="34"/>
      <c r="J26" s="34"/>
      <c r="K26" s="34">
        <v>0.0</v>
      </c>
      <c r="L26" s="35"/>
      <c r="M26" s="34">
        <v>0.0</v>
      </c>
      <c r="N26" s="34">
        <v>1.0</v>
      </c>
      <c r="O26" s="35"/>
      <c r="P26" s="35"/>
      <c r="Q26" s="35"/>
      <c r="R26" s="38">
        <v>1.0</v>
      </c>
      <c r="S26" s="37"/>
      <c r="T26" s="39">
        <v>0.0</v>
      </c>
      <c r="U26" s="37"/>
      <c r="V26" s="37"/>
      <c r="W26" s="39">
        <v>1.0</v>
      </c>
      <c r="X26" s="40"/>
      <c r="Y26" s="41">
        <v>0.0</v>
      </c>
      <c r="AA26" s="42">
        <v>0.0</v>
      </c>
      <c r="AB26" s="42">
        <v>0.0</v>
      </c>
      <c r="AC26" s="42">
        <v>1.0</v>
      </c>
      <c r="AD26" s="42"/>
      <c r="AE26" s="42">
        <v>1.0</v>
      </c>
      <c r="AF26" s="42"/>
      <c r="AG26" s="42"/>
      <c r="AH26" s="42"/>
      <c r="AI26" s="42"/>
      <c r="AJ26" s="42"/>
      <c r="AK26" s="42"/>
      <c r="AL26" s="42"/>
      <c r="AM26" s="42"/>
      <c r="AN26" s="42">
        <v>2.0</v>
      </c>
      <c r="AO26" s="42"/>
      <c r="AP26" s="42"/>
      <c r="AQ26" s="42"/>
      <c r="AR26" s="42"/>
      <c r="AS26" s="42">
        <v>2.0</v>
      </c>
      <c r="AT26" s="42"/>
      <c r="AU26" s="42"/>
      <c r="AV26" s="42">
        <v>1.0</v>
      </c>
      <c r="AW26" s="42"/>
      <c r="AX26" s="42"/>
      <c r="AY26" s="42"/>
    </row>
    <row r="27">
      <c r="A27" s="27">
        <v>8.30272319E9</v>
      </c>
      <c r="B27" s="57" t="s">
        <v>86</v>
      </c>
      <c r="C27" s="35">
        <v>4.0</v>
      </c>
      <c r="D27" s="70">
        <f>C27*2</f>
        <v>8</v>
      </c>
      <c r="E27" s="34" t="s">
        <v>87</v>
      </c>
      <c r="F27" s="34">
        <f t="shared" si="1"/>
        <v>12</v>
      </c>
      <c r="G27" s="34">
        <f t="shared" si="2"/>
        <v>-4</v>
      </c>
      <c r="H27" s="34">
        <v>1.0</v>
      </c>
      <c r="I27" s="35"/>
      <c r="J27" s="35"/>
      <c r="K27" s="34">
        <v>0.0</v>
      </c>
      <c r="L27" s="35"/>
      <c r="M27" s="34">
        <v>1.0</v>
      </c>
      <c r="N27" s="34">
        <v>0.0</v>
      </c>
      <c r="O27" s="35"/>
      <c r="P27" s="35"/>
      <c r="Q27" s="35"/>
      <c r="R27" s="38">
        <v>1.0</v>
      </c>
      <c r="S27" s="37"/>
      <c r="T27" s="39">
        <v>0.0</v>
      </c>
      <c r="U27" s="39">
        <v>1.0</v>
      </c>
      <c r="V27" s="39">
        <v>1.0</v>
      </c>
      <c r="W27" s="39">
        <v>0.0</v>
      </c>
      <c r="X27" s="41"/>
      <c r="Y27" s="41">
        <v>0.0</v>
      </c>
      <c r="AA27" s="42">
        <v>0.0</v>
      </c>
      <c r="AB27" s="42">
        <v>1.0</v>
      </c>
      <c r="AC27" s="42">
        <v>0.0</v>
      </c>
      <c r="AD27" s="42"/>
      <c r="AE27" s="42">
        <v>2.0</v>
      </c>
      <c r="AF27" s="42"/>
      <c r="AG27" s="42">
        <v>4.0</v>
      </c>
      <c r="AH27" s="42"/>
      <c r="AI27" s="42"/>
      <c r="AJ27" s="42"/>
      <c r="AK27" s="42"/>
      <c r="AL27" s="42"/>
      <c r="AM27" s="42"/>
      <c r="AN27" s="42">
        <v>5.0</v>
      </c>
      <c r="AO27" s="42"/>
      <c r="AP27" s="42"/>
      <c r="AQ27" s="42"/>
      <c r="AR27" s="42"/>
      <c r="AS27" s="42">
        <v>4.0</v>
      </c>
      <c r="AT27" s="42">
        <v>2.0</v>
      </c>
      <c r="AU27" s="42">
        <v>11432.0</v>
      </c>
      <c r="AV27" s="42">
        <v>6.0</v>
      </c>
      <c r="AW27" s="42"/>
      <c r="AX27" s="42"/>
      <c r="AY27" s="42"/>
    </row>
    <row r="28">
      <c r="A28" s="27">
        <v>8.46309319E9</v>
      </c>
      <c r="B28" s="29" t="s">
        <v>90</v>
      </c>
      <c r="C28" s="35">
        <v>62.0</v>
      </c>
      <c r="D28" s="35"/>
      <c r="E28" s="34" t="s">
        <v>91</v>
      </c>
      <c r="F28" s="34">
        <f t="shared" si="1"/>
        <v>32</v>
      </c>
      <c r="G28" s="34">
        <f t="shared" si="2"/>
        <v>-32</v>
      </c>
      <c r="H28" s="34">
        <v>12.0</v>
      </c>
      <c r="I28" s="35"/>
      <c r="J28" s="35"/>
      <c r="K28" s="34">
        <v>0.0</v>
      </c>
      <c r="L28" s="34"/>
      <c r="M28" s="34">
        <v>0.0</v>
      </c>
      <c r="N28" s="34">
        <v>4.0</v>
      </c>
      <c r="O28" s="35"/>
      <c r="P28" s="35"/>
      <c r="Q28" s="35"/>
      <c r="R28" s="38">
        <v>2.0</v>
      </c>
      <c r="S28" s="37"/>
      <c r="T28" s="39">
        <v>6.0</v>
      </c>
      <c r="U28" s="37"/>
      <c r="V28" s="37"/>
      <c r="W28" s="39">
        <v>0.0</v>
      </c>
      <c r="X28" s="40"/>
      <c r="Y28" s="41">
        <v>3.0</v>
      </c>
      <c r="AA28" s="42">
        <v>0.0</v>
      </c>
      <c r="AB28" s="42">
        <v>0.0</v>
      </c>
      <c r="AC28" s="42">
        <v>3.0</v>
      </c>
      <c r="AD28" s="42"/>
      <c r="AE28" s="42"/>
      <c r="AF28" s="42"/>
      <c r="AG28" s="42"/>
      <c r="AH28" s="42"/>
      <c r="AI28" s="42"/>
      <c r="AJ28" s="42"/>
      <c r="AK28" s="42">
        <v>2.0</v>
      </c>
      <c r="AL28" s="42"/>
      <c r="AM28" s="42"/>
      <c r="AN28" s="42">
        <v>3.0</v>
      </c>
      <c r="AO28" s="42">
        <v>2.0</v>
      </c>
      <c r="AP28" s="42"/>
      <c r="AQ28" s="42"/>
      <c r="AR28" s="42"/>
      <c r="AS28" s="42">
        <v>3.0</v>
      </c>
      <c r="AT28" s="42">
        <v>3.0</v>
      </c>
      <c r="AU28" s="42" t="s">
        <v>93</v>
      </c>
      <c r="AV28" s="42">
        <v>3.0</v>
      </c>
      <c r="AW28" s="42"/>
      <c r="AX28" s="42"/>
      <c r="AY28" s="42"/>
    </row>
    <row r="29">
      <c r="A29" s="27">
        <v>8.30254519E9</v>
      </c>
      <c r="B29" s="57" t="s">
        <v>94</v>
      </c>
      <c r="C29" s="35">
        <v>25.0</v>
      </c>
      <c r="D29" s="70">
        <f>C29*2</f>
        <v>50</v>
      </c>
      <c r="E29" s="34" t="s">
        <v>87</v>
      </c>
      <c r="F29" s="34">
        <f t="shared" si="1"/>
        <v>221</v>
      </c>
      <c r="G29" s="34">
        <f t="shared" si="2"/>
        <v>-171</v>
      </c>
      <c r="H29" s="34">
        <v>10.0</v>
      </c>
      <c r="I29" s="34">
        <v>18.0</v>
      </c>
      <c r="J29" s="34"/>
      <c r="K29" s="34">
        <v>6.0</v>
      </c>
      <c r="L29" s="35"/>
      <c r="M29" s="34">
        <v>20.0</v>
      </c>
      <c r="N29" s="34">
        <v>4.0</v>
      </c>
      <c r="O29" s="35"/>
      <c r="P29" s="35"/>
      <c r="Q29" s="34">
        <v>10.0</v>
      </c>
      <c r="R29" s="38">
        <v>10.0</v>
      </c>
      <c r="S29" s="39">
        <v>6.0</v>
      </c>
      <c r="T29" s="39">
        <v>26.0</v>
      </c>
      <c r="U29" s="37"/>
      <c r="V29" s="37"/>
      <c r="W29" s="39">
        <v>20.0</v>
      </c>
      <c r="X29" s="40"/>
      <c r="Y29" s="41">
        <v>10.0</v>
      </c>
      <c r="AA29" s="42">
        <v>4.0</v>
      </c>
      <c r="AB29" s="42">
        <v>10.0</v>
      </c>
      <c r="AC29" s="42">
        <v>16.0</v>
      </c>
      <c r="AD29" s="42"/>
      <c r="AE29" s="42">
        <v>8.0</v>
      </c>
      <c r="AF29" s="42"/>
      <c r="AG29" s="42">
        <v>15.0</v>
      </c>
      <c r="AH29" s="42">
        <v>12.0</v>
      </c>
      <c r="AI29" s="42"/>
      <c r="AJ29" s="42"/>
      <c r="AK29" s="42">
        <v>16.0</v>
      </c>
      <c r="AL29" s="42"/>
      <c r="AM29" s="42"/>
      <c r="AN29" s="42">
        <v>20.0</v>
      </c>
      <c r="AO29" s="42">
        <v>4.0</v>
      </c>
      <c r="AP29" s="42"/>
      <c r="AQ29" s="42"/>
      <c r="AR29" s="42"/>
      <c r="AS29" s="42">
        <v>8.0</v>
      </c>
      <c r="AT29" s="42">
        <v>14.0</v>
      </c>
      <c r="AU29" s="42">
        <v>11432.0</v>
      </c>
      <c r="AV29" s="42">
        <v>14.0</v>
      </c>
      <c r="AW29" s="42">
        <v>2.0</v>
      </c>
      <c r="AX29" s="42"/>
      <c r="AY29" s="42"/>
    </row>
    <row r="30">
      <c r="A30" s="27">
        <v>8.46310719E9</v>
      </c>
      <c r="B30" s="31" t="s">
        <v>98</v>
      </c>
      <c r="C30" s="35">
        <v>15.0</v>
      </c>
      <c r="D30" s="34"/>
      <c r="E30" s="35"/>
      <c r="F30" s="34">
        <f t="shared" si="1"/>
        <v>16</v>
      </c>
      <c r="G30" s="34">
        <f t="shared" si="2"/>
        <v>-16</v>
      </c>
      <c r="H30" s="34">
        <v>3.0</v>
      </c>
      <c r="I30" s="35"/>
      <c r="J30" s="35"/>
      <c r="K30" s="34">
        <v>4.0</v>
      </c>
      <c r="L30" s="35"/>
      <c r="M30" s="34">
        <v>1.0</v>
      </c>
      <c r="N30" s="34">
        <v>0.0</v>
      </c>
      <c r="O30" s="35"/>
      <c r="P30" s="35"/>
      <c r="Q30" s="35"/>
      <c r="R30" s="38">
        <v>0.0</v>
      </c>
      <c r="S30" s="37"/>
      <c r="T30" s="39">
        <v>4.0</v>
      </c>
      <c r="U30" s="37"/>
      <c r="V30" s="37"/>
      <c r="W30" s="39">
        <v>0.0</v>
      </c>
      <c r="X30" s="40"/>
      <c r="Y30" s="41">
        <v>0.0</v>
      </c>
      <c r="AA30" s="42">
        <v>1.0</v>
      </c>
      <c r="AB30" s="42">
        <v>0.0</v>
      </c>
      <c r="AC30" s="42">
        <v>1.0</v>
      </c>
      <c r="AD30" s="42"/>
      <c r="AE30" s="42">
        <v>1.0</v>
      </c>
      <c r="AF30" s="42"/>
      <c r="AG30" s="42">
        <v>1.0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 t="s">
        <v>51</v>
      </c>
    </row>
    <row r="31">
      <c r="A31" s="43">
        <v>4.740955001E9</v>
      </c>
      <c r="B31" s="71" t="s">
        <v>100</v>
      </c>
      <c r="C31" s="35">
        <v>1.0</v>
      </c>
      <c r="D31" s="34">
        <v>1.0</v>
      </c>
      <c r="E31" s="34"/>
      <c r="F31" s="34">
        <f t="shared" si="1"/>
        <v>1</v>
      </c>
      <c r="G31" s="34">
        <f t="shared" si="2"/>
        <v>0</v>
      </c>
      <c r="H31" s="34">
        <v>1.0</v>
      </c>
      <c r="I31" s="35"/>
      <c r="J31" s="35"/>
      <c r="K31" s="34">
        <v>0.0</v>
      </c>
      <c r="L31" s="35"/>
      <c r="M31" s="34">
        <v>0.0</v>
      </c>
      <c r="N31" s="34">
        <v>0.0</v>
      </c>
      <c r="O31" s="35"/>
      <c r="P31" s="35"/>
      <c r="Q31" s="35"/>
      <c r="R31" s="50"/>
      <c r="S31" s="72"/>
      <c r="T31" s="72"/>
      <c r="U31" s="72"/>
      <c r="V31" s="72"/>
      <c r="W31" s="73">
        <v>0.0</v>
      </c>
      <c r="X31" s="74"/>
      <c r="Y31" s="74"/>
      <c r="AB31" s="42">
        <v>0.0</v>
      </c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 t="s">
        <v>102</v>
      </c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</row>
    <row r="32">
      <c r="A32" s="43">
        <v>6.54441019E9</v>
      </c>
      <c r="B32" s="71" t="s">
        <v>104</v>
      </c>
      <c r="C32" s="35">
        <v>2.0</v>
      </c>
      <c r="D32" s="34">
        <f>C32*12</f>
        <v>24</v>
      </c>
      <c r="E32" s="35"/>
      <c r="F32" s="34">
        <f t="shared" si="1"/>
        <v>11</v>
      </c>
      <c r="G32" s="34">
        <f t="shared" si="2"/>
        <v>13</v>
      </c>
      <c r="H32" s="34">
        <v>6.0</v>
      </c>
      <c r="I32" s="35"/>
      <c r="J32" s="35"/>
      <c r="K32" s="34">
        <v>0.0</v>
      </c>
      <c r="L32" s="35"/>
      <c r="M32" s="34">
        <v>1.0</v>
      </c>
      <c r="N32" s="34">
        <v>0.0</v>
      </c>
      <c r="O32" s="35"/>
      <c r="P32" s="35"/>
      <c r="Q32" s="35"/>
      <c r="R32" s="38">
        <v>0.0</v>
      </c>
      <c r="S32" s="72"/>
      <c r="T32" s="72"/>
      <c r="U32" s="72"/>
      <c r="V32" s="72"/>
      <c r="W32" s="73">
        <v>0.0</v>
      </c>
      <c r="X32" s="75">
        <v>1.0</v>
      </c>
      <c r="Y32" s="74"/>
      <c r="AB32" s="42">
        <v>1.0</v>
      </c>
      <c r="AC32" s="42"/>
      <c r="AE32" s="42"/>
      <c r="AF32" s="42"/>
      <c r="AG32" s="42">
        <v>1.0</v>
      </c>
      <c r="AH32" s="42"/>
      <c r="AI32" s="42"/>
      <c r="AJ32" s="42"/>
      <c r="AK32" s="42">
        <v>1.0</v>
      </c>
      <c r="AL32" s="42"/>
      <c r="AM32" s="42"/>
      <c r="AN32" s="42">
        <v>1.0</v>
      </c>
      <c r="AO32" s="42"/>
      <c r="AP32" s="42"/>
      <c r="AQ32" s="42"/>
      <c r="AR32" s="42"/>
      <c r="AS32" s="42">
        <v>1.0</v>
      </c>
      <c r="AT32" s="42">
        <v>1.0</v>
      </c>
      <c r="AU32" s="42">
        <v>11432.0</v>
      </c>
      <c r="AV32" s="42" t="s">
        <v>18</v>
      </c>
      <c r="AW32" s="42"/>
      <c r="AX32" s="42"/>
      <c r="AY32" s="42"/>
    </row>
    <row r="33">
      <c r="A33" s="71"/>
      <c r="B33" s="29" t="s">
        <v>107</v>
      </c>
      <c r="C33" s="35">
        <v>3.0</v>
      </c>
      <c r="D33" s="34"/>
      <c r="E33" s="34" t="s">
        <v>108</v>
      </c>
      <c r="F33" s="34">
        <f t="shared" si="1"/>
        <v>4</v>
      </c>
      <c r="G33" s="34">
        <f t="shared" si="2"/>
        <v>-4</v>
      </c>
      <c r="H33" s="34">
        <v>1.0</v>
      </c>
      <c r="I33" s="35"/>
      <c r="J33" s="35"/>
      <c r="K33" s="34">
        <v>1.0</v>
      </c>
      <c r="L33" s="35"/>
      <c r="M33" s="34">
        <v>0.0</v>
      </c>
      <c r="N33" s="34">
        <v>1.0</v>
      </c>
      <c r="O33" s="35"/>
      <c r="P33" s="35"/>
      <c r="Q33" s="35"/>
      <c r="R33" s="38">
        <v>0.0</v>
      </c>
      <c r="S33" s="37"/>
      <c r="T33" s="37"/>
      <c r="U33" s="37"/>
      <c r="V33" s="37"/>
      <c r="W33" s="39">
        <v>0.0</v>
      </c>
      <c r="X33" s="40"/>
      <c r="Y33" s="40"/>
      <c r="AB33" s="42">
        <v>1.0</v>
      </c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</row>
    <row r="34">
      <c r="A34" s="71"/>
      <c r="B34" s="29" t="s">
        <v>109</v>
      </c>
      <c r="C34" s="35">
        <v>8.0</v>
      </c>
      <c r="D34" s="34"/>
      <c r="E34" s="34" t="s">
        <v>110</v>
      </c>
      <c r="F34" s="34">
        <f t="shared" si="1"/>
        <v>6</v>
      </c>
      <c r="G34" s="34">
        <f t="shared" si="2"/>
        <v>-6</v>
      </c>
      <c r="H34" s="34">
        <v>1.0</v>
      </c>
      <c r="I34" s="35"/>
      <c r="J34" s="35"/>
      <c r="K34" s="34">
        <v>0.0</v>
      </c>
      <c r="L34" s="35"/>
      <c r="M34" s="34">
        <v>0.0</v>
      </c>
      <c r="N34" s="34">
        <v>0.0</v>
      </c>
      <c r="O34" s="35"/>
      <c r="P34" s="35"/>
      <c r="Q34" s="35"/>
      <c r="R34" s="38">
        <v>1.0</v>
      </c>
      <c r="S34" s="37"/>
      <c r="T34" s="37"/>
      <c r="U34" s="37"/>
      <c r="V34" s="39">
        <v>1.0</v>
      </c>
      <c r="W34" s="39">
        <v>0.0</v>
      </c>
      <c r="X34" s="41">
        <v>1.0</v>
      </c>
      <c r="Y34" s="40"/>
      <c r="AB34" s="42">
        <v>0.0</v>
      </c>
      <c r="AC34" s="42"/>
      <c r="AD34" s="42"/>
      <c r="AE34" s="42"/>
      <c r="AF34" s="42"/>
      <c r="AG34" s="42"/>
      <c r="AH34" s="42"/>
      <c r="AI34" s="42">
        <v>1.0</v>
      </c>
      <c r="AJ34" s="42"/>
      <c r="AK34" s="42">
        <v>1.0</v>
      </c>
      <c r="AL34" s="42"/>
      <c r="AM34" s="42"/>
      <c r="AN34" s="42"/>
      <c r="AO34" s="42"/>
      <c r="AP34" s="42"/>
      <c r="AQ34" s="42"/>
      <c r="AR34" s="42"/>
      <c r="AS34" s="42">
        <v>0.0</v>
      </c>
      <c r="AT34" s="42">
        <v>1.0</v>
      </c>
      <c r="AU34" s="42">
        <v>11432.0</v>
      </c>
      <c r="AV34" s="42">
        <v>1.0</v>
      </c>
      <c r="AW34" s="42"/>
      <c r="AX34" s="42"/>
      <c r="AY34" s="42"/>
    </row>
    <row r="35">
      <c r="A35" s="71"/>
      <c r="B35" s="83" t="s">
        <v>113</v>
      </c>
      <c r="C35" s="35"/>
      <c r="D35" s="34"/>
      <c r="E35" s="34"/>
      <c r="F35" s="34">
        <f t="shared" si="1"/>
        <v>6</v>
      </c>
      <c r="G35" s="34">
        <f t="shared" si="2"/>
        <v>-6</v>
      </c>
      <c r="H35" s="34"/>
      <c r="I35" s="35"/>
      <c r="J35" s="35"/>
      <c r="K35" s="34"/>
      <c r="L35" s="35"/>
      <c r="M35" s="34"/>
      <c r="N35" s="34"/>
      <c r="O35" s="35"/>
      <c r="P35" s="34"/>
      <c r="Q35" s="35"/>
      <c r="R35" s="38"/>
      <c r="S35" s="37"/>
      <c r="T35" s="37"/>
      <c r="U35" s="37"/>
      <c r="V35" s="39">
        <v>1.0</v>
      </c>
      <c r="W35" s="39">
        <v>1.0</v>
      </c>
      <c r="X35" s="41">
        <v>1.0</v>
      </c>
      <c r="Y35" s="40"/>
      <c r="AB35" s="42">
        <v>0.0</v>
      </c>
      <c r="AC35" s="42"/>
      <c r="AD35" s="42"/>
      <c r="AE35" s="42"/>
      <c r="AF35" s="42">
        <v>2.0</v>
      </c>
      <c r="AG35" s="42"/>
      <c r="AH35" s="42"/>
      <c r="AI35" s="42"/>
      <c r="AJ35" s="42"/>
      <c r="AK35" s="42">
        <v>1.0</v>
      </c>
      <c r="AL35" s="42"/>
      <c r="AM35" s="42"/>
      <c r="AN35" s="42">
        <v>1.0</v>
      </c>
      <c r="AO35" s="42"/>
      <c r="AP35" s="42"/>
      <c r="AQ35" s="42"/>
      <c r="AR35" s="42"/>
      <c r="AS35" s="42">
        <v>0.0</v>
      </c>
      <c r="AT35" s="42">
        <v>1.0</v>
      </c>
      <c r="AU35" s="42">
        <v>11432.0</v>
      </c>
      <c r="AV35" s="42">
        <v>1.0</v>
      </c>
      <c r="AW35" s="42"/>
      <c r="AX35" s="42"/>
      <c r="AY35" s="42"/>
    </row>
    <row r="36">
      <c r="A36" s="71"/>
      <c r="B36" s="83" t="s">
        <v>115</v>
      </c>
      <c r="C36" s="35">
        <v>8.0</v>
      </c>
      <c r="D36" s="34"/>
      <c r="E36" s="34" t="s">
        <v>110</v>
      </c>
      <c r="F36" s="34">
        <f t="shared" si="1"/>
        <v>5</v>
      </c>
      <c r="G36" s="34">
        <f t="shared" si="2"/>
        <v>-5</v>
      </c>
      <c r="H36" s="34">
        <v>1.0</v>
      </c>
      <c r="I36" s="35"/>
      <c r="J36" s="35"/>
      <c r="K36" s="34">
        <v>1.0</v>
      </c>
      <c r="L36" s="35"/>
      <c r="M36" s="34">
        <v>0.0</v>
      </c>
      <c r="N36" s="34">
        <v>0.0</v>
      </c>
      <c r="O36" s="35"/>
      <c r="P36" s="34">
        <v>1.0</v>
      </c>
      <c r="Q36" s="35"/>
      <c r="R36" s="38">
        <v>1.0</v>
      </c>
      <c r="S36" s="37"/>
      <c r="T36" s="37"/>
      <c r="U36" s="37"/>
      <c r="V36" s="39"/>
      <c r="W36" s="39">
        <v>0.0</v>
      </c>
      <c r="X36" s="40"/>
      <c r="Y36" s="40"/>
      <c r="AB36" s="42">
        <v>0.0</v>
      </c>
      <c r="AC36" s="42"/>
      <c r="AD36" s="42"/>
      <c r="AE36" s="42"/>
      <c r="AF36" s="42"/>
      <c r="AG36" s="42"/>
      <c r="AH36" s="42"/>
      <c r="AI36" s="42" t="s">
        <v>51</v>
      </c>
      <c r="AJ36" s="42"/>
      <c r="AK36" s="42">
        <v>1.0</v>
      </c>
      <c r="AL36" s="42"/>
      <c r="AM36" s="42"/>
      <c r="AN36" s="42">
        <v>3.0</v>
      </c>
      <c r="AO36" s="42"/>
      <c r="AP36" s="42"/>
      <c r="AQ36" s="42"/>
      <c r="AR36" s="42"/>
      <c r="AS36" s="42">
        <v>2.0</v>
      </c>
      <c r="AT36" s="42"/>
      <c r="AU36" s="42"/>
      <c r="AV36" s="42">
        <v>2.0</v>
      </c>
      <c r="AW36" s="42"/>
      <c r="AX36" s="42"/>
      <c r="AY36" s="42"/>
    </row>
    <row r="37">
      <c r="A37" s="43">
        <v>8.05932219E9</v>
      </c>
      <c r="B37" s="71" t="s">
        <v>118</v>
      </c>
      <c r="C37" s="35">
        <v>3.0</v>
      </c>
      <c r="D37" s="34">
        <v>3.0</v>
      </c>
      <c r="E37" s="35"/>
      <c r="F37" s="34">
        <f t="shared" si="1"/>
        <v>3</v>
      </c>
      <c r="G37" s="34">
        <f t="shared" si="2"/>
        <v>0</v>
      </c>
      <c r="H37" s="34">
        <v>1.0</v>
      </c>
      <c r="I37" s="35"/>
      <c r="J37" s="35"/>
      <c r="K37" s="34">
        <v>0.0</v>
      </c>
      <c r="L37" s="34"/>
      <c r="M37" s="34">
        <v>0.0</v>
      </c>
      <c r="N37" s="34">
        <v>0.0</v>
      </c>
      <c r="O37" s="35"/>
      <c r="P37" s="35"/>
      <c r="Q37" s="35"/>
      <c r="R37" s="50"/>
      <c r="S37" s="37"/>
      <c r="T37" s="37"/>
      <c r="U37" s="37"/>
      <c r="V37" s="37"/>
      <c r="W37" s="39">
        <v>0.0</v>
      </c>
      <c r="X37" s="40"/>
      <c r="Y37" s="40"/>
      <c r="Z37" s="42">
        <v>1.0</v>
      </c>
      <c r="AA37" s="42">
        <v>1.0</v>
      </c>
      <c r="AB37" s="42">
        <v>0.0</v>
      </c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>
        <v>1.0</v>
      </c>
      <c r="AS37" s="42"/>
      <c r="AT37" s="42"/>
      <c r="AU37" s="42"/>
      <c r="AV37" s="42"/>
      <c r="AW37" s="42"/>
      <c r="AX37" s="42"/>
      <c r="AY37" s="42"/>
    </row>
    <row r="38">
      <c r="A38" s="43">
        <v>4.813707001E9</v>
      </c>
      <c r="B38" s="71" t="s">
        <v>119</v>
      </c>
      <c r="C38" s="35">
        <v>15.0</v>
      </c>
      <c r="D38" s="34">
        <v>15.0</v>
      </c>
      <c r="E38" s="35"/>
      <c r="F38" s="34">
        <f t="shared" si="1"/>
        <v>14</v>
      </c>
      <c r="G38" s="34">
        <f t="shared" si="2"/>
        <v>1</v>
      </c>
      <c r="H38" s="34">
        <v>3.0</v>
      </c>
      <c r="I38" s="35"/>
      <c r="J38" s="35"/>
      <c r="K38" s="34">
        <v>0.0</v>
      </c>
      <c r="L38" s="35"/>
      <c r="M38" s="34">
        <v>1.0</v>
      </c>
      <c r="N38" s="34">
        <v>0.0</v>
      </c>
      <c r="O38" s="35"/>
      <c r="P38" s="35"/>
      <c r="Q38" s="35"/>
      <c r="R38" s="38">
        <v>1.0</v>
      </c>
      <c r="S38" s="39">
        <v>1.0</v>
      </c>
      <c r="T38" s="39">
        <v>2.0</v>
      </c>
      <c r="U38" s="37"/>
      <c r="V38" s="37"/>
      <c r="W38" s="39">
        <v>0.0</v>
      </c>
      <c r="X38" s="40"/>
      <c r="Y38" s="41">
        <v>1.0</v>
      </c>
      <c r="AA38" s="42">
        <v>0.0</v>
      </c>
      <c r="AB38" s="42">
        <v>1.0</v>
      </c>
      <c r="AC38" s="42">
        <v>1.0</v>
      </c>
      <c r="AD38" s="42"/>
      <c r="AE38" s="42"/>
      <c r="AF38" s="42"/>
      <c r="AG38" s="42">
        <v>1.0</v>
      </c>
      <c r="AH38" s="42"/>
      <c r="AI38" s="42">
        <v>1.0</v>
      </c>
      <c r="AJ38" s="42"/>
      <c r="AK38" s="42"/>
      <c r="AL38" s="42"/>
      <c r="AM38" s="42">
        <v>1.0</v>
      </c>
      <c r="AN38" s="42">
        <v>0.0</v>
      </c>
      <c r="AO38" s="42">
        <v>1.0</v>
      </c>
      <c r="AP38" s="42"/>
      <c r="AQ38" s="42"/>
      <c r="AR38" s="42"/>
      <c r="AS38" s="42">
        <v>0.0</v>
      </c>
      <c r="AT38" s="42">
        <v>2.0</v>
      </c>
      <c r="AU38" s="42">
        <v>11432.0</v>
      </c>
      <c r="AV38" s="42">
        <v>1.0</v>
      </c>
      <c r="AW38" s="42"/>
      <c r="AX38" s="42"/>
      <c r="AY38" s="42"/>
    </row>
    <row r="39" hidden="1">
      <c r="A39" s="43">
        <v>4.516303001E9</v>
      </c>
      <c r="B39" s="71" t="s">
        <v>121</v>
      </c>
      <c r="C39" s="35">
        <v>2.0</v>
      </c>
      <c r="D39" s="34"/>
      <c r="E39" s="35"/>
      <c r="F39" s="34">
        <f t="shared" si="1"/>
        <v>1</v>
      </c>
      <c r="G39" s="34">
        <f t="shared" si="2"/>
        <v>-1</v>
      </c>
      <c r="H39" s="34">
        <v>1.0</v>
      </c>
      <c r="I39" s="35"/>
      <c r="J39" s="35"/>
      <c r="K39" s="35"/>
      <c r="L39" s="35"/>
      <c r="M39" s="35"/>
      <c r="N39" s="35"/>
      <c r="O39" s="35"/>
      <c r="P39" s="35"/>
      <c r="Q39" s="35"/>
      <c r="R39" s="50"/>
      <c r="S39" s="37"/>
      <c r="T39" s="37"/>
      <c r="U39" s="37"/>
      <c r="V39" s="37"/>
      <c r="W39" s="37"/>
      <c r="X39" s="40"/>
      <c r="Y39" s="40"/>
    </row>
    <row r="40">
      <c r="A40" s="43">
        <v>4.516265001E9</v>
      </c>
      <c r="B40" s="71" t="s">
        <v>123</v>
      </c>
      <c r="C40" s="35">
        <v>9.0</v>
      </c>
      <c r="D40" s="34"/>
      <c r="E40" s="35"/>
      <c r="F40" s="34">
        <f t="shared" si="1"/>
        <v>11</v>
      </c>
      <c r="G40" s="34">
        <f t="shared" si="2"/>
        <v>-11</v>
      </c>
      <c r="H40" s="34">
        <v>2.0</v>
      </c>
      <c r="I40" s="35"/>
      <c r="J40" s="35"/>
      <c r="K40" s="34">
        <v>0.0</v>
      </c>
      <c r="L40" s="35"/>
      <c r="M40" s="34">
        <v>1.0</v>
      </c>
      <c r="N40" s="34">
        <v>0.0</v>
      </c>
      <c r="O40" s="34">
        <v>1.0</v>
      </c>
      <c r="P40" s="35"/>
      <c r="Q40" s="35"/>
      <c r="R40" s="38">
        <v>1.0</v>
      </c>
      <c r="S40" s="37"/>
      <c r="T40" s="37"/>
      <c r="U40" s="37"/>
      <c r="V40" s="39">
        <v>1.0</v>
      </c>
      <c r="W40" s="39">
        <v>0.0</v>
      </c>
      <c r="X40" s="40"/>
      <c r="Y40" s="41">
        <v>1.0</v>
      </c>
      <c r="AB40" s="42">
        <v>1.0</v>
      </c>
      <c r="AC40" s="42"/>
      <c r="AD40" s="42"/>
      <c r="AE40" s="42">
        <v>1.0</v>
      </c>
      <c r="AF40" s="42"/>
      <c r="AG40" s="42"/>
      <c r="AH40" s="42">
        <v>1.0</v>
      </c>
      <c r="AI40" s="42"/>
      <c r="AJ40" s="42"/>
      <c r="AK40" s="42">
        <v>1.0</v>
      </c>
      <c r="AL40" s="42"/>
      <c r="AM40" s="42"/>
      <c r="AN40" s="42">
        <v>1.0</v>
      </c>
      <c r="AO40" s="42"/>
      <c r="AP40" s="42"/>
      <c r="AQ40" s="42"/>
      <c r="AR40" s="42"/>
      <c r="AS40" s="42">
        <v>0.0</v>
      </c>
      <c r="AT40" s="42">
        <v>2.0</v>
      </c>
      <c r="AU40" s="42">
        <v>11432.0</v>
      </c>
      <c r="AV40" s="42">
        <v>2.0</v>
      </c>
      <c r="AW40" s="42"/>
      <c r="AX40" s="42"/>
      <c r="AY40" s="42"/>
    </row>
    <row r="41">
      <c r="A41" s="43">
        <v>4.516273001E9</v>
      </c>
      <c r="B41" s="71" t="s">
        <v>126</v>
      </c>
      <c r="C41" s="35">
        <v>9.0</v>
      </c>
      <c r="D41" s="34"/>
      <c r="E41" s="35"/>
      <c r="F41" s="34">
        <f t="shared" si="1"/>
        <v>11</v>
      </c>
      <c r="G41" s="34">
        <f t="shared" si="2"/>
        <v>-11</v>
      </c>
      <c r="H41" s="34">
        <v>2.0</v>
      </c>
      <c r="I41" s="35"/>
      <c r="J41" s="35"/>
      <c r="K41" s="34">
        <v>0.0</v>
      </c>
      <c r="L41" s="35"/>
      <c r="M41" s="34">
        <v>1.0</v>
      </c>
      <c r="N41" s="34">
        <v>0.0</v>
      </c>
      <c r="O41" s="34">
        <v>1.0</v>
      </c>
      <c r="P41" s="35"/>
      <c r="Q41" s="35"/>
      <c r="R41" s="38">
        <v>1.0</v>
      </c>
      <c r="S41" s="37"/>
      <c r="T41" s="37"/>
      <c r="U41" s="37"/>
      <c r="V41" s="39">
        <v>1.0</v>
      </c>
      <c r="W41" s="39">
        <v>0.0</v>
      </c>
      <c r="X41" s="40"/>
      <c r="Y41" s="41">
        <v>1.0</v>
      </c>
      <c r="AB41" s="42">
        <v>1.0</v>
      </c>
      <c r="AC41" s="42"/>
      <c r="AD41" s="42"/>
      <c r="AE41" s="42">
        <v>1.0</v>
      </c>
      <c r="AF41" s="42"/>
      <c r="AG41" s="42"/>
      <c r="AH41" s="42">
        <v>1.0</v>
      </c>
      <c r="AI41" s="42"/>
      <c r="AJ41" s="42"/>
      <c r="AK41" s="42">
        <v>1.0</v>
      </c>
      <c r="AL41" s="42"/>
      <c r="AM41" s="42"/>
      <c r="AN41" s="42">
        <v>1.0</v>
      </c>
      <c r="AO41" s="42"/>
      <c r="AP41" s="42"/>
      <c r="AQ41" s="42"/>
      <c r="AR41" s="42"/>
      <c r="AS41" s="42">
        <v>0.0</v>
      </c>
      <c r="AT41" s="42">
        <v>2.0</v>
      </c>
      <c r="AU41" s="42">
        <v>11432.0</v>
      </c>
      <c r="AV41" s="42">
        <v>2.0</v>
      </c>
      <c r="AW41" s="42"/>
      <c r="AX41" s="42"/>
      <c r="AY41" s="42"/>
    </row>
    <row r="42">
      <c r="A42" s="71"/>
      <c r="B42" s="71" t="s">
        <v>128</v>
      </c>
      <c r="C42" s="35">
        <v>9.0</v>
      </c>
      <c r="D42" s="34"/>
      <c r="E42" s="35"/>
      <c r="F42" s="34">
        <f t="shared" si="1"/>
        <v>8</v>
      </c>
      <c r="G42" s="34">
        <f t="shared" si="2"/>
        <v>-8</v>
      </c>
      <c r="H42" s="34">
        <v>2.0</v>
      </c>
      <c r="I42" s="35"/>
      <c r="J42" s="35"/>
      <c r="K42" s="34">
        <v>0.0</v>
      </c>
      <c r="L42" s="34">
        <v>1.0</v>
      </c>
      <c r="M42" s="34">
        <v>0.0</v>
      </c>
      <c r="N42" s="34">
        <v>0.0</v>
      </c>
      <c r="O42" s="34">
        <v>1.0</v>
      </c>
      <c r="P42" s="35"/>
      <c r="Q42" s="35"/>
      <c r="R42" s="50"/>
      <c r="S42" s="37"/>
      <c r="T42" s="37"/>
      <c r="U42" s="37"/>
      <c r="V42" s="37"/>
      <c r="W42" s="39">
        <v>0.0</v>
      </c>
      <c r="X42" s="41">
        <v>1.0</v>
      </c>
      <c r="Y42" s="40"/>
      <c r="AB42" s="42">
        <v>1.0</v>
      </c>
      <c r="AC42" s="42"/>
      <c r="AD42" s="42"/>
      <c r="AE42" s="42">
        <v>1.0</v>
      </c>
      <c r="AF42" s="42"/>
      <c r="AG42" s="42"/>
      <c r="AH42" s="42"/>
      <c r="AJ42" s="42">
        <v>1.0</v>
      </c>
      <c r="AK42" s="42"/>
      <c r="AL42" s="42"/>
      <c r="AM42" s="42"/>
      <c r="AN42" s="42"/>
      <c r="AO42" s="42"/>
      <c r="AP42" s="42">
        <v>1.0</v>
      </c>
      <c r="AQ42" s="42"/>
      <c r="AR42" s="42"/>
      <c r="AS42" s="42"/>
      <c r="AT42" s="42"/>
      <c r="AU42" s="42"/>
      <c r="AV42" s="42"/>
      <c r="AW42" s="42"/>
      <c r="AX42" s="42"/>
      <c r="AY42" s="42"/>
    </row>
    <row r="43">
      <c r="A43" s="71" t="s">
        <v>129</v>
      </c>
      <c r="B43" s="71" t="s">
        <v>130</v>
      </c>
      <c r="C43" s="35">
        <v>3.0</v>
      </c>
      <c r="D43" s="34"/>
      <c r="E43" s="35"/>
      <c r="F43" s="34">
        <f t="shared" si="1"/>
        <v>3</v>
      </c>
      <c r="G43" s="34">
        <f t="shared" si="2"/>
        <v>-3</v>
      </c>
      <c r="H43" s="34">
        <v>1.0</v>
      </c>
      <c r="I43" s="35"/>
      <c r="J43" s="35"/>
      <c r="K43" s="34">
        <v>0.0</v>
      </c>
      <c r="L43" s="35"/>
      <c r="M43" s="34">
        <v>0.0</v>
      </c>
      <c r="N43" s="34">
        <v>0.0</v>
      </c>
      <c r="O43" s="35"/>
      <c r="P43" s="35"/>
      <c r="Q43" s="35"/>
      <c r="R43" s="50"/>
      <c r="S43" s="37"/>
      <c r="T43" s="37"/>
      <c r="U43" s="37"/>
      <c r="V43" s="37"/>
      <c r="W43" s="39">
        <v>0.0</v>
      </c>
      <c r="X43" s="40"/>
      <c r="Y43" s="40"/>
      <c r="AA43" s="42">
        <v>1.0</v>
      </c>
      <c r="AB43" s="42">
        <v>0.0</v>
      </c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>
        <v>1.0</v>
      </c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>
        <v>1.0</v>
      </c>
      <c r="AY43" s="42"/>
    </row>
    <row r="44" hidden="1">
      <c r="A44" s="71"/>
      <c r="B44" s="71" t="s">
        <v>132</v>
      </c>
      <c r="C44" s="35">
        <v>1.0</v>
      </c>
      <c r="D44" s="35"/>
      <c r="E44" s="35"/>
      <c r="F44" s="34">
        <f t="shared" si="1"/>
        <v>0</v>
      </c>
      <c r="G44" s="34">
        <f t="shared" si="2"/>
        <v>0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50"/>
      <c r="S44" s="37"/>
      <c r="T44" s="37"/>
      <c r="U44" s="37"/>
      <c r="V44" s="37"/>
      <c r="W44" s="37"/>
      <c r="X44" s="40"/>
      <c r="Y44" s="40"/>
    </row>
    <row r="45" hidden="1">
      <c r="A45" s="71"/>
      <c r="B45" s="71" t="s">
        <v>133</v>
      </c>
      <c r="C45" s="35">
        <v>1.0</v>
      </c>
      <c r="D45" s="35"/>
      <c r="E45" s="35"/>
      <c r="F45" s="34">
        <f t="shared" si="1"/>
        <v>0</v>
      </c>
      <c r="G45" s="34">
        <f t="shared" si="2"/>
        <v>0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50"/>
      <c r="S45" s="37"/>
      <c r="T45" s="37"/>
      <c r="U45" s="37"/>
      <c r="V45" s="37"/>
      <c r="W45" s="37"/>
      <c r="X45" s="40"/>
      <c r="Y45" s="40"/>
    </row>
    <row r="46">
      <c r="A46" s="71"/>
      <c r="B46" s="83" t="s">
        <v>134</v>
      </c>
      <c r="C46" s="35"/>
      <c r="D46" s="35"/>
      <c r="E46" s="35"/>
      <c r="F46" s="34">
        <f t="shared" si="1"/>
        <v>2</v>
      </c>
      <c r="G46" s="34">
        <f t="shared" si="2"/>
        <v>-2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50"/>
      <c r="S46" s="37"/>
      <c r="T46" s="37"/>
      <c r="U46" s="37"/>
      <c r="V46" s="37"/>
      <c r="W46" s="37"/>
      <c r="X46" s="41">
        <v>1.0</v>
      </c>
      <c r="Y46" s="40"/>
      <c r="AB46" s="42">
        <v>1.0</v>
      </c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</row>
    <row r="47">
      <c r="A47" s="71"/>
      <c r="B47" s="71"/>
      <c r="C47" s="35"/>
      <c r="D47" s="35"/>
      <c r="E47" s="35"/>
      <c r="F47" s="34">
        <f t="shared" si="1"/>
        <v>0</v>
      </c>
      <c r="G47" s="34">
        <f t="shared" si="2"/>
        <v>0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50"/>
      <c r="S47" s="37"/>
      <c r="T47" s="37"/>
      <c r="U47" s="37"/>
      <c r="V47" s="37"/>
      <c r="W47" s="37"/>
      <c r="X47" s="40"/>
      <c r="Y47" s="40"/>
    </row>
    <row r="48">
      <c r="A48" s="69" t="s">
        <v>43</v>
      </c>
      <c r="B48" s="69" t="s">
        <v>74</v>
      </c>
      <c r="C48" s="35"/>
      <c r="D48" s="35"/>
      <c r="E48" s="35"/>
      <c r="F48" s="34">
        <f t="shared" si="1"/>
        <v>0</v>
      </c>
      <c r="G48" s="34">
        <f t="shared" si="2"/>
        <v>0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50"/>
      <c r="S48" s="37"/>
      <c r="T48" s="37"/>
      <c r="U48" s="37"/>
      <c r="V48" s="37"/>
      <c r="W48" s="37"/>
      <c r="X48" s="40"/>
      <c r="Y48" s="40"/>
    </row>
    <row r="49">
      <c r="A49" s="27">
        <v>1.1183974216E10</v>
      </c>
      <c r="B49" s="88" t="s">
        <v>137</v>
      </c>
      <c r="C49" s="35">
        <v>45.0</v>
      </c>
      <c r="D49" s="34">
        <f t="shared" ref="D49:D50" si="7">C49*10</f>
        <v>450</v>
      </c>
      <c r="E49" s="34" t="s">
        <v>140</v>
      </c>
      <c r="F49" s="34">
        <f t="shared" si="1"/>
        <v>470</v>
      </c>
      <c r="G49" s="34">
        <f t="shared" si="2"/>
        <v>-20</v>
      </c>
      <c r="H49" s="58">
        <v>60.0</v>
      </c>
      <c r="I49" s="35"/>
      <c r="J49" s="35"/>
      <c r="K49" s="34">
        <v>20.0</v>
      </c>
      <c r="L49" s="34"/>
      <c r="M49" s="34">
        <v>50.0</v>
      </c>
      <c r="N49" s="34">
        <v>10.0</v>
      </c>
      <c r="O49" s="35"/>
      <c r="P49" s="35"/>
      <c r="Q49" s="35"/>
      <c r="R49" s="38">
        <v>50.0</v>
      </c>
      <c r="S49" s="37"/>
      <c r="T49" s="39">
        <v>20.0</v>
      </c>
      <c r="U49" s="37"/>
      <c r="V49" s="37"/>
      <c r="W49" s="39">
        <v>10.0</v>
      </c>
      <c r="X49" s="41">
        <v>20.0</v>
      </c>
      <c r="Y49" s="41">
        <v>30.0</v>
      </c>
      <c r="AA49" s="42">
        <v>10.0</v>
      </c>
      <c r="AB49" s="42">
        <v>20.0</v>
      </c>
      <c r="AC49" s="42"/>
      <c r="AD49" s="42">
        <v>30.0</v>
      </c>
      <c r="AE49" s="42">
        <v>30.0</v>
      </c>
      <c r="AF49" s="42"/>
      <c r="AG49" s="42">
        <v>30.0</v>
      </c>
      <c r="AH49" s="42">
        <v>20.0</v>
      </c>
      <c r="AI49" s="42"/>
      <c r="AJ49" s="42"/>
      <c r="AK49" s="42">
        <v>30.0</v>
      </c>
      <c r="AL49" s="42"/>
      <c r="AM49" s="42">
        <v>30.0</v>
      </c>
      <c r="AN49" s="42">
        <v>20.0</v>
      </c>
      <c r="AP49" s="42"/>
      <c r="AQ49" s="42">
        <v>20.0</v>
      </c>
      <c r="AR49" s="42"/>
      <c r="AS49" s="42">
        <v>0.0</v>
      </c>
      <c r="AT49" s="42" t="s">
        <v>143</v>
      </c>
      <c r="AU49" s="42"/>
      <c r="AV49" s="42"/>
      <c r="AW49" s="42"/>
      <c r="AX49" s="42"/>
      <c r="AY49" s="42"/>
    </row>
    <row r="50">
      <c r="A50" s="27">
        <v>1.1183982216E10</v>
      </c>
      <c r="B50" s="88" t="s">
        <v>144</v>
      </c>
      <c r="C50" s="35">
        <v>45.0</v>
      </c>
      <c r="D50" s="34">
        <f t="shared" si="7"/>
        <v>450</v>
      </c>
      <c r="E50" s="34" t="s">
        <v>140</v>
      </c>
      <c r="F50" s="34">
        <f t="shared" si="1"/>
        <v>470</v>
      </c>
      <c r="G50" s="34">
        <f t="shared" si="2"/>
        <v>-20</v>
      </c>
      <c r="H50" s="58">
        <v>60.0</v>
      </c>
      <c r="I50" s="35"/>
      <c r="J50" s="35"/>
      <c r="K50" s="34">
        <v>20.0</v>
      </c>
      <c r="L50" s="34"/>
      <c r="M50" s="34">
        <v>50.0</v>
      </c>
      <c r="N50" s="34">
        <v>10.0</v>
      </c>
      <c r="O50" s="35"/>
      <c r="P50" s="35"/>
      <c r="Q50" s="35"/>
      <c r="R50" s="38">
        <v>50.0</v>
      </c>
      <c r="S50" s="37"/>
      <c r="T50" s="39">
        <v>20.0</v>
      </c>
      <c r="U50" s="37"/>
      <c r="V50" s="37"/>
      <c r="W50" s="39">
        <v>10.0</v>
      </c>
      <c r="X50" s="41">
        <v>20.0</v>
      </c>
      <c r="Y50" s="41">
        <v>30.0</v>
      </c>
      <c r="AA50" s="42">
        <v>10.0</v>
      </c>
      <c r="AB50" s="42">
        <v>20.0</v>
      </c>
      <c r="AC50" s="42"/>
      <c r="AD50" s="42">
        <v>30.0</v>
      </c>
      <c r="AE50" s="42">
        <v>30.0</v>
      </c>
      <c r="AF50" s="42"/>
      <c r="AG50" s="42">
        <v>30.0</v>
      </c>
      <c r="AH50" s="42">
        <v>20.0</v>
      </c>
      <c r="AI50" s="42"/>
      <c r="AJ50" s="42"/>
      <c r="AK50" s="42">
        <v>30.0</v>
      </c>
      <c r="AL50" s="42"/>
      <c r="AM50" s="42">
        <v>30.0</v>
      </c>
      <c r="AN50" s="42">
        <v>18.0</v>
      </c>
      <c r="AP50" s="42"/>
      <c r="AQ50" s="42">
        <v>20.0</v>
      </c>
      <c r="AR50" s="42"/>
      <c r="AS50" s="42">
        <v>0.0</v>
      </c>
      <c r="AT50" s="42" t="s">
        <v>143</v>
      </c>
      <c r="AU50" s="42"/>
      <c r="AV50" s="42"/>
      <c r="AW50" s="42"/>
      <c r="AX50" s="42"/>
      <c r="AY50" s="42"/>
    </row>
    <row r="51">
      <c r="A51" s="27">
        <v>1.1298500316E10</v>
      </c>
      <c r="B51" s="29" t="s">
        <v>146</v>
      </c>
      <c r="C51" s="34">
        <v>5.0</v>
      </c>
      <c r="D51" s="34"/>
      <c r="E51" s="34"/>
      <c r="F51" s="34">
        <f t="shared" si="1"/>
        <v>0</v>
      </c>
      <c r="G51" s="34">
        <f t="shared" si="2"/>
        <v>0</v>
      </c>
      <c r="H51" s="34"/>
      <c r="I51" s="34"/>
      <c r="J51" s="34"/>
      <c r="K51" s="35"/>
      <c r="L51" s="35"/>
      <c r="M51" s="34"/>
      <c r="N51" s="34">
        <v>0.0</v>
      </c>
      <c r="O51" s="35"/>
      <c r="P51" s="35"/>
      <c r="Q51" s="35"/>
      <c r="R51" s="38">
        <v>0.0</v>
      </c>
      <c r="S51" s="37"/>
      <c r="T51" s="37"/>
      <c r="U51" s="37"/>
      <c r="V51" s="37"/>
      <c r="W51" s="37"/>
      <c r="X51" s="40"/>
      <c r="Y51" s="41">
        <v>0.0</v>
      </c>
      <c r="AA51" s="42">
        <v>0.0</v>
      </c>
      <c r="AB51" s="42">
        <v>0.0</v>
      </c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>
        <v>0.0</v>
      </c>
      <c r="AP51" s="42"/>
      <c r="AQ51" s="42"/>
      <c r="AR51" s="42"/>
      <c r="AS51" s="42"/>
      <c r="AT51" s="42"/>
      <c r="AU51" s="42"/>
      <c r="AV51" s="42"/>
      <c r="AW51" s="42"/>
      <c r="AX51" s="42"/>
      <c r="AY51" s="42"/>
    </row>
    <row r="52">
      <c r="A52" s="27">
        <v>2.0763071122E10</v>
      </c>
      <c r="B52" s="57" t="s">
        <v>148</v>
      </c>
      <c r="C52" s="35">
        <v>3.0</v>
      </c>
      <c r="D52" s="34">
        <f>C52*6</f>
        <v>18</v>
      </c>
      <c r="E52" s="34" t="s">
        <v>150</v>
      </c>
      <c r="F52" s="34">
        <f t="shared" si="1"/>
        <v>6</v>
      </c>
      <c r="G52" s="34">
        <f t="shared" si="2"/>
        <v>12</v>
      </c>
      <c r="H52" s="36">
        <v>6.0</v>
      </c>
      <c r="I52" s="35"/>
      <c r="J52" s="35"/>
      <c r="K52" s="34">
        <v>0.0</v>
      </c>
      <c r="L52" s="34"/>
      <c r="M52" s="34">
        <v>0.0</v>
      </c>
      <c r="N52" s="34">
        <v>0.0</v>
      </c>
      <c r="O52" s="35"/>
      <c r="P52" s="35"/>
      <c r="Q52" s="35"/>
      <c r="R52" s="38">
        <v>0.0</v>
      </c>
      <c r="S52" s="37"/>
      <c r="T52" s="39">
        <v>0.0</v>
      </c>
      <c r="U52" s="37"/>
      <c r="V52" s="37"/>
      <c r="W52" s="39">
        <v>0.0</v>
      </c>
      <c r="X52" s="40"/>
      <c r="Y52" s="41">
        <v>0.0</v>
      </c>
      <c r="Z52" s="40"/>
      <c r="AA52" s="41">
        <v>0.0</v>
      </c>
      <c r="AB52" s="42">
        <v>0.0</v>
      </c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</row>
    <row r="53">
      <c r="A53" s="27">
        <v>4.66363219E9</v>
      </c>
      <c r="B53" s="29" t="s">
        <v>152</v>
      </c>
      <c r="C53" s="35">
        <v>4.0</v>
      </c>
      <c r="D53" s="34">
        <f>C53*12</f>
        <v>48</v>
      </c>
      <c r="E53" s="34" t="s">
        <v>153</v>
      </c>
      <c r="F53" s="34">
        <f t="shared" si="1"/>
        <v>25</v>
      </c>
      <c r="G53" s="34">
        <f t="shared" si="2"/>
        <v>23</v>
      </c>
      <c r="H53" s="36">
        <v>9.0</v>
      </c>
      <c r="I53" s="35"/>
      <c r="J53" s="35"/>
      <c r="K53" s="34">
        <v>0.0</v>
      </c>
      <c r="L53" s="35"/>
      <c r="M53" s="34">
        <v>0.0</v>
      </c>
      <c r="N53" s="34">
        <v>0.0</v>
      </c>
      <c r="O53" s="35"/>
      <c r="P53" s="35"/>
      <c r="Q53" s="35"/>
      <c r="R53" s="38">
        <v>0.0</v>
      </c>
      <c r="S53" s="37"/>
      <c r="T53" s="39">
        <v>0.0</v>
      </c>
      <c r="U53" s="37"/>
      <c r="V53" s="37"/>
      <c r="W53" s="39">
        <v>0.0</v>
      </c>
      <c r="X53" s="40"/>
      <c r="Y53" s="41">
        <v>4.0</v>
      </c>
      <c r="AA53" s="42">
        <v>0.0</v>
      </c>
      <c r="AB53" s="42">
        <v>4.0</v>
      </c>
      <c r="AC53" s="42"/>
      <c r="AD53" s="42">
        <v>8.0</v>
      </c>
      <c r="AE53" s="42"/>
      <c r="AF53" s="42"/>
      <c r="AG53" s="42"/>
      <c r="AH53" s="42"/>
      <c r="AI53" s="42"/>
      <c r="AJ53" s="42"/>
      <c r="AK53" s="42"/>
      <c r="AL53" s="42"/>
      <c r="AM53" s="42"/>
      <c r="AN53" s="42">
        <v>5.0</v>
      </c>
      <c r="AP53" s="42"/>
      <c r="AQ53" s="42"/>
      <c r="AR53" s="42"/>
      <c r="AS53" s="42">
        <v>3.0</v>
      </c>
      <c r="AT53" s="42">
        <v>2.0</v>
      </c>
      <c r="AU53" s="42">
        <v>11432.0</v>
      </c>
      <c r="AV53" s="42">
        <v>3.0</v>
      </c>
      <c r="AW53" s="42"/>
      <c r="AX53" s="42"/>
      <c r="AY53" s="42"/>
    </row>
    <row r="54">
      <c r="A54" s="27">
        <v>4.88048019E9</v>
      </c>
      <c r="B54" s="57" t="s">
        <v>155</v>
      </c>
      <c r="C54" s="35">
        <v>25.0</v>
      </c>
      <c r="D54" s="34">
        <f t="shared" ref="D54:D56" si="8">C54*2</f>
        <v>50</v>
      </c>
      <c r="E54" s="34" t="s">
        <v>157</v>
      </c>
      <c r="F54" s="34">
        <f t="shared" si="1"/>
        <v>84</v>
      </c>
      <c r="G54" s="34">
        <f t="shared" si="2"/>
        <v>-34</v>
      </c>
      <c r="H54" s="36">
        <v>12.0</v>
      </c>
      <c r="I54" s="34"/>
      <c r="J54" s="34"/>
      <c r="K54" s="34">
        <v>4.0</v>
      </c>
      <c r="L54" s="35"/>
      <c r="M54" s="34">
        <v>10.0</v>
      </c>
      <c r="N54" s="34">
        <v>4.0</v>
      </c>
      <c r="O54" s="35"/>
      <c r="P54" s="35"/>
      <c r="Q54" s="35"/>
      <c r="R54" s="38">
        <v>6.0</v>
      </c>
      <c r="S54" s="37"/>
      <c r="T54" s="39">
        <v>6.0</v>
      </c>
      <c r="U54" s="37"/>
      <c r="V54" s="37"/>
      <c r="W54" s="39">
        <v>6.0</v>
      </c>
      <c r="X54" s="40"/>
      <c r="Y54" s="41">
        <v>4.0</v>
      </c>
      <c r="Z54" s="40"/>
      <c r="AA54" s="41">
        <v>6.0</v>
      </c>
      <c r="AB54" s="42">
        <v>4.0</v>
      </c>
      <c r="AC54" s="42"/>
      <c r="AD54" s="42">
        <v>8.0</v>
      </c>
      <c r="AE54" s="42"/>
      <c r="AF54" s="42"/>
      <c r="AG54" s="42">
        <v>10.0</v>
      </c>
      <c r="AH54" s="42"/>
      <c r="AI54" s="42"/>
      <c r="AJ54" s="42"/>
      <c r="AK54" s="42">
        <v>4.0</v>
      </c>
      <c r="AL54" s="42"/>
      <c r="AM54" s="42"/>
      <c r="AN54" s="42">
        <v>16.0</v>
      </c>
      <c r="AP54" s="42"/>
      <c r="AQ54" s="42"/>
      <c r="AR54" s="42"/>
      <c r="AS54" s="42">
        <v>12.0</v>
      </c>
      <c r="AT54" s="42"/>
      <c r="AU54" s="42"/>
      <c r="AV54" s="42">
        <v>8.0</v>
      </c>
      <c r="AW54" s="42"/>
      <c r="AX54" s="42"/>
      <c r="AY54" s="42"/>
    </row>
    <row r="55">
      <c r="A55" s="27">
        <v>4.88045519E9</v>
      </c>
      <c r="B55" s="57" t="s">
        <v>159</v>
      </c>
      <c r="C55" s="35">
        <v>25.0</v>
      </c>
      <c r="D55" s="34">
        <f t="shared" si="8"/>
        <v>50</v>
      </c>
      <c r="E55" s="34" t="s">
        <v>157</v>
      </c>
      <c r="F55" s="34">
        <f t="shared" si="1"/>
        <v>110</v>
      </c>
      <c r="G55" s="34">
        <f t="shared" si="2"/>
        <v>-60</v>
      </c>
      <c r="H55" s="36">
        <v>12.0</v>
      </c>
      <c r="I55" s="34"/>
      <c r="J55" s="34"/>
      <c r="K55" s="34">
        <v>4.0</v>
      </c>
      <c r="L55" s="35"/>
      <c r="M55" s="34">
        <v>10.0</v>
      </c>
      <c r="N55" s="34">
        <v>4.0</v>
      </c>
      <c r="O55" s="35"/>
      <c r="P55" s="35"/>
      <c r="Q55" s="35"/>
      <c r="R55" s="38">
        <v>6.0</v>
      </c>
      <c r="S55" s="37"/>
      <c r="T55" s="39">
        <v>12.0</v>
      </c>
      <c r="U55" s="37"/>
      <c r="V55" s="37"/>
      <c r="W55" s="39">
        <v>6.0</v>
      </c>
      <c r="X55" s="40"/>
      <c r="Y55" s="41">
        <v>10.0</v>
      </c>
      <c r="Z55" s="40"/>
      <c r="AA55" s="41">
        <v>0.0</v>
      </c>
      <c r="AB55" s="42">
        <v>10.0</v>
      </c>
      <c r="AC55" s="42"/>
      <c r="AD55" s="42">
        <v>10.0</v>
      </c>
      <c r="AE55" s="42"/>
      <c r="AF55" s="42"/>
      <c r="AG55" s="42">
        <v>16.0</v>
      </c>
      <c r="AH55" s="42">
        <v>10.0</v>
      </c>
      <c r="AI55" s="42"/>
      <c r="AJ55" s="42"/>
      <c r="AK55" s="42"/>
      <c r="AL55" s="42"/>
      <c r="AM55" s="42"/>
      <c r="AN55" s="42">
        <v>39.0</v>
      </c>
      <c r="AP55" s="42"/>
      <c r="AQ55" s="42"/>
      <c r="AR55" s="42"/>
      <c r="AS55" s="42">
        <v>35.0</v>
      </c>
      <c r="AT55" s="42"/>
      <c r="AU55" s="42"/>
      <c r="AV55" s="42">
        <v>29.0</v>
      </c>
      <c r="AW55" s="42"/>
      <c r="AX55" s="42"/>
      <c r="AY55" s="42"/>
    </row>
    <row r="56">
      <c r="A56" s="27">
        <v>8.39201319E9</v>
      </c>
      <c r="B56" s="29" t="s">
        <v>161</v>
      </c>
      <c r="C56" s="35">
        <v>20.0</v>
      </c>
      <c r="D56" s="34">
        <f t="shared" si="8"/>
        <v>40</v>
      </c>
      <c r="E56" s="35"/>
      <c r="F56" s="34">
        <f t="shared" si="1"/>
        <v>50</v>
      </c>
      <c r="G56" s="34">
        <f t="shared" si="2"/>
        <v>-10</v>
      </c>
      <c r="H56" s="36">
        <v>8.0</v>
      </c>
      <c r="I56" s="34">
        <v>4.0</v>
      </c>
      <c r="J56" s="34"/>
      <c r="K56" s="34">
        <v>0.0</v>
      </c>
      <c r="L56" s="35"/>
      <c r="M56" s="34">
        <v>6.0</v>
      </c>
      <c r="N56" s="34">
        <v>0.0</v>
      </c>
      <c r="O56" s="35"/>
      <c r="P56" s="35"/>
      <c r="Q56" s="35"/>
      <c r="R56" s="38">
        <v>4.0</v>
      </c>
      <c r="S56" s="37"/>
      <c r="T56" s="39">
        <v>4.0</v>
      </c>
      <c r="U56" s="37"/>
      <c r="V56" s="37"/>
      <c r="W56" s="39">
        <v>6.0</v>
      </c>
      <c r="X56" s="40"/>
      <c r="Y56" s="41">
        <v>4.0</v>
      </c>
      <c r="Z56" s="40"/>
      <c r="AA56" s="41">
        <v>0.0</v>
      </c>
      <c r="AB56" s="42">
        <v>6.0</v>
      </c>
      <c r="AC56" s="42"/>
      <c r="AD56" s="42">
        <v>8.0</v>
      </c>
      <c r="AE56" s="42"/>
      <c r="AF56" s="42"/>
      <c r="AH56" s="42"/>
      <c r="AI56" s="42"/>
      <c r="AJ56" s="42"/>
      <c r="AK56" s="42"/>
      <c r="AL56" s="42"/>
      <c r="AM56" s="42"/>
      <c r="AN56" s="42">
        <v>22.0</v>
      </c>
      <c r="AP56" s="42"/>
      <c r="AQ56" s="42"/>
      <c r="AR56" s="42"/>
      <c r="AS56" s="42">
        <v>20.0</v>
      </c>
      <c r="AT56" s="42"/>
      <c r="AU56" s="42"/>
      <c r="AV56" s="42">
        <v>18.0</v>
      </c>
      <c r="AW56" s="42"/>
      <c r="AX56" s="42"/>
      <c r="AY56" s="42"/>
    </row>
    <row r="57" hidden="1">
      <c r="A57" s="27">
        <v>1.0820652216E10</v>
      </c>
      <c r="B57" s="57" t="s">
        <v>165</v>
      </c>
      <c r="C57" s="35"/>
      <c r="D57" s="34">
        <f>C57*10</f>
        <v>0</v>
      </c>
      <c r="E57" s="34" t="s">
        <v>166</v>
      </c>
      <c r="F57" s="34">
        <f t="shared" si="1"/>
        <v>0</v>
      </c>
      <c r="G57" s="34">
        <f t="shared" si="2"/>
        <v>0</v>
      </c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50"/>
      <c r="S57" s="37"/>
      <c r="T57" s="37"/>
      <c r="U57" s="37"/>
      <c r="V57" s="37"/>
      <c r="W57" s="37"/>
      <c r="X57" s="40"/>
      <c r="Y57" s="40"/>
      <c r="Z57" s="40"/>
      <c r="AA57" s="40"/>
    </row>
    <row r="58">
      <c r="A58" s="27">
        <v>3.149501001E9</v>
      </c>
      <c r="B58" s="31" t="s">
        <v>169</v>
      </c>
      <c r="C58" s="35">
        <v>3.0</v>
      </c>
      <c r="D58" s="34"/>
      <c r="E58" s="35"/>
      <c r="F58" s="34">
        <f t="shared" si="1"/>
        <v>3</v>
      </c>
      <c r="G58" s="34">
        <f t="shared" si="2"/>
        <v>-3</v>
      </c>
      <c r="H58" s="34">
        <v>1.0</v>
      </c>
      <c r="I58" s="35"/>
      <c r="J58" s="35"/>
      <c r="K58" s="34">
        <v>0.0</v>
      </c>
      <c r="L58" s="35"/>
      <c r="M58" s="34">
        <v>0.0</v>
      </c>
      <c r="N58" s="34">
        <v>0.0</v>
      </c>
      <c r="O58" s="35"/>
      <c r="P58" s="35"/>
      <c r="Q58" s="35"/>
      <c r="R58" s="38">
        <v>1.0</v>
      </c>
      <c r="S58" s="37"/>
      <c r="T58" s="37"/>
      <c r="U58" s="37"/>
      <c r="V58" s="37"/>
      <c r="W58" s="39">
        <v>0.0</v>
      </c>
      <c r="X58" s="40"/>
      <c r="Y58" s="40"/>
      <c r="Z58" s="40"/>
      <c r="AA58" s="41">
        <v>1.0</v>
      </c>
      <c r="AE58" s="42"/>
      <c r="AF58" s="42"/>
      <c r="AG58" s="42"/>
      <c r="AH58" s="42"/>
      <c r="AI58" s="42">
        <v>0.0</v>
      </c>
      <c r="AJ58" s="42"/>
      <c r="AK58" s="42"/>
      <c r="AL58" s="42"/>
      <c r="AM58" s="42"/>
      <c r="AN58" s="42">
        <v>0.0</v>
      </c>
      <c r="AP58" s="42"/>
      <c r="AQ58" s="42"/>
      <c r="AR58" s="42"/>
      <c r="AS58" s="42">
        <v>0.0</v>
      </c>
      <c r="AT58" s="42" t="s">
        <v>143</v>
      </c>
      <c r="AU58" s="42"/>
      <c r="AV58" s="42"/>
      <c r="AW58" s="42"/>
      <c r="AX58" s="42"/>
      <c r="AY58" s="42"/>
    </row>
    <row r="59">
      <c r="A59" s="27">
        <v>1.0825468001E10</v>
      </c>
      <c r="B59" s="31" t="s">
        <v>172</v>
      </c>
      <c r="C59" s="35">
        <v>7.0</v>
      </c>
      <c r="D59" s="34"/>
      <c r="E59" s="35"/>
      <c r="F59" s="34">
        <f t="shared" si="1"/>
        <v>5</v>
      </c>
      <c r="G59" s="34">
        <f t="shared" si="2"/>
        <v>-5</v>
      </c>
      <c r="H59" s="34">
        <v>1.0</v>
      </c>
      <c r="I59" s="35"/>
      <c r="J59" s="35"/>
      <c r="K59" s="34">
        <v>1.0</v>
      </c>
      <c r="L59" s="35"/>
      <c r="M59" s="35"/>
      <c r="N59" s="34">
        <v>0.0</v>
      </c>
      <c r="O59" s="35"/>
      <c r="P59" s="34">
        <v>1.0</v>
      </c>
      <c r="Q59" s="35"/>
      <c r="R59" s="50"/>
      <c r="S59" s="37"/>
      <c r="T59" s="37"/>
      <c r="U59" s="37"/>
      <c r="V59" s="37"/>
      <c r="W59" s="39">
        <v>0.0</v>
      </c>
      <c r="X59" s="40"/>
      <c r="Y59" s="40"/>
      <c r="Z59" s="40"/>
      <c r="AA59" s="41">
        <v>1.0</v>
      </c>
      <c r="AD59" s="42">
        <v>1.0</v>
      </c>
      <c r="AE59" s="42"/>
      <c r="AF59" s="42"/>
      <c r="AG59" s="42"/>
      <c r="AH59" s="42"/>
      <c r="AI59" s="42"/>
      <c r="AJ59" s="42"/>
      <c r="AK59" s="42"/>
      <c r="AL59" s="42"/>
      <c r="AM59" s="42"/>
      <c r="AN59" s="42">
        <v>0.0</v>
      </c>
      <c r="AP59" s="42"/>
      <c r="AQ59" s="42">
        <v>1.0</v>
      </c>
      <c r="AR59" s="42"/>
      <c r="AS59" s="42">
        <v>0.0</v>
      </c>
      <c r="AT59" s="42" t="s">
        <v>143</v>
      </c>
      <c r="AU59" s="42"/>
      <c r="AV59" s="42"/>
      <c r="AW59" s="42"/>
      <c r="AX59" s="42"/>
      <c r="AY59" s="42"/>
    </row>
    <row r="60">
      <c r="A60" s="27">
        <v>1.0825441001E10</v>
      </c>
      <c r="B60" s="31" t="s">
        <v>176</v>
      </c>
      <c r="C60" s="35">
        <v>7.0</v>
      </c>
      <c r="D60" s="34"/>
      <c r="E60" s="35"/>
      <c r="F60" s="34">
        <f t="shared" si="1"/>
        <v>7</v>
      </c>
      <c r="G60" s="34">
        <f t="shared" si="2"/>
        <v>-7</v>
      </c>
      <c r="H60" s="34">
        <v>1.0</v>
      </c>
      <c r="I60" s="35"/>
      <c r="J60" s="35"/>
      <c r="K60" s="34">
        <v>1.0</v>
      </c>
      <c r="L60" s="35"/>
      <c r="M60" s="35"/>
      <c r="N60" s="34">
        <v>1.0</v>
      </c>
      <c r="O60" s="35"/>
      <c r="P60" s="35"/>
      <c r="Q60" s="35"/>
      <c r="R60" s="50"/>
      <c r="S60" s="37"/>
      <c r="T60" s="37"/>
      <c r="U60" s="37"/>
      <c r="V60" s="39">
        <v>1.0</v>
      </c>
      <c r="W60" s="39">
        <v>0.0</v>
      </c>
      <c r="X60" s="40"/>
      <c r="Y60" s="40"/>
      <c r="Z60" s="40"/>
      <c r="AA60" s="41">
        <v>1.0</v>
      </c>
      <c r="AD60" s="42">
        <v>1.0</v>
      </c>
      <c r="AE60" s="42"/>
      <c r="AF60" s="42"/>
      <c r="AG60" s="42"/>
      <c r="AH60" s="42"/>
      <c r="AI60" s="42">
        <v>1.0</v>
      </c>
      <c r="AJ60" s="42"/>
      <c r="AK60" s="42"/>
      <c r="AL60" s="42"/>
      <c r="AM60" s="42"/>
      <c r="AN60" s="42">
        <v>0.0</v>
      </c>
      <c r="AP60" s="42"/>
      <c r="AQ60" s="42">
        <v>1.0</v>
      </c>
      <c r="AS60" s="42">
        <v>0.0</v>
      </c>
      <c r="AT60" s="42" t="s">
        <v>143</v>
      </c>
      <c r="AU60" s="42"/>
      <c r="AV60" s="42"/>
      <c r="AW60" s="42"/>
      <c r="AX60" s="42"/>
      <c r="AY60" s="42"/>
    </row>
    <row r="61">
      <c r="A61" s="27">
        <v>3.246353001E9</v>
      </c>
      <c r="B61" s="31" t="s">
        <v>179</v>
      </c>
      <c r="C61" s="35">
        <v>7.0</v>
      </c>
      <c r="D61" s="34"/>
      <c r="E61" s="35"/>
      <c r="F61" s="34">
        <f t="shared" si="1"/>
        <v>7</v>
      </c>
      <c r="G61" s="34">
        <f t="shared" si="2"/>
        <v>-7</v>
      </c>
      <c r="H61" s="34">
        <v>1.0</v>
      </c>
      <c r="I61" s="35"/>
      <c r="J61" s="35"/>
      <c r="K61" s="34">
        <v>1.0</v>
      </c>
      <c r="L61" s="35"/>
      <c r="M61" s="35"/>
      <c r="N61" s="34">
        <v>1.0</v>
      </c>
      <c r="O61" s="35"/>
      <c r="P61" s="35"/>
      <c r="Q61" s="35"/>
      <c r="R61" s="50"/>
      <c r="S61" s="37"/>
      <c r="T61" s="37"/>
      <c r="U61" s="37"/>
      <c r="V61" s="39">
        <v>1.0</v>
      </c>
      <c r="W61" s="39">
        <v>0.0</v>
      </c>
      <c r="X61" s="40"/>
      <c r="Y61" s="40"/>
      <c r="Z61" s="40"/>
      <c r="AA61" s="41">
        <v>1.0</v>
      </c>
      <c r="AD61" s="42">
        <v>1.0</v>
      </c>
      <c r="AE61" s="42"/>
      <c r="AF61" s="42"/>
      <c r="AG61" s="42"/>
      <c r="AH61" s="42"/>
      <c r="AI61" s="42">
        <v>1.0</v>
      </c>
      <c r="AJ61" s="42"/>
      <c r="AK61" s="42"/>
      <c r="AL61" s="42"/>
      <c r="AM61" s="42"/>
      <c r="AN61" s="42">
        <v>0.0</v>
      </c>
      <c r="AP61" s="42"/>
      <c r="AQ61" s="42">
        <v>1.0</v>
      </c>
      <c r="AS61" s="42">
        <v>0.0</v>
      </c>
      <c r="AT61" s="42" t="s">
        <v>143</v>
      </c>
      <c r="AU61" s="42"/>
      <c r="AV61" s="42"/>
      <c r="AW61" s="42"/>
      <c r="AX61" s="42"/>
      <c r="AY61" s="42"/>
    </row>
    <row r="62">
      <c r="A62" s="48"/>
      <c r="B62" s="48"/>
      <c r="C62" s="49"/>
      <c r="D62" s="49"/>
      <c r="E62" s="49"/>
      <c r="F62" s="34"/>
      <c r="G62" s="34"/>
      <c r="H62" s="49"/>
      <c r="I62" s="49"/>
      <c r="J62" s="49"/>
      <c r="K62" s="49"/>
      <c r="L62" s="49"/>
      <c r="M62" s="49"/>
      <c r="N62" s="49"/>
      <c r="O62" s="49"/>
      <c r="P62" s="49"/>
      <c r="Q62" s="91"/>
      <c r="R62" s="92"/>
      <c r="S62" s="40"/>
      <c r="T62" s="40"/>
      <c r="U62" s="40"/>
      <c r="V62" s="91"/>
      <c r="W62" s="91"/>
      <c r="X62" s="40"/>
      <c r="Y62" s="40"/>
      <c r="Z62" s="40"/>
      <c r="AA62" s="40"/>
      <c r="AR62" s="25" t="s">
        <v>181</v>
      </c>
    </row>
    <row r="63">
      <c r="A63" s="92"/>
      <c r="B63" s="92"/>
      <c r="C63" s="49"/>
      <c r="D63" s="49"/>
      <c r="E63" s="49"/>
      <c r="F63" s="34"/>
      <c r="G63" s="34"/>
      <c r="H63" s="49"/>
      <c r="I63" s="49"/>
      <c r="J63" s="49"/>
      <c r="K63" s="49"/>
      <c r="L63" s="49"/>
      <c r="M63" s="49"/>
      <c r="N63" s="49"/>
      <c r="O63" s="49"/>
      <c r="P63" s="49"/>
      <c r="Q63" s="91"/>
      <c r="R63" s="92"/>
      <c r="S63" s="40"/>
      <c r="T63" s="40"/>
      <c r="U63" s="40"/>
      <c r="V63" s="91"/>
      <c r="W63" s="91"/>
      <c r="X63" s="40"/>
      <c r="Y63" s="40"/>
      <c r="Z63" s="40"/>
      <c r="AA63" s="40"/>
      <c r="AI63" s="42" t="s">
        <v>51</v>
      </c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</row>
    <row r="64">
      <c r="A64" s="92"/>
      <c r="B64" s="93" t="s">
        <v>182</v>
      </c>
      <c r="C64" s="49"/>
      <c r="D64" s="49"/>
      <c r="E64" s="49"/>
      <c r="F64" s="34"/>
      <c r="G64" s="34"/>
      <c r="H64" s="49"/>
      <c r="I64" s="49"/>
      <c r="J64" s="49"/>
      <c r="K64" s="49"/>
      <c r="L64" s="49"/>
      <c r="M64" s="49"/>
      <c r="N64" s="49"/>
      <c r="O64" s="49"/>
      <c r="P64" s="49"/>
      <c r="Q64" s="91"/>
      <c r="R64" s="92"/>
      <c r="S64" s="40"/>
      <c r="T64" s="40"/>
      <c r="U64" s="40"/>
      <c r="V64" s="91"/>
      <c r="W64" s="91"/>
      <c r="X64" s="40"/>
      <c r="Y64" s="40"/>
      <c r="Z64" s="40"/>
      <c r="AA64" s="40"/>
      <c r="AH64" s="42" t="s">
        <v>51</v>
      </c>
    </row>
    <row r="65">
      <c r="A65" s="92"/>
      <c r="B65" s="94" t="s">
        <v>184</v>
      </c>
      <c r="C65" s="49"/>
      <c r="D65" s="49"/>
      <c r="E65" s="49"/>
      <c r="F65" s="34"/>
      <c r="G65" s="34"/>
      <c r="H65" s="49"/>
      <c r="I65" s="49"/>
      <c r="J65" s="49"/>
      <c r="K65" s="49"/>
      <c r="L65" s="49"/>
      <c r="M65" s="49"/>
      <c r="N65" s="49"/>
      <c r="O65" s="49"/>
      <c r="P65" s="49"/>
      <c r="Q65" s="91"/>
      <c r="R65" s="92"/>
      <c r="S65" s="40"/>
      <c r="T65" s="40"/>
      <c r="U65" s="40"/>
      <c r="V65" s="91"/>
      <c r="W65" s="91"/>
      <c r="X65" s="40"/>
      <c r="Y65" s="40"/>
      <c r="Z65" s="40"/>
      <c r="AA65" s="40"/>
    </row>
    <row r="66">
      <c r="A66" s="96"/>
      <c r="B66" s="97" t="s">
        <v>185</v>
      </c>
      <c r="C66" s="70"/>
      <c r="D66" s="70"/>
      <c r="E66" s="70"/>
      <c r="F66" s="34"/>
      <c r="G66" s="34"/>
      <c r="H66" s="70"/>
      <c r="I66" s="70"/>
      <c r="J66" s="70"/>
      <c r="K66" s="70"/>
      <c r="L66" s="70"/>
      <c r="M66" s="70"/>
      <c r="N66" s="70"/>
      <c r="O66" s="70"/>
      <c r="P66" s="70"/>
      <c r="Q66" s="98"/>
      <c r="R66" s="96"/>
      <c r="V66" s="98"/>
      <c r="W66" s="98"/>
    </row>
    <row r="67">
      <c r="A67" s="96"/>
      <c r="B67" s="96"/>
      <c r="C67" s="70"/>
      <c r="D67" s="70"/>
      <c r="E67" s="70"/>
      <c r="F67" s="34"/>
      <c r="G67" s="34"/>
      <c r="H67" s="70"/>
      <c r="I67" s="70"/>
      <c r="J67" s="70"/>
      <c r="K67" s="70"/>
      <c r="L67" s="70"/>
      <c r="M67" s="70"/>
      <c r="N67" s="70"/>
      <c r="O67" s="70"/>
      <c r="P67" s="70"/>
      <c r="Q67" s="98"/>
      <c r="R67" s="96"/>
      <c r="V67" s="98"/>
      <c r="W67" s="98"/>
    </row>
    <row r="68">
      <c r="A68" s="96"/>
      <c r="B68" s="96"/>
      <c r="C68" s="70"/>
      <c r="D68" s="70"/>
      <c r="E68" s="70"/>
      <c r="F68" s="49"/>
      <c r="G68" s="49"/>
      <c r="H68" s="70"/>
      <c r="I68" s="70"/>
      <c r="J68" s="70"/>
      <c r="K68" s="70"/>
      <c r="L68" s="70"/>
      <c r="M68" s="70"/>
      <c r="N68" s="70"/>
      <c r="O68" s="70"/>
      <c r="P68" s="70"/>
      <c r="Q68" s="98"/>
      <c r="R68" s="96"/>
      <c r="V68" s="98"/>
      <c r="W68" s="98"/>
    </row>
    <row r="69">
      <c r="A69" s="96"/>
      <c r="B69" s="96"/>
      <c r="C69" s="70"/>
      <c r="D69" s="70"/>
      <c r="E69" s="70"/>
      <c r="F69" s="49"/>
      <c r="G69" s="49"/>
      <c r="H69" s="70"/>
      <c r="I69" s="70"/>
      <c r="J69" s="70"/>
      <c r="K69" s="70"/>
      <c r="L69" s="70"/>
      <c r="M69" s="70"/>
      <c r="N69" s="70"/>
      <c r="O69" s="70"/>
      <c r="P69" s="70"/>
      <c r="Q69" s="98"/>
      <c r="R69" s="96"/>
      <c r="V69" s="98"/>
      <c r="W69" s="98"/>
    </row>
    <row r="70">
      <c r="A70" s="96"/>
      <c r="B70" s="96"/>
      <c r="C70" s="70"/>
      <c r="D70" s="70"/>
      <c r="E70" s="70"/>
      <c r="F70" s="49"/>
      <c r="G70" s="49"/>
      <c r="H70" s="70"/>
      <c r="I70" s="70"/>
      <c r="J70" s="70"/>
      <c r="K70" s="70"/>
      <c r="L70" s="70"/>
      <c r="M70" s="70"/>
      <c r="N70" s="70"/>
      <c r="O70" s="70"/>
      <c r="P70" s="70"/>
      <c r="Q70" s="98"/>
      <c r="R70" s="96"/>
      <c r="V70" s="98"/>
      <c r="W70" s="98"/>
    </row>
    <row r="71">
      <c r="A71" s="96"/>
      <c r="B71" s="96"/>
      <c r="C71" s="70"/>
      <c r="D71" s="70"/>
      <c r="E71" s="70"/>
      <c r="F71" s="49"/>
      <c r="G71" s="49"/>
      <c r="H71" s="70"/>
      <c r="I71" s="70"/>
      <c r="J71" s="70"/>
      <c r="K71" s="70"/>
      <c r="L71" s="70"/>
      <c r="M71" s="70"/>
      <c r="N71" s="70"/>
      <c r="O71" s="70"/>
      <c r="P71" s="70"/>
      <c r="Q71" s="98"/>
      <c r="R71" s="96"/>
      <c r="V71" s="98"/>
      <c r="W71" s="98"/>
    </row>
    <row r="72">
      <c r="A72" s="96"/>
      <c r="B72" s="96"/>
      <c r="C72" s="70"/>
      <c r="D72" s="70"/>
      <c r="E72" s="70"/>
      <c r="F72" s="49"/>
      <c r="G72" s="49"/>
      <c r="H72" s="70"/>
      <c r="I72" s="70"/>
      <c r="J72" s="70"/>
      <c r="K72" s="70"/>
      <c r="L72" s="70"/>
      <c r="M72" s="70"/>
      <c r="N72" s="70"/>
      <c r="O72" s="70"/>
      <c r="P72" s="70"/>
      <c r="Q72" s="98"/>
      <c r="R72" s="96"/>
      <c r="V72" s="98"/>
      <c r="W72" s="98"/>
    </row>
    <row r="73">
      <c r="A73" s="96"/>
      <c r="B73" s="96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98"/>
      <c r="R73" s="96"/>
      <c r="V73" s="98"/>
      <c r="W73" s="98"/>
    </row>
    <row r="74">
      <c r="A74" s="96"/>
      <c r="B74" s="96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98"/>
      <c r="R74" s="96"/>
      <c r="V74" s="98"/>
      <c r="W74" s="98"/>
    </row>
    <row r="75">
      <c r="A75" s="96"/>
      <c r="B75" s="96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98"/>
      <c r="R75" s="96"/>
      <c r="V75" s="98"/>
      <c r="W75" s="98"/>
    </row>
    <row r="76">
      <c r="A76" s="96"/>
      <c r="B76" s="96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98"/>
      <c r="R76" s="96"/>
      <c r="V76" s="98"/>
      <c r="W76" s="98"/>
    </row>
    <row r="77">
      <c r="A77" s="96"/>
      <c r="B77" s="96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98"/>
      <c r="R77" s="96"/>
      <c r="V77" s="98"/>
      <c r="W77" s="98"/>
    </row>
    <row r="78">
      <c r="A78" s="96"/>
      <c r="B78" s="96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98"/>
      <c r="R78" s="96"/>
      <c r="V78" s="98"/>
      <c r="W78" s="98"/>
    </row>
    <row r="79">
      <c r="A79" s="96"/>
      <c r="B79" s="96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98"/>
      <c r="R79" s="96"/>
      <c r="V79" s="98"/>
      <c r="W79" s="98"/>
    </row>
    <row r="80">
      <c r="A80" s="96"/>
      <c r="B80" s="96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98"/>
      <c r="R80" s="96"/>
      <c r="V80" s="98"/>
      <c r="W80" s="98"/>
    </row>
    <row r="81">
      <c r="A81" s="96"/>
      <c r="B81" s="96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98"/>
      <c r="R81" s="96"/>
      <c r="V81" s="98"/>
      <c r="W81" s="98"/>
    </row>
    <row r="82">
      <c r="A82" s="96"/>
      <c r="B82" s="96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98"/>
      <c r="R82" s="96"/>
      <c r="V82" s="98"/>
      <c r="W82" s="98"/>
    </row>
    <row r="83">
      <c r="A83" s="96"/>
      <c r="B83" s="96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98"/>
      <c r="R83" s="96"/>
      <c r="V83" s="98"/>
      <c r="W83" s="98"/>
    </row>
    <row r="84">
      <c r="A84" s="96"/>
      <c r="B84" s="96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98"/>
      <c r="R84" s="96"/>
      <c r="V84" s="98"/>
      <c r="W84" s="98"/>
    </row>
    <row r="85">
      <c r="A85" s="96"/>
      <c r="B85" s="96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98"/>
      <c r="R85" s="96"/>
      <c r="V85" s="98"/>
      <c r="W85" s="98"/>
    </row>
    <row r="86">
      <c r="A86" s="96"/>
      <c r="B86" s="96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98"/>
      <c r="R86" s="96"/>
      <c r="V86" s="98"/>
      <c r="W86" s="98"/>
    </row>
    <row r="87">
      <c r="A87" s="96"/>
      <c r="B87" s="96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98"/>
      <c r="R87" s="96"/>
      <c r="V87" s="98"/>
      <c r="W87" s="98"/>
    </row>
    <row r="88">
      <c r="A88" s="96"/>
      <c r="B88" s="96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98"/>
      <c r="R88" s="96"/>
      <c r="V88" s="98"/>
      <c r="W88" s="98"/>
    </row>
    <row r="89">
      <c r="A89" s="96"/>
      <c r="B89" s="96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98"/>
      <c r="R89" s="96"/>
      <c r="V89" s="98"/>
      <c r="W89" s="98"/>
    </row>
    <row r="90">
      <c r="A90" s="96"/>
      <c r="B90" s="96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98"/>
      <c r="R90" s="96"/>
      <c r="V90" s="98"/>
      <c r="W90" s="98"/>
    </row>
    <row r="91">
      <c r="A91" s="96"/>
      <c r="B91" s="96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98"/>
      <c r="R91" s="96"/>
      <c r="V91" s="98"/>
      <c r="W91" s="98"/>
    </row>
    <row r="92">
      <c r="A92" s="96"/>
      <c r="B92" s="96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98"/>
      <c r="R92" s="96"/>
      <c r="V92" s="98"/>
      <c r="W92" s="98"/>
    </row>
    <row r="93">
      <c r="A93" s="96"/>
      <c r="B93" s="96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98"/>
      <c r="R93" s="96"/>
      <c r="V93" s="98"/>
      <c r="W93" s="98"/>
    </row>
    <row r="94">
      <c r="A94" s="96"/>
      <c r="B94" s="96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98"/>
      <c r="R94" s="96"/>
      <c r="V94" s="98"/>
      <c r="W94" s="98"/>
    </row>
    <row r="95">
      <c r="A95" s="96"/>
      <c r="B95" s="96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98"/>
      <c r="R95" s="96"/>
      <c r="V95" s="98"/>
      <c r="W95" s="98"/>
    </row>
    <row r="96">
      <c r="A96" s="96"/>
      <c r="B96" s="96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98"/>
      <c r="R96" s="96"/>
      <c r="V96" s="98"/>
      <c r="W96" s="98"/>
    </row>
    <row r="97">
      <c r="A97" s="96"/>
      <c r="B97" s="96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98"/>
      <c r="R97" s="96"/>
      <c r="V97" s="98"/>
      <c r="W97" s="98"/>
    </row>
    <row r="98">
      <c r="A98" s="96"/>
      <c r="B98" s="96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98"/>
      <c r="R98" s="96"/>
      <c r="V98" s="98"/>
      <c r="W98" s="98"/>
    </row>
    <row r="99">
      <c r="A99" s="96"/>
      <c r="B99" s="96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98"/>
      <c r="R99" s="96"/>
      <c r="V99" s="98"/>
      <c r="W99" s="98"/>
    </row>
    <row r="100">
      <c r="A100" s="96"/>
      <c r="B100" s="96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98"/>
      <c r="R100" s="96"/>
      <c r="V100" s="98"/>
      <c r="W100" s="98"/>
    </row>
    <row r="101">
      <c r="A101" s="96"/>
      <c r="B101" s="96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98"/>
      <c r="R101" s="96"/>
      <c r="V101" s="98"/>
      <c r="W101" s="98"/>
    </row>
    <row r="102">
      <c r="A102" s="96"/>
      <c r="B102" s="96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98"/>
      <c r="R102" s="96"/>
      <c r="V102" s="98"/>
      <c r="W102" s="98"/>
    </row>
    <row r="103">
      <c r="A103" s="96"/>
      <c r="B103" s="96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98"/>
      <c r="R103" s="96"/>
      <c r="V103" s="98"/>
      <c r="W103" s="98"/>
    </row>
    <row r="104">
      <c r="A104" s="96"/>
      <c r="B104" s="96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98"/>
      <c r="R104" s="96"/>
      <c r="V104" s="98"/>
      <c r="W104" s="98"/>
    </row>
    <row r="105">
      <c r="A105" s="96"/>
      <c r="B105" s="96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98"/>
      <c r="R105" s="96"/>
      <c r="V105" s="98"/>
      <c r="W105" s="98"/>
    </row>
    <row r="106">
      <c r="A106" s="96"/>
      <c r="B106" s="96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98"/>
      <c r="R106" s="96"/>
      <c r="V106" s="98"/>
      <c r="W106" s="98"/>
    </row>
    <row r="107">
      <c r="A107" s="96"/>
      <c r="B107" s="96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98"/>
      <c r="R107" s="96"/>
      <c r="V107" s="98"/>
      <c r="W107" s="98"/>
    </row>
    <row r="108">
      <c r="A108" s="96"/>
      <c r="B108" s="96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98"/>
      <c r="R108" s="96"/>
      <c r="V108" s="98"/>
      <c r="W108" s="98"/>
    </row>
    <row r="109">
      <c r="A109" s="96"/>
      <c r="B109" s="96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98"/>
      <c r="R109" s="96"/>
      <c r="V109" s="98"/>
      <c r="W109" s="98"/>
    </row>
    <row r="110">
      <c r="A110" s="96"/>
      <c r="B110" s="96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98"/>
      <c r="R110" s="96"/>
      <c r="V110" s="98"/>
      <c r="W110" s="98"/>
    </row>
    <row r="111">
      <c r="A111" s="96"/>
      <c r="B111" s="96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98"/>
      <c r="R111" s="96"/>
      <c r="V111" s="98"/>
      <c r="W111" s="98"/>
    </row>
    <row r="112">
      <c r="A112" s="96"/>
      <c r="B112" s="96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98"/>
      <c r="R112" s="96"/>
      <c r="V112" s="98"/>
      <c r="W112" s="98"/>
    </row>
    <row r="113">
      <c r="A113" s="96"/>
      <c r="B113" s="96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98"/>
      <c r="R113" s="96"/>
      <c r="V113" s="98"/>
      <c r="W113" s="98"/>
    </row>
    <row r="114">
      <c r="A114" s="96"/>
      <c r="B114" s="96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98"/>
      <c r="R114" s="96"/>
      <c r="V114" s="98"/>
      <c r="W114" s="98"/>
    </row>
    <row r="115">
      <c r="A115" s="96"/>
      <c r="B115" s="96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98"/>
      <c r="R115" s="96"/>
      <c r="V115" s="98"/>
      <c r="W115" s="98"/>
    </row>
    <row r="116">
      <c r="A116" s="96"/>
      <c r="B116" s="96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98"/>
      <c r="R116" s="96"/>
      <c r="V116" s="98"/>
      <c r="W116" s="98"/>
    </row>
    <row r="117">
      <c r="A117" s="96"/>
      <c r="B117" s="96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98"/>
      <c r="R117" s="96"/>
      <c r="V117" s="98"/>
      <c r="W117" s="98"/>
    </row>
    <row r="118">
      <c r="A118" s="96"/>
      <c r="B118" s="96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98"/>
      <c r="R118" s="96"/>
      <c r="V118" s="98"/>
      <c r="W118" s="98"/>
    </row>
    <row r="119">
      <c r="A119" s="96"/>
      <c r="B119" s="96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98"/>
      <c r="R119" s="96"/>
      <c r="V119" s="98"/>
      <c r="W119" s="98"/>
    </row>
    <row r="120">
      <c r="A120" s="96"/>
      <c r="B120" s="96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98"/>
      <c r="R120" s="96"/>
      <c r="V120" s="98"/>
      <c r="W120" s="98"/>
    </row>
    <row r="121">
      <c r="A121" s="96"/>
      <c r="B121" s="96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98"/>
      <c r="R121" s="96"/>
      <c r="V121" s="98"/>
      <c r="W121" s="98"/>
    </row>
    <row r="122">
      <c r="A122" s="96"/>
      <c r="B122" s="96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98"/>
      <c r="R122" s="96"/>
      <c r="V122" s="98"/>
      <c r="W122" s="98"/>
    </row>
    <row r="123">
      <c r="A123" s="96"/>
      <c r="B123" s="96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98"/>
      <c r="R123" s="96"/>
      <c r="V123" s="98"/>
      <c r="W123" s="98"/>
    </row>
    <row r="124">
      <c r="A124" s="96"/>
      <c r="B124" s="96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98"/>
      <c r="R124" s="96"/>
      <c r="V124" s="98"/>
      <c r="W124" s="98"/>
    </row>
    <row r="125">
      <c r="A125" s="96"/>
      <c r="B125" s="96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98"/>
      <c r="R125" s="96"/>
      <c r="V125" s="98"/>
      <c r="W125" s="98"/>
    </row>
    <row r="126">
      <c r="A126" s="96"/>
      <c r="B126" s="96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98"/>
      <c r="R126" s="96"/>
      <c r="V126" s="98"/>
      <c r="W126" s="98"/>
    </row>
    <row r="127">
      <c r="A127" s="96"/>
      <c r="B127" s="96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98"/>
      <c r="R127" s="96"/>
      <c r="V127" s="98"/>
      <c r="W127" s="98"/>
    </row>
    <row r="128">
      <c r="A128" s="96"/>
      <c r="B128" s="96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98"/>
      <c r="R128" s="96"/>
      <c r="V128" s="98"/>
      <c r="W128" s="98"/>
    </row>
    <row r="129">
      <c r="A129" s="96"/>
      <c r="B129" s="96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98"/>
      <c r="R129" s="96"/>
      <c r="V129" s="98"/>
      <c r="W129" s="98"/>
    </row>
    <row r="130">
      <c r="A130" s="96"/>
      <c r="B130" s="96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98"/>
      <c r="R130" s="96"/>
      <c r="V130" s="98"/>
      <c r="W130" s="98"/>
    </row>
    <row r="131">
      <c r="A131" s="96"/>
      <c r="B131" s="96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98"/>
      <c r="R131" s="96"/>
      <c r="V131" s="98"/>
      <c r="W131" s="98"/>
    </row>
    <row r="132">
      <c r="A132" s="96"/>
      <c r="B132" s="96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98"/>
      <c r="R132" s="96"/>
      <c r="V132" s="98"/>
      <c r="W132" s="98"/>
    </row>
    <row r="133">
      <c r="A133" s="96"/>
      <c r="B133" s="96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98"/>
      <c r="R133" s="96"/>
      <c r="V133" s="98"/>
      <c r="W133" s="98"/>
    </row>
    <row r="134">
      <c r="A134" s="96"/>
      <c r="B134" s="96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98"/>
      <c r="R134" s="96"/>
      <c r="V134" s="98"/>
      <c r="W134" s="98"/>
    </row>
    <row r="135">
      <c r="A135" s="96"/>
      <c r="B135" s="96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98"/>
      <c r="R135" s="96"/>
      <c r="V135" s="98"/>
      <c r="W135" s="98"/>
    </row>
    <row r="136">
      <c r="A136" s="96"/>
      <c r="B136" s="96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98"/>
      <c r="R136" s="96"/>
      <c r="V136" s="98"/>
      <c r="W136" s="98"/>
    </row>
    <row r="137">
      <c r="A137" s="96"/>
      <c r="B137" s="96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98"/>
      <c r="R137" s="96"/>
      <c r="V137" s="98"/>
      <c r="W137" s="98"/>
    </row>
    <row r="138">
      <c r="A138" s="96"/>
      <c r="B138" s="96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98"/>
      <c r="R138" s="96"/>
      <c r="V138" s="98"/>
      <c r="W138" s="98"/>
    </row>
    <row r="139">
      <c r="A139" s="96"/>
      <c r="B139" s="96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98"/>
      <c r="R139" s="96"/>
      <c r="V139" s="98"/>
      <c r="W139" s="98"/>
    </row>
    <row r="140">
      <c r="A140" s="96"/>
      <c r="B140" s="96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98"/>
      <c r="R140" s="96"/>
      <c r="V140" s="98"/>
      <c r="W140" s="98"/>
    </row>
    <row r="141">
      <c r="A141" s="96"/>
      <c r="B141" s="96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98"/>
      <c r="R141" s="96"/>
      <c r="V141" s="98"/>
      <c r="W141" s="98"/>
    </row>
    <row r="142">
      <c r="A142" s="96"/>
      <c r="B142" s="96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98"/>
      <c r="R142" s="96"/>
      <c r="V142" s="98"/>
      <c r="W142" s="98"/>
    </row>
    <row r="143">
      <c r="A143" s="96"/>
      <c r="B143" s="96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98"/>
      <c r="R143" s="96"/>
      <c r="V143" s="98"/>
      <c r="W143" s="98"/>
    </row>
    <row r="144">
      <c r="A144" s="96"/>
      <c r="B144" s="96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98"/>
      <c r="R144" s="96"/>
      <c r="V144" s="98"/>
      <c r="W144" s="98"/>
    </row>
    <row r="145">
      <c r="A145" s="96"/>
      <c r="B145" s="96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98"/>
      <c r="R145" s="96"/>
      <c r="V145" s="98"/>
      <c r="W145" s="98"/>
    </row>
    <row r="146">
      <c r="A146" s="96"/>
      <c r="B146" s="96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98"/>
      <c r="R146" s="96"/>
      <c r="V146" s="98"/>
      <c r="W146" s="98"/>
    </row>
    <row r="147">
      <c r="A147" s="96"/>
      <c r="B147" s="96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98"/>
      <c r="R147" s="96"/>
      <c r="V147" s="98"/>
      <c r="W147" s="98"/>
    </row>
    <row r="148">
      <c r="A148" s="96"/>
      <c r="B148" s="96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98"/>
      <c r="R148" s="96"/>
      <c r="V148" s="98"/>
      <c r="W148" s="98"/>
    </row>
    <row r="149">
      <c r="A149" s="96"/>
      <c r="B149" s="96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98"/>
      <c r="R149" s="96"/>
      <c r="V149" s="98"/>
      <c r="W149" s="98"/>
    </row>
    <row r="150">
      <c r="A150" s="96"/>
      <c r="B150" s="96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98"/>
      <c r="R150" s="96"/>
      <c r="V150" s="98"/>
      <c r="W150" s="98"/>
    </row>
    <row r="151">
      <c r="A151" s="96"/>
      <c r="B151" s="96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98"/>
      <c r="R151" s="96"/>
      <c r="V151" s="98"/>
      <c r="W151" s="98"/>
    </row>
    <row r="152">
      <c r="A152" s="96"/>
      <c r="B152" s="96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98"/>
      <c r="R152" s="96"/>
      <c r="V152" s="98"/>
      <c r="W152" s="98"/>
    </row>
    <row r="153">
      <c r="A153" s="96"/>
      <c r="B153" s="96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98"/>
      <c r="R153" s="96"/>
      <c r="V153" s="98"/>
      <c r="W153" s="98"/>
    </row>
    <row r="154">
      <c r="A154" s="96"/>
      <c r="B154" s="96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98"/>
      <c r="R154" s="96"/>
      <c r="V154" s="98"/>
      <c r="W154" s="98"/>
    </row>
    <row r="155">
      <c r="A155" s="96"/>
      <c r="B155" s="96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98"/>
      <c r="R155" s="96"/>
      <c r="V155" s="98"/>
      <c r="W155" s="98"/>
    </row>
    <row r="156">
      <c r="A156" s="96"/>
      <c r="B156" s="96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98"/>
      <c r="R156" s="96"/>
      <c r="V156" s="98"/>
      <c r="W156" s="98"/>
    </row>
    <row r="157">
      <c r="A157" s="96"/>
      <c r="B157" s="96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98"/>
      <c r="R157" s="96"/>
      <c r="V157" s="98"/>
      <c r="W157" s="98"/>
    </row>
    <row r="158">
      <c r="A158" s="96"/>
      <c r="B158" s="96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98"/>
      <c r="R158" s="96"/>
      <c r="V158" s="98"/>
      <c r="W158" s="98"/>
    </row>
    <row r="159">
      <c r="A159" s="96"/>
      <c r="B159" s="96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98"/>
      <c r="R159" s="96"/>
      <c r="V159" s="98"/>
      <c r="W159" s="98"/>
    </row>
    <row r="160">
      <c r="A160" s="96"/>
      <c r="B160" s="96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98"/>
      <c r="R160" s="96"/>
      <c r="V160" s="98"/>
      <c r="W160" s="98"/>
    </row>
    <row r="161">
      <c r="A161" s="96"/>
      <c r="B161" s="96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98"/>
      <c r="R161" s="96"/>
      <c r="V161" s="98"/>
      <c r="W161" s="98"/>
    </row>
    <row r="162">
      <c r="A162" s="96"/>
      <c r="B162" s="96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98"/>
      <c r="R162" s="96"/>
      <c r="V162" s="98"/>
      <c r="W162" s="98"/>
    </row>
    <row r="163">
      <c r="A163" s="96"/>
      <c r="B163" s="96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98"/>
      <c r="R163" s="96"/>
      <c r="V163" s="98"/>
      <c r="W163" s="98"/>
    </row>
    <row r="164">
      <c r="A164" s="96"/>
      <c r="B164" s="96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98"/>
      <c r="R164" s="96"/>
      <c r="V164" s="98"/>
      <c r="W164" s="98"/>
    </row>
    <row r="165">
      <c r="A165" s="96"/>
      <c r="B165" s="96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98"/>
      <c r="R165" s="96"/>
      <c r="V165" s="98"/>
      <c r="W165" s="98"/>
    </row>
    <row r="166">
      <c r="A166" s="96"/>
      <c r="B166" s="96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98"/>
      <c r="R166" s="96"/>
      <c r="V166" s="98"/>
      <c r="W166" s="98"/>
    </row>
    <row r="167">
      <c r="A167" s="96"/>
      <c r="B167" s="96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98"/>
      <c r="R167" s="96"/>
      <c r="V167" s="98"/>
      <c r="W167" s="98"/>
    </row>
    <row r="168">
      <c r="A168" s="96"/>
      <c r="B168" s="96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98"/>
      <c r="R168" s="96"/>
      <c r="V168" s="98"/>
      <c r="W168" s="98"/>
    </row>
    <row r="169">
      <c r="A169" s="96"/>
      <c r="B169" s="96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98"/>
      <c r="R169" s="96"/>
      <c r="V169" s="98"/>
      <c r="W169" s="98"/>
    </row>
    <row r="170">
      <c r="A170" s="96"/>
      <c r="B170" s="96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98"/>
      <c r="R170" s="96"/>
      <c r="V170" s="98"/>
      <c r="W170" s="98"/>
    </row>
    <row r="171">
      <c r="A171" s="96"/>
      <c r="B171" s="96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98"/>
      <c r="R171" s="96"/>
      <c r="V171" s="98"/>
      <c r="W171" s="98"/>
    </row>
    <row r="172">
      <c r="A172" s="96"/>
      <c r="B172" s="96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98"/>
      <c r="R172" s="96"/>
      <c r="V172" s="98"/>
      <c r="W172" s="98"/>
    </row>
    <row r="173">
      <c r="A173" s="96"/>
      <c r="B173" s="96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98"/>
      <c r="R173" s="96"/>
      <c r="V173" s="98"/>
      <c r="W173" s="98"/>
    </row>
    <row r="174">
      <c r="A174" s="96"/>
      <c r="B174" s="96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98"/>
      <c r="R174" s="96"/>
      <c r="V174" s="98"/>
      <c r="W174" s="98"/>
    </row>
    <row r="175">
      <c r="A175" s="96"/>
      <c r="B175" s="96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98"/>
      <c r="R175" s="96"/>
      <c r="V175" s="98"/>
      <c r="W175" s="98"/>
    </row>
    <row r="176">
      <c r="A176" s="96"/>
      <c r="B176" s="96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98"/>
      <c r="R176" s="96"/>
      <c r="V176" s="98"/>
      <c r="W176" s="98"/>
    </row>
    <row r="177">
      <c r="A177" s="96"/>
      <c r="B177" s="96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98"/>
      <c r="R177" s="96"/>
      <c r="V177" s="98"/>
      <c r="W177" s="98"/>
    </row>
    <row r="178">
      <c r="A178" s="96"/>
      <c r="B178" s="96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98"/>
      <c r="R178" s="96"/>
      <c r="V178" s="98"/>
      <c r="W178" s="98"/>
    </row>
    <row r="179">
      <c r="A179" s="96"/>
      <c r="B179" s="96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98"/>
      <c r="R179" s="96"/>
      <c r="V179" s="98"/>
      <c r="W179" s="98"/>
    </row>
    <row r="180">
      <c r="A180" s="96"/>
      <c r="B180" s="96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98"/>
      <c r="R180" s="96"/>
      <c r="V180" s="98"/>
      <c r="W180" s="98"/>
    </row>
    <row r="181">
      <c r="A181" s="96"/>
      <c r="B181" s="96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98"/>
      <c r="R181" s="96"/>
      <c r="V181" s="98"/>
      <c r="W181" s="98"/>
    </row>
    <row r="182">
      <c r="A182" s="96"/>
      <c r="B182" s="96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98"/>
      <c r="R182" s="96"/>
      <c r="V182" s="98"/>
      <c r="W182" s="98"/>
    </row>
    <row r="183">
      <c r="A183" s="96"/>
      <c r="B183" s="96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98"/>
      <c r="R183" s="96"/>
      <c r="V183" s="98"/>
      <c r="W183" s="98"/>
    </row>
    <row r="184">
      <c r="A184" s="96"/>
      <c r="B184" s="96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98"/>
      <c r="R184" s="96"/>
      <c r="V184" s="98"/>
      <c r="W184" s="98"/>
    </row>
    <row r="185">
      <c r="A185" s="96"/>
      <c r="B185" s="96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98"/>
      <c r="R185" s="96"/>
      <c r="V185" s="98"/>
      <c r="W185" s="98"/>
    </row>
    <row r="186">
      <c r="A186" s="96"/>
      <c r="B186" s="96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98"/>
      <c r="R186" s="96"/>
      <c r="V186" s="98"/>
      <c r="W186" s="98"/>
    </row>
    <row r="187">
      <c r="A187" s="96"/>
      <c r="B187" s="96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98"/>
      <c r="R187" s="96"/>
      <c r="V187" s="98"/>
      <c r="W187" s="98"/>
    </row>
    <row r="188">
      <c r="A188" s="96"/>
      <c r="B188" s="96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98"/>
      <c r="R188" s="96"/>
      <c r="V188" s="98"/>
      <c r="W188" s="98"/>
    </row>
    <row r="189">
      <c r="A189" s="96"/>
      <c r="B189" s="96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98"/>
      <c r="R189" s="96"/>
      <c r="V189" s="98"/>
      <c r="W189" s="98"/>
    </row>
    <row r="190">
      <c r="A190" s="96"/>
      <c r="B190" s="96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98"/>
      <c r="R190" s="96"/>
      <c r="V190" s="98"/>
      <c r="W190" s="98"/>
    </row>
    <row r="191">
      <c r="A191" s="96"/>
      <c r="B191" s="96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98"/>
      <c r="R191" s="96"/>
      <c r="V191" s="98"/>
      <c r="W191" s="98"/>
    </row>
    <row r="192">
      <c r="A192" s="96"/>
      <c r="B192" s="96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98"/>
      <c r="R192" s="96"/>
      <c r="V192" s="98"/>
      <c r="W192" s="98"/>
    </row>
    <row r="193">
      <c r="A193" s="96"/>
      <c r="B193" s="96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98"/>
      <c r="R193" s="96"/>
      <c r="V193" s="98"/>
      <c r="W193" s="98"/>
    </row>
    <row r="194">
      <c r="A194" s="96"/>
      <c r="B194" s="96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98"/>
      <c r="R194" s="96"/>
      <c r="V194" s="98"/>
      <c r="W194" s="98"/>
    </row>
    <row r="195">
      <c r="A195" s="96"/>
      <c r="B195" s="96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98"/>
      <c r="R195" s="96"/>
      <c r="V195" s="98"/>
      <c r="W195" s="98"/>
    </row>
    <row r="196">
      <c r="A196" s="96"/>
      <c r="B196" s="96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98"/>
      <c r="R196" s="96"/>
      <c r="V196" s="98"/>
      <c r="W196" s="98"/>
    </row>
    <row r="197">
      <c r="A197" s="96"/>
      <c r="B197" s="96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98"/>
      <c r="R197" s="96"/>
      <c r="V197" s="98"/>
      <c r="W197" s="98"/>
    </row>
    <row r="198">
      <c r="A198" s="96"/>
      <c r="B198" s="96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98"/>
      <c r="R198" s="96"/>
      <c r="V198" s="98"/>
      <c r="W198" s="98"/>
    </row>
    <row r="199">
      <c r="A199" s="96"/>
      <c r="B199" s="96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98"/>
      <c r="R199" s="96"/>
      <c r="V199" s="98"/>
      <c r="W199" s="98"/>
    </row>
    <row r="200">
      <c r="A200" s="96"/>
      <c r="B200" s="96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98"/>
      <c r="R200" s="96"/>
      <c r="V200" s="98"/>
      <c r="W200" s="98"/>
    </row>
    <row r="201">
      <c r="A201" s="96"/>
      <c r="B201" s="96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98"/>
      <c r="R201" s="96"/>
      <c r="V201" s="98"/>
      <c r="W201" s="98"/>
    </row>
    <row r="202">
      <c r="A202" s="96"/>
      <c r="B202" s="96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98"/>
      <c r="R202" s="96"/>
      <c r="V202" s="98"/>
      <c r="W202" s="98"/>
    </row>
    <row r="203">
      <c r="A203" s="96"/>
      <c r="B203" s="96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98"/>
      <c r="R203" s="96"/>
      <c r="V203" s="98"/>
      <c r="W203" s="98"/>
    </row>
    <row r="204">
      <c r="A204" s="96"/>
      <c r="B204" s="96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98"/>
      <c r="R204" s="96"/>
      <c r="V204" s="98"/>
      <c r="W204" s="98"/>
    </row>
    <row r="205">
      <c r="A205" s="96"/>
      <c r="B205" s="96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98"/>
      <c r="R205" s="96"/>
      <c r="V205" s="98"/>
      <c r="W205" s="98"/>
    </row>
    <row r="206">
      <c r="A206" s="96"/>
      <c r="B206" s="96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98"/>
      <c r="R206" s="96"/>
      <c r="V206" s="98"/>
      <c r="W206" s="98"/>
    </row>
    <row r="207">
      <c r="A207" s="96"/>
      <c r="B207" s="96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98"/>
      <c r="R207" s="96"/>
      <c r="V207" s="98"/>
      <c r="W207" s="98"/>
    </row>
    <row r="208">
      <c r="A208" s="96"/>
      <c r="B208" s="96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98"/>
      <c r="R208" s="96"/>
      <c r="V208" s="98"/>
      <c r="W208" s="98"/>
    </row>
    <row r="209">
      <c r="A209" s="96"/>
      <c r="B209" s="96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98"/>
      <c r="R209" s="96"/>
      <c r="V209" s="98"/>
      <c r="W209" s="98"/>
    </row>
    <row r="210">
      <c r="A210" s="96"/>
      <c r="B210" s="96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98"/>
      <c r="R210" s="96"/>
      <c r="V210" s="98"/>
      <c r="W210" s="98"/>
    </row>
    <row r="211">
      <c r="A211" s="96"/>
      <c r="B211" s="96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98"/>
      <c r="R211" s="96"/>
      <c r="V211" s="98"/>
      <c r="W211" s="98"/>
    </row>
    <row r="212">
      <c r="A212" s="96"/>
      <c r="B212" s="96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98"/>
      <c r="R212" s="96"/>
      <c r="V212" s="98"/>
      <c r="W212" s="98"/>
    </row>
    <row r="213">
      <c r="A213" s="96"/>
      <c r="B213" s="96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98"/>
      <c r="R213" s="96"/>
      <c r="V213" s="98"/>
      <c r="W213" s="98"/>
    </row>
    <row r="214">
      <c r="A214" s="96"/>
      <c r="B214" s="96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98"/>
      <c r="R214" s="96"/>
      <c r="V214" s="98"/>
      <c r="W214" s="98"/>
    </row>
    <row r="215">
      <c r="A215" s="96"/>
      <c r="B215" s="96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98"/>
      <c r="R215" s="96"/>
      <c r="V215" s="98"/>
      <c r="W215" s="98"/>
    </row>
    <row r="216">
      <c r="A216" s="96"/>
      <c r="B216" s="96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98"/>
      <c r="R216" s="96"/>
      <c r="V216" s="98"/>
      <c r="W216" s="98"/>
    </row>
    <row r="217">
      <c r="A217" s="96"/>
      <c r="B217" s="96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98"/>
      <c r="R217" s="96"/>
      <c r="V217" s="98"/>
      <c r="W217" s="98"/>
    </row>
    <row r="218">
      <c r="A218" s="96"/>
      <c r="B218" s="96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98"/>
      <c r="R218" s="96"/>
      <c r="V218" s="98"/>
      <c r="W218" s="98"/>
    </row>
    <row r="219">
      <c r="A219" s="96"/>
      <c r="B219" s="96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98"/>
      <c r="R219" s="96"/>
      <c r="V219" s="98"/>
      <c r="W219" s="98"/>
    </row>
    <row r="220">
      <c r="A220" s="96"/>
      <c r="B220" s="96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98"/>
      <c r="R220" s="96"/>
      <c r="V220" s="98"/>
      <c r="W220" s="98"/>
    </row>
    <row r="221">
      <c r="A221" s="96"/>
      <c r="B221" s="96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98"/>
      <c r="R221" s="96"/>
      <c r="V221" s="98"/>
      <c r="W221" s="98"/>
    </row>
    <row r="222">
      <c r="A222" s="96"/>
      <c r="B222" s="96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98"/>
      <c r="R222" s="96"/>
      <c r="V222" s="98"/>
      <c r="W222" s="98"/>
    </row>
    <row r="223">
      <c r="A223" s="96"/>
      <c r="B223" s="96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98"/>
      <c r="R223" s="96"/>
      <c r="V223" s="98"/>
      <c r="W223" s="98"/>
    </row>
    <row r="224">
      <c r="A224" s="96"/>
      <c r="B224" s="96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98"/>
      <c r="R224" s="96"/>
      <c r="V224" s="98"/>
      <c r="W224" s="98"/>
    </row>
    <row r="225">
      <c r="A225" s="96"/>
      <c r="B225" s="96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98"/>
      <c r="R225" s="96"/>
      <c r="V225" s="98"/>
      <c r="W225" s="98"/>
    </row>
    <row r="226">
      <c r="A226" s="96"/>
      <c r="B226" s="96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98"/>
      <c r="R226" s="96"/>
      <c r="V226" s="98"/>
      <c r="W226" s="98"/>
    </row>
    <row r="227">
      <c r="A227" s="96"/>
      <c r="B227" s="96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98"/>
      <c r="R227" s="96"/>
      <c r="V227" s="98"/>
      <c r="W227" s="98"/>
    </row>
    <row r="228">
      <c r="A228" s="96"/>
      <c r="B228" s="96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98"/>
      <c r="R228" s="96"/>
      <c r="V228" s="98"/>
      <c r="W228" s="98"/>
    </row>
    <row r="229">
      <c r="A229" s="96"/>
      <c r="B229" s="96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98"/>
      <c r="R229" s="96"/>
      <c r="V229" s="98"/>
      <c r="W229" s="98"/>
    </row>
    <row r="230">
      <c r="A230" s="96"/>
      <c r="B230" s="96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98"/>
      <c r="R230" s="96"/>
      <c r="V230" s="98"/>
      <c r="W230" s="98"/>
    </row>
    <row r="231">
      <c r="A231" s="96"/>
      <c r="B231" s="96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98"/>
      <c r="R231" s="96"/>
      <c r="V231" s="98"/>
      <c r="W231" s="98"/>
    </row>
    <row r="232">
      <c r="A232" s="96"/>
      <c r="B232" s="96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98"/>
      <c r="R232" s="96"/>
      <c r="V232" s="98"/>
      <c r="W232" s="98"/>
    </row>
    <row r="233">
      <c r="A233" s="96"/>
      <c r="B233" s="96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98"/>
      <c r="R233" s="96"/>
      <c r="V233" s="98"/>
      <c r="W233" s="98"/>
    </row>
    <row r="234">
      <c r="A234" s="96"/>
      <c r="B234" s="96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98"/>
      <c r="R234" s="96"/>
      <c r="V234" s="98"/>
      <c r="W234" s="98"/>
    </row>
    <row r="235">
      <c r="A235" s="96"/>
      <c r="B235" s="96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98"/>
      <c r="R235" s="96"/>
      <c r="V235" s="98"/>
      <c r="W235" s="98"/>
    </row>
    <row r="236">
      <c r="A236" s="96"/>
      <c r="B236" s="96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98"/>
      <c r="R236" s="96"/>
      <c r="V236" s="98"/>
      <c r="W236" s="98"/>
    </row>
    <row r="237">
      <c r="A237" s="96"/>
      <c r="B237" s="96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98"/>
      <c r="R237" s="96"/>
      <c r="V237" s="98"/>
      <c r="W237" s="98"/>
    </row>
    <row r="238">
      <c r="A238" s="96"/>
      <c r="B238" s="96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98"/>
      <c r="R238" s="96"/>
      <c r="V238" s="98"/>
      <c r="W238" s="98"/>
    </row>
    <row r="239">
      <c r="A239" s="96"/>
      <c r="B239" s="96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98"/>
      <c r="R239" s="96"/>
      <c r="V239" s="98"/>
      <c r="W239" s="98"/>
    </row>
    <row r="240">
      <c r="A240" s="96"/>
      <c r="B240" s="96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98"/>
      <c r="R240" s="96"/>
      <c r="V240" s="98"/>
      <c r="W240" s="98"/>
    </row>
    <row r="241">
      <c r="A241" s="96"/>
      <c r="B241" s="96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98"/>
      <c r="R241" s="96"/>
      <c r="V241" s="98"/>
      <c r="W241" s="98"/>
    </row>
    <row r="242">
      <c r="A242" s="96"/>
      <c r="B242" s="96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98"/>
      <c r="R242" s="96"/>
      <c r="V242" s="98"/>
      <c r="W242" s="98"/>
    </row>
    <row r="243">
      <c r="A243" s="96"/>
      <c r="B243" s="96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98"/>
      <c r="R243" s="96"/>
      <c r="V243" s="98"/>
      <c r="W243" s="98"/>
    </row>
    <row r="244">
      <c r="A244" s="96"/>
      <c r="B244" s="96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98"/>
      <c r="R244" s="96"/>
      <c r="V244" s="98"/>
      <c r="W244" s="98"/>
    </row>
    <row r="245">
      <c r="A245" s="96"/>
      <c r="B245" s="96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98"/>
      <c r="R245" s="96"/>
      <c r="V245" s="98"/>
      <c r="W245" s="98"/>
    </row>
    <row r="246">
      <c r="A246" s="96"/>
      <c r="B246" s="96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98"/>
      <c r="R246" s="96"/>
      <c r="V246" s="98"/>
      <c r="W246" s="98"/>
    </row>
    <row r="247">
      <c r="A247" s="96"/>
      <c r="B247" s="96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98"/>
      <c r="R247" s="96"/>
      <c r="V247" s="98"/>
      <c r="W247" s="98"/>
    </row>
    <row r="248">
      <c r="A248" s="96"/>
      <c r="B248" s="96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98"/>
      <c r="R248" s="96"/>
      <c r="V248" s="98"/>
      <c r="W248" s="98"/>
    </row>
    <row r="249">
      <c r="A249" s="96"/>
      <c r="B249" s="96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98"/>
      <c r="R249" s="96"/>
      <c r="V249" s="98"/>
      <c r="W249" s="98"/>
    </row>
    <row r="250">
      <c r="A250" s="96"/>
      <c r="B250" s="96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98"/>
      <c r="R250" s="96"/>
      <c r="V250" s="98"/>
      <c r="W250" s="98"/>
    </row>
    <row r="251">
      <c r="A251" s="96"/>
      <c r="B251" s="96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98"/>
      <c r="R251" s="96"/>
      <c r="V251" s="98"/>
      <c r="W251" s="98"/>
    </row>
    <row r="252">
      <c r="A252" s="96"/>
      <c r="B252" s="96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98"/>
      <c r="R252" s="96"/>
      <c r="V252" s="98"/>
      <c r="W252" s="98"/>
    </row>
    <row r="253">
      <c r="A253" s="96"/>
      <c r="B253" s="96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98"/>
      <c r="R253" s="96"/>
      <c r="V253" s="98"/>
      <c r="W253" s="98"/>
    </row>
    <row r="254">
      <c r="A254" s="96"/>
      <c r="B254" s="96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98"/>
      <c r="R254" s="96"/>
      <c r="V254" s="98"/>
      <c r="W254" s="98"/>
    </row>
    <row r="255">
      <c r="A255" s="96"/>
      <c r="B255" s="96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98"/>
      <c r="R255" s="96"/>
      <c r="V255" s="98"/>
      <c r="W255" s="98"/>
    </row>
    <row r="256">
      <c r="A256" s="96"/>
      <c r="B256" s="96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98"/>
      <c r="R256" s="96"/>
      <c r="V256" s="98"/>
      <c r="W256" s="98"/>
    </row>
    <row r="257">
      <c r="A257" s="96"/>
      <c r="B257" s="96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98"/>
      <c r="R257" s="96"/>
      <c r="V257" s="98"/>
      <c r="W257" s="98"/>
    </row>
    <row r="258">
      <c r="A258" s="96"/>
      <c r="B258" s="96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98"/>
      <c r="R258" s="96"/>
      <c r="V258" s="98"/>
      <c r="W258" s="98"/>
    </row>
    <row r="259">
      <c r="A259" s="96"/>
      <c r="B259" s="96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98"/>
      <c r="R259" s="96"/>
      <c r="V259" s="98"/>
      <c r="W259" s="98"/>
    </row>
    <row r="260">
      <c r="A260" s="96"/>
      <c r="B260" s="96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98"/>
      <c r="R260" s="96"/>
      <c r="V260" s="98"/>
      <c r="W260" s="98"/>
    </row>
    <row r="261">
      <c r="A261" s="96"/>
      <c r="B261" s="96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98"/>
      <c r="R261" s="96"/>
      <c r="V261" s="98"/>
      <c r="W261" s="98"/>
    </row>
    <row r="262">
      <c r="A262" s="96"/>
      <c r="B262" s="96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98"/>
      <c r="R262" s="96"/>
      <c r="V262" s="98"/>
      <c r="W262" s="98"/>
    </row>
    <row r="263">
      <c r="A263" s="96"/>
      <c r="B263" s="96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98"/>
      <c r="R263" s="96"/>
      <c r="V263" s="98"/>
      <c r="W263" s="98"/>
    </row>
    <row r="264">
      <c r="A264" s="96"/>
      <c r="B264" s="96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98"/>
      <c r="R264" s="96"/>
      <c r="V264" s="98"/>
      <c r="W264" s="98"/>
    </row>
    <row r="265">
      <c r="A265" s="96"/>
      <c r="B265" s="96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98"/>
      <c r="R265" s="96"/>
      <c r="V265" s="98"/>
      <c r="W265" s="98"/>
    </row>
    <row r="266">
      <c r="A266" s="96"/>
      <c r="B266" s="96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98"/>
      <c r="R266" s="96"/>
      <c r="V266" s="98"/>
      <c r="W266" s="98"/>
    </row>
    <row r="267">
      <c r="A267" s="96"/>
      <c r="B267" s="96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98"/>
      <c r="R267" s="96"/>
      <c r="V267" s="98"/>
      <c r="W267" s="98"/>
    </row>
    <row r="268">
      <c r="A268" s="96"/>
      <c r="B268" s="96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98"/>
      <c r="R268" s="96"/>
      <c r="V268" s="98"/>
      <c r="W268" s="98"/>
    </row>
    <row r="269">
      <c r="A269" s="96"/>
      <c r="B269" s="96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98"/>
      <c r="R269" s="96"/>
      <c r="V269" s="98"/>
      <c r="W269" s="98"/>
    </row>
    <row r="270">
      <c r="A270" s="96"/>
      <c r="B270" s="96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98"/>
      <c r="R270" s="96"/>
      <c r="V270" s="98"/>
      <c r="W270" s="98"/>
    </row>
    <row r="271">
      <c r="A271" s="96"/>
      <c r="B271" s="96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98"/>
      <c r="R271" s="96"/>
      <c r="V271" s="98"/>
      <c r="W271" s="98"/>
    </row>
    <row r="272">
      <c r="A272" s="96"/>
      <c r="B272" s="96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98"/>
      <c r="R272" s="96"/>
      <c r="V272" s="98"/>
      <c r="W272" s="98"/>
    </row>
    <row r="273">
      <c r="A273" s="96"/>
      <c r="B273" s="96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98"/>
      <c r="R273" s="96"/>
      <c r="V273" s="98"/>
      <c r="W273" s="98"/>
    </row>
    <row r="274">
      <c r="A274" s="96"/>
      <c r="B274" s="96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98"/>
      <c r="R274" s="96"/>
      <c r="V274" s="98"/>
      <c r="W274" s="98"/>
    </row>
    <row r="275">
      <c r="A275" s="96"/>
      <c r="B275" s="96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98"/>
      <c r="R275" s="96"/>
      <c r="V275" s="98"/>
      <c r="W275" s="98"/>
    </row>
    <row r="276">
      <c r="A276" s="96"/>
      <c r="B276" s="96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98"/>
      <c r="R276" s="96"/>
      <c r="V276" s="98"/>
      <c r="W276" s="98"/>
    </row>
    <row r="277">
      <c r="A277" s="96"/>
      <c r="B277" s="96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98"/>
      <c r="R277" s="96"/>
      <c r="V277" s="98"/>
      <c r="W277" s="98"/>
    </row>
    <row r="278">
      <c r="A278" s="96"/>
      <c r="B278" s="96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98"/>
      <c r="R278" s="96"/>
      <c r="V278" s="98"/>
      <c r="W278" s="98"/>
    </row>
    <row r="279">
      <c r="A279" s="96"/>
      <c r="B279" s="96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98"/>
      <c r="R279" s="96"/>
      <c r="V279" s="98"/>
      <c r="W279" s="98"/>
    </row>
    <row r="280">
      <c r="A280" s="96"/>
      <c r="B280" s="96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98"/>
      <c r="R280" s="96"/>
      <c r="V280" s="98"/>
      <c r="W280" s="98"/>
    </row>
    <row r="281">
      <c r="A281" s="96"/>
      <c r="B281" s="96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98"/>
      <c r="R281" s="96"/>
      <c r="V281" s="98"/>
      <c r="W281" s="98"/>
    </row>
    <row r="282">
      <c r="A282" s="96"/>
      <c r="B282" s="96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98"/>
      <c r="R282" s="96"/>
      <c r="V282" s="98"/>
      <c r="W282" s="98"/>
    </row>
    <row r="283">
      <c r="A283" s="96"/>
      <c r="B283" s="96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98"/>
      <c r="R283" s="96"/>
      <c r="V283" s="98"/>
      <c r="W283" s="98"/>
    </row>
    <row r="284">
      <c r="A284" s="96"/>
      <c r="B284" s="96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98"/>
      <c r="R284" s="96"/>
      <c r="V284" s="98"/>
      <c r="W284" s="98"/>
    </row>
    <row r="285">
      <c r="A285" s="96"/>
      <c r="B285" s="96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98"/>
      <c r="R285" s="96"/>
      <c r="V285" s="98"/>
      <c r="W285" s="98"/>
    </row>
    <row r="286">
      <c r="A286" s="96"/>
      <c r="B286" s="96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98"/>
      <c r="R286" s="96"/>
      <c r="V286" s="98"/>
      <c r="W286" s="98"/>
    </row>
    <row r="287">
      <c r="A287" s="96"/>
      <c r="B287" s="96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98"/>
      <c r="R287" s="96"/>
      <c r="V287" s="98"/>
      <c r="W287" s="98"/>
    </row>
    <row r="288">
      <c r="A288" s="96"/>
      <c r="B288" s="96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98"/>
      <c r="R288" s="96"/>
      <c r="V288" s="98"/>
      <c r="W288" s="98"/>
    </row>
    <row r="289">
      <c r="A289" s="96"/>
      <c r="B289" s="96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98"/>
      <c r="R289" s="96"/>
      <c r="V289" s="98"/>
      <c r="W289" s="98"/>
    </row>
    <row r="290">
      <c r="A290" s="96"/>
      <c r="B290" s="96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98"/>
      <c r="R290" s="96"/>
      <c r="V290" s="98"/>
      <c r="W290" s="98"/>
    </row>
    <row r="291">
      <c r="A291" s="96"/>
      <c r="B291" s="96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98"/>
      <c r="R291" s="96"/>
      <c r="V291" s="98"/>
      <c r="W291" s="98"/>
    </row>
    <row r="292">
      <c r="A292" s="96"/>
      <c r="B292" s="96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98"/>
      <c r="R292" s="96"/>
      <c r="V292" s="98"/>
      <c r="W292" s="98"/>
    </row>
    <row r="293">
      <c r="A293" s="96"/>
      <c r="B293" s="96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98"/>
      <c r="R293" s="96"/>
      <c r="V293" s="98"/>
      <c r="W293" s="98"/>
    </row>
    <row r="294">
      <c r="A294" s="96"/>
      <c r="B294" s="96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98"/>
      <c r="R294" s="96"/>
      <c r="V294" s="98"/>
      <c r="W294" s="98"/>
    </row>
    <row r="295">
      <c r="A295" s="96"/>
      <c r="B295" s="96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98"/>
      <c r="R295" s="96"/>
      <c r="V295" s="98"/>
      <c r="W295" s="98"/>
    </row>
    <row r="296">
      <c r="A296" s="96"/>
      <c r="B296" s="96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98"/>
      <c r="R296" s="96"/>
      <c r="V296" s="98"/>
      <c r="W296" s="98"/>
    </row>
    <row r="297">
      <c r="A297" s="96"/>
      <c r="B297" s="96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98"/>
      <c r="R297" s="96"/>
      <c r="V297" s="98"/>
      <c r="W297" s="98"/>
    </row>
    <row r="298">
      <c r="A298" s="96"/>
      <c r="B298" s="96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98"/>
      <c r="R298" s="96"/>
      <c r="V298" s="98"/>
      <c r="W298" s="98"/>
    </row>
    <row r="299">
      <c r="A299" s="96"/>
      <c r="B299" s="96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98"/>
      <c r="R299" s="96"/>
      <c r="V299" s="98"/>
      <c r="W299" s="98"/>
    </row>
    <row r="300">
      <c r="A300" s="96"/>
      <c r="B300" s="96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98"/>
      <c r="R300" s="96"/>
      <c r="V300" s="98"/>
      <c r="W300" s="98"/>
    </row>
    <row r="301">
      <c r="A301" s="96"/>
      <c r="B301" s="96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98"/>
      <c r="R301" s="96"/>
      <c r="V301" s="98"/>
      <c r="W301" s="98"/>
    </row>
    <row r="302">
      <c r="A302" s="96"/>
      <c r="B302" s="96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98"/>
      <c r="R302" s="96"/>
      <c r="V302" s="98"/>
      <c r="W302" s="98"/>
    </row>
    <row r="303">
      <c r="A303" s="96"/>
      <c r="B303" s="96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98"/>
      <c r="R303" s="96"/>
      <c r="V303" s="98"/>
      <c r="W303" s="98"/>
    </row>
    <row r="304">
      <c r="A304" s="96"/>
      <c r="B304" s="96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98"/>
      <c r="R304" s="96"/>
      <c r="V304" s="98"/>
      <c r="W304" s="98"/>
    </row>
    <row r="305">
      <c r="A305" s="96"/>
      <c r="B305" s="96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98"/>
      <c r="R305" s="96"/>
      <c r="V305" s="98"/>
      <c r="W305" s="98"/>
    </row>
    <row r="306">
      <c r="A306" s="96"/>
      <c r="B306" s="96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98"/>
      <c r="R306" s="96"/>
      <c r="V306" s="98"/>
      <c r="W306" s="98"/>
    </row>
    <row r="307">
      <c r="A307" s="96"/>
      <c r="B307" s="96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98"/>
      <c r="R307" s="96"/>
      <c r="V307" s="98"/>
      <c r="W307" s="98"/>
    </row>
    <row r="308">
      <c r="A308" s="96"/>
      <c r="B308" s="96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98"/>
      <c r="R308" s="96"/>
      <c r="V308" s="98"/>
      <c r="W308" s="98"/>
    </row>
    <row r="309">
      <c r="A309" s="96"/>
      <c r="B309" s="96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98"/>
      <c r="R309" s="96"/>
      <c r="V309" s="98"/>
      <c r="W309" s="98"/>
    </row>
    <row r="310">
      <c r="A310" s="96"/>
      <c r="B310" s="96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98"/>
      <c r="R310" s="96"/>
      <c r="V310" s="98"/>
      <c r="W310" s="98"/>
    </row>
    <row r="311">
      <c r="A311" s="96"/>
      <c r="B311" s="96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98"/>
      <c r="R311" s="96"/>
      <c r="V311" s="98"/>
      <c r="W311" s="98"/>
    </row>
    <row r="312">
      <c r="A312" s="96"/>
      <c r="B312" s="96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98"/>
      <c r="R312" s="96"/>
      <c r="V312" s="98"/>
      <c r="W312" s="98"/>
    </row>
    <row r="313">
      <c r="A313" s="96"/>
      <c r="B313" s="96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98"/>
      <c r="R313" s="96"/>
      <c r="V313" s="98"/>
      <c r="W313" s="98"/>
    </row>
    <row r="314">
      <c r="A314" s="96"/>
      <c r="B314" s="96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98"/>
      <c r="R314" s="96"/>
      <c r="V314" s="98"/>
      <c r="W314" s="98"/>
    </row>
    <row r="315">
      <c r="A315" s="96"/>
      <c r="B315" s="96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98"/>
      <c r="R315" s="96"/>
      <c r="V315" s="98"/>
      <c r="W315" s="98"/>
    </row>
    <row r="316">
      <c r="A316" s="96"/>
      <c r="B316" s="96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98"/>
      <c r="R316" s="96"/>
      <c r="V316" s="98"/>
      <c r="W316" s="98"/>
    </row>
    <row r="317">
      <c r="A317" s="96"/>
      <c r="B317" s="96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98"/>
      <c r="R317" s="96"/>
      <c r="V317" s="98"/>
      <c r="W317" s="98"/>
    </row>
    <row r="318">
      <c r="A318" s="96"/>
      <c r="B318" s="96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98"/>
      <c r="R318" s="96"/>
      <c r="V318" s="98"/>
      <c r="W318" s="98"/>
    </row>
    <row r="319">
      <c r="A319" s="96"/>
      <c r="B319" s="96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98"/>
      <c r="R319" s="96"/>
      <c r="V319" s="98"/>
      <c r="W319" s="98"/>
    </row>
    <row r="320">
      <c r="A320" s="96"/>
      <c r="B320" s="96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98"/>
      <c r="R320" s="96"/>
      <c r="V320" s="98"/>
      <c r="W320" s="98"/>
    </row>
    <row r="321">
      <c r="A321" s="96"/>
      <c r="B321" s="96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98"/>
      <c r="R321" s="96"/>
      <c r="V321" s="98"/>
      <c r="W321" s="98"/>
    </row>
    <row r="322">
      <c r="A322" s="96"/>
      <c r="B322" s="96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98"/>
      <c r="R322" s="96"/>
      <c r="V322" s="98"/>
      <c r="W322" s="98"/>
    </row>
    <row r="323">
      <c r="A323" s="96"/>
      <c r="B323" s="96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98"/>
      <c r="R323" s="96"/>
      <c r="V323" s="98"/>
      <c r="W323" s="98"/>
    </row>
    <row r="324">
      <c r="A324" s="96"/>
      <c r="B324" s="96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98"/>
      <c r="R324" s="96"/>
      <c r="V324" s="98"/>
      <c r="W324" s="98"/>
    </row>
    <row r="325">
      <c r="A325" s="96"/>
      <c r="B325" s="96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98"/>
      <c r="R325" s="96"/>
      <c r="V325" s="98"/>
      <c r="W325" s="98"/>
    </row>
    <row r="326">
      <c r="A326" s="96"/>
      <c r="B326" s="96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98"/>
      <c r="R326" s="96"/>
      <c r="V326" s="98"/>
      <c r="W326" s="98"/>
    </row>
    <row r="327">
      <c r="A327" s="96"/>
      <c r="B327" s="96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98"/>
      <c r="R327" s="96"/>
      <c r="V327" s="98"/>
      <c r="W327" s="98"/>
    </row>
    <row r="328">
      <c r="A328" s="96"/>
      <c r="B328" s="96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98"/>
      <c r="R328" s="96"/>
      <c r="V328" s="98"/>
      <c r="W328" s="98"/>
    </row>
    <row r="329">
      <c r="A329" s="96"/>
      <c r="B329" s="96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98"/>
      <c r="R329" s="96"/>
      <c r="V329" s="98"/>
      <c r="W329" s="98"/>
    </row>
    <row r="330">
      <c r="A330" s="96"/>
      <c r="B330" s="96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98"/>
      <c r="R330" s="96"/>
      <c r="V330" s="98"/>
      <c r="W330" s="98"/>
    </row>
    <row r="331">
      <c r="A331" s="96"/>
      <c r="B331" s="96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98"/>
      <c r="R331" s="96"/>
      <c r="V331" s="98"/>
      <c r="W331" s="98"/>
    </row>
    <row r="332">
      <c r="A332" s="96"/>
      <c r="B332" s="96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98"/>
      <c r="R332" s="96"/>
      <c r="V332" s="98"/>
      <c r="W332" s="98"/>
    </row>
    <row r="333">
      <c r="A333" s="96"/>
      <c r="B333" s="96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98"/>
      <c r="R333" s="96"/>
      <c r="V333" s="98"/>
      <c r="W333" s="98"/>
    </row>
    <row r="334">
      <c r="A334" s="96"/>
      <c r="B334" s="96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98"/>
      <c r="R334" s="96"/>
      <c r="V334" s="98"/>
      <c r="W334" s="98"/>
    </row>
    <row r="335">
      <c r="A335" s="96"/>
      <c r="B335" s="96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98"/>
      <c r="R335" s="96"/>
      <c r="V335" s="98"/>
      <c r="W335" s="98"/>
    </row>
    <row r="336">
      <c r="A336" s="96"/>
      <c r="B336" s="96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98"/>
      <c r="R336" s="96"/>
      <c r="V336" s="98"/>
      <c r="W336" s="98"/>
    </row>
    <row r="337">
      <c r="A337" s="96"/>
      <c r="B337" s="96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98"/>
      <c r="R337" s="96"/>
      <c r="V337" s="98"/>
      <c r="W337" s="98"/>
    </row>
    <row r="338">
      <c r="A338" s="96"/>
      <c r="B338" s="96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98"/>
      <c r="R338" s="96"/>
      <c r="V338" s="98"/>
      <c r="W338" s="98"/>
    </row>
    <row r="339">
      <c r="A339" s="96"/>
      <c r="B339" s="96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98"/>
      <c r="R339" s="96"/>
      <c r="V339" s="98"/>
      <c r="W339" s="98"/>
    </row>
    <row r="340">
      <c r="A340" s="96"/>
      <c r="B340" s="96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98"/>
      <c r="R340" s="96"/>
      <c r="V340" s="98"/>
      <c r="W340" s="98"/>
    </row>
    <row r="341">
      <c r="A341" s="96"/>
      <c r="B341" s="96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98"/>
      <c r="R341" s="96"/>
      <c r="V341" s="98"/>
      <c r="W341" s="98"/>
    </row>
    <row r="342">
      <c r="A342" s="96"/>
      <c r="B342" s="96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98"/>
      <c r="R342" s="96"/>
      <c r="V342" s="98"/>
      <c r="W342" s="98"/>
    </row>
    <row r="343">
      <c r="A343" s="96"/>
      <c r="B343" s="96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98"/>
      <c r="R343" s="96"/>
      <c r="V343" s="98"/>
      <c r="W343" s="98"/>
    </row>
    <row r="344">
      <c r="A344" s="96"/>
      <c r="B344" s="96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98"/>
      <c r="R344" s="96"/>
      <c r="V344" s="98"/>
      <c r="W344" s="98"/>
    </row>
    <row r="345">
      <c r="A345" s="96"/>
      <c r="B345" s="96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98"/>
      <c r="R345" s="96"/>
      <c r="V345" s="98"/>
      <c r="W345" s="98"/>
    </row>
    <row r="346">
      <c r="A346" s="96"/>
      <c r="B346" s="96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98"/>
      <c r="R346" s="96"/>
      <c r="V346" s="98"/>
      <c r="W346" s="98"/>
    </row>
    <row r="347">
      <c r="A347" s="96"/>
      <c r="B347" s="96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98"/>
      <c r="R347" s="96"/>
      <c r="V347" s="98"/>
      <c r="W347" s="98"/>
    </row>
    <row r="348">
      <c r="A348" s="96"/>
      <c r="B348" s="96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98"/>
      <c r="R348" s="96"/>
      <c r="V348" s="98"/>
      <c r="W348" s="98"/>
    </row>
    <row r="349">
      <c r="A349" s="96"/>
      <c r="B349" s="96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98"/>
      <c r="R349" s="96"/>
      <c r="V349" s="98"/>
      <c r="W349" s="98"/>
    </row>
    <row r="350">
      <c r="A350" s="96"/>
      <c r="B350" s="96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98"/>
      <c r="R350" s="96"/>
      <c r="V350" s="98"/>
      <c r="W350" s="98"/>
    </row>
    <row r="351">
      <c r="A351" s="96"/>
      <c r="B351" s="96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98"/>
      <c r="R351" s="96"/>
      <c r="V351" s="98"/>
      <c r="W351" s="98"/>
    </row>
    <row r="352">
      <c r="A352" s="96"/>
      <c r="B352" s="96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98"/>
      <c r="R352" s="96"/>
      <c r="V352" s="98"/>
      <c r="W352" s="98"/>
    </row>
    <row r="353">
      <c r="A353" s="96"/>
      <c r="B353" s="96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98"/>
      <c r="R353" s="96"/>
      <c r="V353" s="98"/>
      <c r="W353" s="98"/>
    </row>
    <row r="354">
      <c r="A354" s="96"/>
      <c r="B354" s="96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98"/>
      <c r="R354" s="96"/>
      <c r="V354" s="98"/>
      <c r="W354" s="98"/>
    </row>
    <row r="355">
      <c r="A355" s="96"/>
      <c r="B355" s="96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98"/>
      <c r="R355" s="96"/>
      <c r="V355" s="98"/>
      <c r="W355" s="98"/>
    </row>
    <row r="356">
      <c r="A356" s="96"/>
      <c r="B356" s="96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98"/>
      <c r="R356" s="96"/>
      <c r="V356" s="98"/>
      <c r="W356" s="98"/>
    </row>
    <row r="357">
      <c r="A357" s="96"/>
      <c r="B357" s="96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98"/>
      <c r="R357" s="96"/>
      <c r="V357" s="98"/>
      <c r="W357" s="98"/>
    </row>
    <row r="358">
      <c r="A358" s="96"/>
      <c r="B358" s="96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98"/>
      <c r="R358" s="96"/>
      <c r="V358" s="98"/>
      <c r="W358" s="98"/>
    </row>
    <row r="359">
      <c r="A359" s="96"/>
      <c r="B359" s="96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98"/>
      <c r="R359" s="96"/>
      <c r="V359" s="98"/>
      <c r="W359" s="98"/>
    </row>
    <row r="360">
      <c r="A360" s="96"/>
      <c r="B360" s="96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98"/>
      <c r="R360" s="96"/>
      <c r="V360" s="98"/>
      <c r="W360" s="98"/>
    </row>
    <row r="361">
      <c r="A361" s="96"/>
      <c r="B361" s="96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98"/>
      <c r="R361" s="96"/>
      <c r="V361" s="98"/>
      <c r="W361" s="98"/>
    </row>
    <row r="362">
      <c r="A362" s="96"/>
      <c r="B362" s="96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98"/>
      <c r="R362" s="96"/>
      <c r="V362" s="98"/>
      <c r="W362" s="98"/>
    </row>
    <row r="363">
      <c r="A363" s="96"/>
      <c r="B363" s="96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98"/>
      <c r="R363" s="96"/>
      <c r="V363" s="98"/>
      <c r="W363" s="98"/>
    </row>
    <row r="364">
      <c r="A364" s="96"/>
      <c r="B364" s="96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98"/>
      <c r="R364" s="96"/>
      <c r="V364" s="98"/>
      <c r="W364" s="98"/>
    </row>
    <row r="365">
      <c r="A365" s="96"/>
      <c r="B365" s="96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98"/>
      <c r="R365" s="96"/>
      <c r="V365" s="98"/>
      <c r="W365" s="98"/>
    </row>
    <row r="366">
      <c r="A366" s="96"/>
      <c r="B366" s="96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98"/>
      <c r="R366" s="96"/>
      <c r="V366" s="98"/>
      <c r="W366" s="98"/>
    </row>
    <row r="367">
      <c r="A367" s="96"/>
      <c r="B367" s="96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98"/>
      <c r="R367" s="96"/>
      <c r="V367" s="98"/>
      <c r="W367" s="98"/>
    </row>
    <row r="368">
      <c r="A368" s="96"/>
      <c r="B368" s="96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98"/>
      <c r="R368" s="96"/>
      <c r="V368" s="98"/>
      <c r="W368" s="98"/>
    </row>
    <row r="369">
      <c r="A369" s="96"/>
      <c r="B369" s="96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98"/>
      <c r="R369" s="96"/>
      <c r="V369" s="98"/>
      <c r="W369" s="98"/>
    </row>
    <row r="370">
      <c r="A370" s="96"/>
      <c r="B370" s="96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98"/>
      <c r="R370" s="96"/>
      <c r="V370" s="98"/>
      <c r="W370" s="98"/>
    </row>
    <row r="371">
      <c r="A371" s="96"/>
      <c r="B371" s="96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98"/>
      <c r="R371" s="96"/>
      <c r="V371" s="98"/>
      <c r="W371" s="98"/>
    </row>
    <row r="372">
      <c r="A372" s="96"/>
      <c r="B372" s="96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98"/>
      <c r="R372" s="96"/>
      <c r="V372" s="98"/>
      <c r="W372" s="98"/>
    </row>
    <row r="373">
      <c r="A373" s="96"/>
      <c r="B373" s="96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98"/>
      <c r="R373" s="96"/>
      <c r="V373" s="98"/>
      <c r="W373" s="98"/>
    </row>
    <row r="374">
      <c r="A374" s="96"/>
      <c r="B374" s="96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98"/>
      <c r="R374" s="96"/>
      <c r="V374" s="98"/>
      <c r="W374" s="98"/>
    </row>
    <row r="375">
      <c r="A375" s="96"/>
      <c r="B375" s="96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98"/>
      <c r="R375" s="96"/>
      <c r="V375" s="98"/>
      <c r="W375" s="98"/>
    </row>
    <row r="376">
      <c r="A376" s="96"/>
      <c r="B376" s="96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98"/>
      <c r="R376" s="96"/>
      <c r="V376" s="98"/>
      <c r="W376" s="98"/>
    </row>
    <row r="377">
      <c r="A377" s="96"/>
      <c r="B377" s="96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98"/>
      <c r="R377" s="96"/>
      <c r="V377" s="98"/>
      <c r="W377" s="98"/>
    </row>
    <row r="378">
      <c r="A378" s="96"/>
      <c r="B378" s="96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98"/>
      <c r="R378" s="96"/>
      <c r="V378" s="98"/>
      <c r="W378" s="98"/>
    </row>
    <row r="379">
      <c r="A379" s="96"/>
      <c r="B379" s="96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98"/>
      <c r="R379" s="96"/>
      <c r="V379" s="98"/>
      <c r="W379" s="98"/>
    </row>
    <row r="380">
      <c r="A380" s="96"/>
      <c r="B380" s="96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98"/>
      <c r="R380" s="96"/>
      <c r="V380" s="98"/>
      <c r="W380" s="98"/>
    </row>
    <row r="381">
      <c r="A381" s="96"/>
      <c r="B381" s="96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98"/>
      <c r="R381" s="96"/>
      <c r="V381" s="98"/>
      <c r="W381" s="98"/>
    </row>
    <row r="382">
      <c r="A382" s="96"/>
      <c r="B382" s="96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98"/>
      <c r="R382" s="96"/>
      <c r="V382" s="98"/>
      <c r="W382" s="98"/>
    </row>
    <row r="383">
      <c r="A383" s="96"/>
      <c r="B383" s="96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98"/>
      <c r="R383" s="96"/>
      <c r="V383" s="98"/>
      <c r="W383" s="98"/>
    </row>
    <row r="384">
      <c r="A384" s="96"/>
      <c r="B384" s="96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98"/>
      <c r="R384" s="96"/>
      <c r="V384" s="98"/>
      <c r="W384" s="98"/>
    </row>
    <row r="385">
      <c r="A385" s="96"/>
      <c r="B385" s="96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98"/>
      <c r="R385" s="96"/>
      <c r="V385" s="98"/>
      <c r="W385" s="98"/>
    </row>
    <row r="386">
      <c r="A386" s="96"/>
      <c r="B386" s="96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98"/>
      <c r="R386" s="96"/>
      <c r="V386" s="98"/>
      <c r="W386" s="98"/>
    </row>
    <row r="387">
      <c r="A387" s="96"/>
      <c r="B387" s="96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98"/>
      <c r="R387" s="96"/>
      <c r="V387" s="98"/>
      <c r="W387" s="98"/>
    </row>
    <row r="388">
      <c r="A388" s="96"/>
      <c r="B388" s="96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98"/>
      <c r="R388" s="96"/>
      <c r="V388" s="98"/>
      <c r="W388" s="98"/>
    </row>
    <row r="389">
      <c r="A389" s="96"/>
      <c r="B389" s="96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98"/>
      <c r="R389" s="96"/>
      <c r="V389" s="98"/>
      <c r="W389" s="98"/>
    </row>
    <row r="390">
      <c r="A390" s="96"/>
      <c r="B390" s="96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98"/>
      <c r="R390" s="96"/>
      <c r="V390" s="98"/>
      <c r="W390" s="98"/>
    </row>
    <row r="391">
      <c r="A391" s="96"/>
      <c r="B391" s="96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98"/>
      <c r="R391" s="96"/>
      <c r="V391" s="98"/>
      <c r="W391" s="98"/>
    </row>
    <row r="392">
      <c r="A392" s="96"/>
      <c r="B392" s="96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98"/>
      <c r="R392" s="96"/>
      <c r="V392" s="98"/>
      <c r="W392" s="98"/>
    </row>
    <row r="393">
      <c r="A393" s="96"/>
      <c r="B393" s="96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98"/>
      <c r="R393" s="96"/>
      <c r="V393" s="98"/>
      <c r="W393" s="98"/>
    </row>
    <row r="394">
      <c r="A394" s="96"/>
      <c r="B394" s="96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98"/>
      <c r="R394" s="96"/>
      <c r="V394" s="98"/>
      <c r="W394" s="98"/>
    </row>
    <row r="395">
      <c r="A395" s="96"/>
      <c r="B395" s="96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98"/>
      <c r="R395" s="96"/>
      <c r="V395" s="98"/>
      <c r="W395" s="98"/>
    </row>
    <row r="396">
      <c r="A396" s="96"/>
      <c r="B396" s="96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98"/>
      <c r="R396" s="96"/>
      <c r="V396" s="98"/>
      <c r="W396" s="98"/>
    </row>
    <row r="397">
      <c r="A397" s="96"/>
      <c r="B397" s="96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98"/>
      <c r="R397" s="96"/>
      <c r="V397" s="98"/>
      <c r="W397" s="98"/>
    </row>
    <row r="398">
      <c r="A398" s="96"/>
      <c r="B398" s="96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98"/>
      <c r="R398" s="96"/>
      <c r="V398" s="98"/>
      <c r="W398" s="98"/>
    </row>
    <row r="399">
      <c r="A399" s="96"/>
      <c r="B399" s="96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98"/>
      <c r="R399" s="96"/>
      <c r="V399" s="98"/>
      <c r="W399" s="98"/>
    </row>
    <row r="400">
      <c r="A400" s="96"/>
      <c r="B400" s="96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98"/>
      <c r="R400" s="96"/>
      <c r="V400" s="98"/>
      <c r="W400" s="98"/>
    </row>
    <row r="401">
      <c r="A401" s="96"/>
      <c r="B401" s="96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98"/>
      <c r="R401" s="96"/>
      <c r="V401" s="98"/>
      <c r="W401" s="98"/>
    </row>
    <row r="402">
      <c r="A402" s="96"/>
      <c r="B402" s="96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98"/>
      <c r="R402" s="96"/>
      <c r="V402" s="98"/>
      <c r="W402" s="98"/>
    </row>
    <row r="403">
      <c r="A403" s="96"/>
      <c r="B403" s="96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98"/>
      <c r="R403" s="96"/>
      <c r="V403" s="98"/>
      <c r="W403" s="98"/>
    </row>
    <row r="404">
      <c r="A404" s="96"/>
      <c r="B404" s="96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98"/>
      <c r="R404" s="96"/>
      <c r="V404" s="98"/>
      <c r="W404" s="98"/>
    </row>
    <row r="405">
      <c r="A405" s="96"/>
      <c r="B405" s="96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98"/>
      <c r="R405" s="96"/>
      <c r="V405" s="98"/>
      <c r="W405" s="98"/>
    </row>
    <row r="406">
      <c r="A406" s="96"/>
      <c r="B406" s="96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98"/>
      <c r="R406" s="96"/>
      <c r="V406" s="98"/>
      <c r="W406" s="98"/>
    </row>
    <row r="407">
      <c r="A407" s="96"/>
      <c r="B407" s="96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98"/>
      <c r="R407" s="96"/>
      <c r="V407" s="98"/>
      <c r="W407" s="98"/>
    </row>
    <row r="408">
      <c r="A408" s="96"/>
      <c r="B408" s="96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98"/>
      <c r="R408" s="96"/>
      <c r="V408" s="98"/>
      <c r="W408" s="98"/>
    </row>
    <row r="409">
      <c r="A409" s="96"/>
      <c r="B409" s="96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98"/>
      <c r="R409" s="96"/>
      <c r="V409" s="98"/>
      <c r="W409" s="98"/>
    </row>
    <row r="410">
      <c r="A410" s="96"/>
      <c r="B410" s="96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98"/>
      <c r="R410" s="96"/>
      <c r="V410" s="98"/>
      <c r="W410" s="98"/>
    </row>
    <row r="411">
      <c r="A411" s="96"/>
      <c r="B411" s="96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98"/>
      <c r="R411" s="96"/>
      <c r="V411" s="98"/>
      <c r="W411" s="98"/>
    </row>
    <row r="412">
      <c r="A412" s="96"/>
      <c r="B412" s="96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98"/>
      <c r="R412" s="96"/>
      <c r="V412" s="98"/>
      <c r="W412" s="98"/>
    </row>
    <row r="413">
      <c r="A413" s="96"/>
      <c r="B413" s="96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98"/>
      <c r="R413" s="96"/>
      <c r="V413" s="98"/>
      <c r="W413" s="98"/>
    </row>
    <row r="414">
      <c r="A414" s="96"/>
      <c r="B414" s="96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98"/>
      <c r="R414" s="96"/>
      <c r="V414" s="98"/>
      <c r="W414" s="98"/>
    </row>
    <row r="415">
      <c r="A415" s="96"/>
      <c r="B415" s="96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98"/>
      <c r="R415" s="96"/>
      <c r="V415" s="98"/>
      <c r="W415" s="98"/>
    </row>
    <row r="416">
      <c r="A416" s="96"/>
      <c r="B416" s="96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98"/>
      <c r="R416" s="96"/>
      <c r="V416" s="98"/>
      <c r="W416" s="98"/>
    </row>
    <row r="417">
      <c r="A417" s="96"/>
      <c r="B417" s="96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98"/>
      <c r="R417" s="96"/>
      <c r="V417" s="98"/>
      <c r="W417" s="98"/>
    </row>
    <row r="418">
      <c r="A418" s="96"/>
      <c r="B418" s="96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98"/>
      <c r="R418" s="96"/>
      <c r="V418" s="98"/>
      <c r="W418" s="98"/>
    </row>
    <row r="419">
      <c r="A419" s="96"/>
      <c r="B419" s="96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98"/>
      <c r="R419" s="96"/>
      <c r="V419" s="98"/>
      <c r="W419" s="98"/>
    </row>
    <row r="420">
      <c r="A420" s="96"/>
      <c r="B420" s="96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98"/>
      <c r="R420" s="96"/>
      <c r="V420" s="98"/>
      <c r="W420" s="98"/>
    </row>
    <row r="421">
      <c r="A421" s="96"/>
      <c r="B421" s="96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98"/>
      <c r="R421" s="96"/>
      <c r="V421" s="98"/>
      <c r="W421" s="98"/>
    </row>
    <row r="422">
      <c r="A422" s="96"/>
      <c r="B422" s="96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98"/>
      <c r="R422" s="96"/>
      <c r="V422" s="98"/>
      <c r="W422" s="98"/>
    </row>
    <row r="423">
      <c r="A423" s="96"/>
      <c r="B423" s="96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98"/>
      <c r="R423" s="96"/>
      <c r="V423" s="98"/>
      <c r="W423" s="98"/>
    </row>
    <row r="424">
      <c r="A424" s="96"/>
      <c r="B424" s="96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98"/>
      <c r="R424" s="96"/>
      <c r="V424" s="98"/>
      <c r="W424" s="98"/>
    </row>
    <row r="425">
      <c r="A425" s="96"/>
      <c r="B425" s="96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98"/>
      <c r="R425" s="96"/>
      <c r="V425" s="98"/>
      <c r="W425" s="98"/>
    </row>
    <row r="426">
      <c r="A426" s="96"/>
      <c r="B426" s="96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98"/>
      <c r="R426" s="96"/>
      <c r="V426" s="98"/>
      <c r="W426" s="98"/>
    </row>
    <row r="427">
      <c r="A427" s="96"/>
      <c r="B427" s="96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98"/>
      <c r="R427" s="96"/>
      <c r="V427" s="98"/>
      <c r="W427" s="98"/>
    </row>
    <row r="428">
      <c r="A428" s="96"/>
      <c r="B428" s="96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98"/>
      <c r="R428" s="96"/>
      <c r="V428" s="98"/>
      <c r="W428" s="98"/>
    </row>
    <row r="429">
      <c r="A429" s="96"/>
      <c r="B429" s="96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98"/>
      <c r="R429" s="96"/>
      <c r="V429" s="98"/>
      <c r="W429" s="98"/>
    </row>
    <row r="430">
      <c r="A430" s="96"/>
      <c r="B430" s="96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98"/>
      <c r="R430" s="96"/>
      <c r="V430" s="98"/>
      <c r="W430" s="98"/>
    </row>
    <row r="431">
      <c r="A431" s="96"/>
      <c r="B431" s="96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98"/>
      <c r="R431" s="96"/>
      <c r="V431" s="98"/>
      <c r="W431" s="98"/>
    </row>
    <row r="432">
      <c r="A432" s="96"/>
      <c r="B432" s="96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98"/>
      <c r="R432" s="96"/>
      <c r="V432" s="98"/>
      <c r="W432" s="98"/>
    </row>
    <row r="433">
      <c r="A433" s="96"/>
      <c r="B433" s="96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98"/>
      <c r="R433" s="96"/>
      <c r="V433" s="98"/>
      <c r="W433" s="98"/>
    </row>
    <row r="434">
      <c r="A434" s="96"/>
      <c r="B434" s="96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98"/>
      <c r="R434" s="96"/>
      <c r="V434" s="98"/>
      <c r="W434" s="98"/>
    </row>
    <row r="435">
      <c r="A435" s="96"/>
      <c r="B435" s="96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98"/>
      <c r="R435" s="96"/>
      <c r="V435" s="98"/>
      <c r="W435" s="98"/>
    </row>
    <row r="436">
      <c r="A436" s="96"/>
      <c r="B436" s="96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98"/>
      <c r="R436" s="96"/>
      <c r="V436" s="98"/>
      <c r="W436" s="98"/>
    </row>
    <row r="437">
      <c r="A437" s="96"/>
      <c r="B437" s="96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98"/>
      <c r="R437" s="96"/>
      <c r="V437" s="98"/>
      <c r="W437" s="98"/>
    </row>
    <row r="438">
      <c r="A438" s="96"/>
      <c r="B438" s="96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98"/>
      <c r="R438" s="96"/>
      <c r="V438" s="98"/>
      <c r="W438" s="98"/>
    </row>
    <row r="439">
      <c r="A439" s="96"/>
      <c r="B439" s="96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98"/>
      <c r="R439" s="96"/>
      <c r="V439" s="98"/>
      <c r="W439" s="98"/>
    </row>
    <row r="440">
      <c r="A440" s="96"/>
      <c r="B440" s="96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98"/>
      <c r="R440" s="96"/>
      <c r="V440" s="98"/>
      <c r="W440" s="98"/>
    </row>
    <row r="441">
      <c r="A441" s="96"/>
      <c r="B441" s="96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98"/>
      <c r="R441" s="96"/>
      <c r="V441" s="98"/>
      <c r="W441" s="98"/>
    </row>
    <row r="442">
      <c r="A442" s="96"/>
      <c r="B442" s="96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98"/>
      <c r="R442" s="96"/>
      <c r="V442" s="98"/>
      <c r="W442" s="98"/>
    </row>
    <row r="443">
      <c r="A443" s="96"/>
      <c r="B443" s="96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98"/>
      <c r="R443" s="96"/>
      <c r="V443" s="98"/>
      <c r="W443" s="98"/>
    </row>
    <row r="444">
      <c r="A444" s="96"/>
      <c r="B444" s="96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98"/>
      <c r="R444" s="96"/>
      <c r="V444" s="98"/>
      <c r="W444" s="98"/>
    </row>
    <row r="445">
      <c r="A445" s="96"/>
      <c r="B445" s="96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98"/>
      <c r="R445" s="96"/>
      <c r="V445" s="98"/>
      <c r="W445" s="98"/>
    </row>
    <row r="446">
      <c r="A446" s="96"/>
      <c r="B446" s="96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98"/>
      <c r="R446" s="96"/>
      <c r="V446" s="98"/>
      <c r="W446" s="98"/>
    </row>
    <row r="447">
      <c r="A447" s="96"/>
      <c r="B447" s="96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98"/>
      <c r="R447" s="96"/>
      <c r="V447" s="98"/>
      <c r="W447" s="98"/>
    </row>
    <row r="448">
      <c r="A448" s="96"/>
      <c r="B448" s="96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98"/>
      <c r="R448" s="96"/>
      <c r="V448" s="98"/>
      <c r="W448" s="98"/>
    </row>
    <row r="449">
      <c r="A449" s="96"/>
      <c r="B449" s="96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98"/>
      <c r="R449" s="96"/>
      <c r="V449" s="98"/>
      <c r="W449" s="98"/>
    </row>
    <row r="450">
      <c r="A450" s="96"/>
      <c r="B450" s="96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98"/>
      <c r="R450" s="96"/>
      <c r="V450" s="98"/>
      <c r="W450" s="98"/>
    </row>
    <row r="451">
      <c r="A451" s="96"/>
      <c r="B451" s="96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98"/>
      <c r="R451" s="96"/>
      <c r="V451" s="98"/>
      <c r="W451" s="98"/>
    </row>
    <row r="452">
      <c r="A452" s="96"/>
      <c r="B452" s="96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98"/>
      <c r="R452" s="96"/>
      <c r="V452" s="98"/>
      <c r="W452" s="98"/>
    </row>
    <row r="453">
      <c r="A453" s="96"/>
      <c r="B453" s="96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98"/>
      <c r="R453" s="96"/>
      <c r="V453" s="98"/>
      <c r="W453" s="98"/>
    </row>
    <row r="454">
      <c r="A454" s="96"/>
      <c r="B454" s="96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98"/>
      <c r="R454" s="96"/>
      <c r="V454" s="98"/>
      <c r="W454" s="98"/>
    </row>
    <row r="455">
      <c r="A455" s="96"/>
      <c r="B455" s="96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98"/>
      <c r="R455" s="96"/>
      <c r="V455" s="98"/>
      <c r="W455" s="98"/>
    </row>
    <row r="456">
      <c r="A456" s="96"/>
      <c r="B456" s="96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98"/>
      <c r="R456" s="96"/>
      <c r="V456" s="98"/>
      <c r="W456" s="98"/>
    </row>
    <row r="457">
      <c r="A457" s="96"/>
      <c r="B457" s="96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98"/>
      <c r="R457" s="96"/>
      <c r="V457" s="98"/>
      <c r="W457" s="98"/>
    </row>
    <row r="458">
      <c r="A458" s="96"/>
      <c r="B458" s="96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98"/>
      <c r="R458" s="96"/>
      <c r="V458" s="98"/>
      <c r="W458" s="98"/>
    </row>
    <row r="459">
      <c r="A459" s="96"/>
      <c r="B459" s="96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98"/>
      <c r="R459" s="96"/>
      <c r="V459" s="98"/>
      <c r="W459" s="98"/>
    </row>
    <row r="460">
      <c r="A460" s="96"/>
      <c r="B460" s="96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98"/>
      <c r="R460" s="96"/>
      <c r="V460" s="98"/>
      <c r="W460" s="98"/>
    </row>
    <row r="461">
      <c r="A461" s="96"/>
      <c r="B461" s="96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98"/>
      <c r="R461" s="96"/>
      <c r="V461" s="98"/>
      <c r="W461" s="98"/>
    </row>
    <row r="462">
      <c r="A462" s="96"/>
      <c r="B462" s="96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98"/>
      <c r="R462" s="96"/>
      <c r="V462" s="98"/>
      <c r="W462" s="98"/>
    </row>
    <row r="463">
      <c r="A463" s="96"/>
      <c r="B463" s="96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98"/>
      <c r="R463" s="96"/>
      <c r="V463" s="98"/>
      <c r="W463" s="98"/>
    </row>
    <row r="464">
      <c r="A464" s="96"/>
      <c r="B464" s="96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98"/>
      <c r="R464" s="96"/>
      <c r="V464" s="98"/>
      <c r="W464" s="98"/>
    </row>
    <row r="465">
      <c r="A465" s="96"/>
      <c r="B465" s="96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98"/>
      <c r="R465" s="96"/>
      <c r="V465" s="98"/>
      <c r="W465" s="98"/>
    </row>
    <row r="466">
      <c r="A466" s="96"/>
      <c r="B466" s="96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98"/>
      <c r="R466" s="96"/>
      <c r="V466" s="98"/>
      <c r="W466" s="98"/>
    </row>
    <row r="467">
      <c r="A467" s="96"/>
      <c r="B467" s="96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98"/>
      <c r="R467" s="96"/>
      <c r="V467" s="98"/>
      <c r="W467" s="98"/>
    </row>
    <row r="468">
      <c r="A468" s="96"/>
      <c r="B468" s="96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98"/>
      <c r="R468" s="96"/>
      <c r="V468" s="98"/>
      <c r="W468" s="98"/>
    </row>
    <row r="469">
      <c r="A469" s="96"/>
      <c r="B469" s="96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98"/>
      <c r="R469" s="96"/>
      <c r="V469" s="98"/>
      <c r="W469" s="98"/>
    </row>
    <row r="470">
      <c r="A470" s="96"/>
      <c r="B470" s="96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98"/>
      <c r="R470" s="96"/>
      <c r="V470" s="98"/>
      <c r="W470" s="98"/>
    </row>
    <row r="471">
      <c r="A471" s="96"/>
      <c r="B471" s="96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98"/>
      <c r="R471" s="96"/>
      <c r="V471" s="98"/>
      <c r="W471" s="98"/>
    </row>
    <row r="472">
      <c r="A472" s="96"/>
      <c r="B472" s="96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98"/>
      <c r="R472" s="96"/>
      <c r="V472" s="98"/>
      <c r="W472" s="98"/>
    </row>
    <row r="473">
      <c r="A473" s="96"/>
      <c r="B473" s="96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98"/>
      <c r="R473" s="96"/>
      <c r="V473" s="98"/>
      <c r="W473" s="98"/>
    </row>
    <row r="474">
      <c r="A474" s="96"/>
      <c r="B474" s="96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98"/>
      <c r="R474" s="96"/>
      <c r="V474" s="98"/>
      <c r="W474" s="98"/>
    </row>
    <row r="475">
      <c r="A475" s="96"/>
      <c r="B475" s="96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98"/>
      <c r="R475" s="96"/>
      <c r="V475" s="98"/>
      <c r="W475" s="98"/>
    </row>
    <row r="476">
      <c r="A476" s="96"/>
      <c r="B476" s="96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98"/>
      <c r="R476" s="96"/>
      <c r="V476" s="98"/>
      <c r="W476" s="98"/>
    </row>
    <row r="477">
      <c r="A477" s="96"/>
      <c r="B477" s="96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98"/>
      <c r="R477" s="96"/>
      <c r="V477" s="98"/>
      <c r="W477" s="98"/>
    </row>
    <row r="478">
      <c r="A478" s="96"/>
      <c r="B478" s="96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98"/>
      <c r="R478" s="96"/>
      <c r="V478" s="98"/>
      <c r="W478" s="98"/>
    </row>
    <row r="479">
      <c r="A479" s="96"/>
      <c r="B479" s="96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98"/>
      <c r="R479" s="96"/>
      <c r="V479" s="98"/>
      <c r="W479" s="98"/>
    </row>
    <row r="480">
      <c r="A480" s="96"/>
      <c r="B480" s="96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98"/>
      <c r="R480" s="96"/>
      <c r="V480" s="98"/>
      <c r="W480" s="98"/>
    </row>
    <row r="481">
      <c r="A481" s="96"/>
      <c r="B481" s="96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98"/>
      <c r="R481" s="96"/>
      <c r="V481" s="98"/>
      <c r="W481" s="98"/>
    </row>
    <row r="482">
      <c r="A482" s="96"/>
      <c r="B482" s="96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98"/>
      <c r="R482" s="96"/>
      <c r="V482" s="98"/>
      <c r="W482" s="98"/>
    </row>
    <row r="483">
      <c r="A483" s="96"/>
      <c r="B483" s="96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98"/>
      <c r="R483" s="96"/>
      <c r="V483" s="98"/>
      <c r="W483" s="98"/>
    </row>
    <row r="484">
      <c r="A484" s="96"/>
      <c r="B484" s="96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98"/>
      <c r="R484" s="96"/>
      <c r="V484" s="98"/>
      <c r="W484" s="98"/>
    </row>
    <row r="485">
      <c r="A485" s="96"/>
      <c r="B485" s="96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98"/>
      <c r="R485" s="96"/>
      <c r="V485" s="98"/>
      <c r="W485" s="98"/>
    </row>
    <row r="486">
      <c r="A486" s="96"/>
      <c r="B486" s="96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98"/>
      <c r="R486" s="96"/>
      <c r="V486" s="98"/>
      <c r="W486" s="98"/>
    </row>
    <row r="487">
      <c r="A487" s="96"/>
      <c r="B487" s="96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98"/>
      <c r="R487" s="96"/>
      <c r="V487" s="98"/>
      <c r="W487" s="98"/>
    </row>
    <row r="488">
      <c r="A488" s="96"/>
      <c r="B488" s="96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98"/>
      <c r="R488" s="96"/>
      <c r="V488" s="98"/>
      <c r="W488" s="98"/>
    </row>
    <row r="489">
      <c r="A489" s="96"/>
      <c r="B489" s="96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98"/>
      <c r="R489" s="96"/>
      <c r="V489" s="98"/>
      <c r="W489" s="98"/>
    </row>
    <row r="490">
      <c r="A490" s="96"/>
      <c r="B490" s="96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98"/>
      <c r="R490" s="96"/>
      <c r="V490" s="98"/>
      <c r="W490" s="98"/>
    </row>
    <row r="491">
      <c r="A491" s="96"/>
      <c r="B491" s="96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98"/>
      <c r="R491" s="96"/>
      <c r="V491" s="98"/>
      <c r="W491" s="98"/>
    </row>
    <row r="492">
      <c r="A492" s="96"/>
      <c r="B492" s="96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98"/>
      <c r="R492" s="96"/>
      <c r="V492" s="98"/>
      <c r="W492" s="98"/>
    </row>
    <row r="493">
      <c r="A493" s="96"/>
      <c r="B493" s="96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98"/>
      <c r="R493" s="96"/>
      <c r="V493" s="98"/>
      <c r="W493" s="98"/>
    </row>
    <row r="494">
      <c r="A494" s="96"/>
      <c r="B494" s="96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98"/>
      <c r="R494" s="96"/>
      <c r="V494" s="98"/>
      <c r="W494" s="98"/>
    </row>
    <row r="495">
      <c r="A495" s="96"/>
      <c r="B495" s="96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98"/>
      <c r="R495" s="96"/>
      <c r="V495" s="98"/>
      <c r="W495" s="98"/>
    </row>
    <row r="496">
      <c r="A496" s="96"/>
      <c r="B496" s="96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98"/>
      <c r="R496" s="96"/>
      <c r="V496" s="98"/>
      <c r="W496" s="98"/>
    </row>
    <row r="497">
      <c r="A497" s="96"/>
      <c r="B497" s="96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98"/>
      <c r="R497" s="96"/>
      <c r="V497" s="98"/>
      <c r="W497" s="98"/>
    </row>
    <row r="498">
      <c r="A498" s="96"/>
      <c r="B498" s="96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98"/>
      <c r="R498" s="96"/>
      <c r="V498" s="98"/>
      <c r="W498" s="98"/>
    </row>
    <row r="499">
      <c r="A499" s="96"/>
      <c r="B499" s="96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98"/>
      <c r="R499" s="96"/>
      <c r="V499" s="98"/>
      <c r="W499" s="98"/>
    </row>
    <row r="500">
      <c r="A500" s="96"/>
      <c r="B500" s="96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98"/>
      <c r="R500" s="96"/>
      <c r="V500" s="98"/>
      <c r="W500" s="98"/>
    </row>
    <row r="501">
      <c r="A501" s="96"/>
      <c r="B501" s="96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98"/>
      <c r="R501" s="96"/>
      <c r="V501" s="98"/>
      <c r="W501" s="98"/>
    </row>
    <row r="502">
      <c r="A502" s="96"/>
      <c r="B502" s="96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98"/>
      <c r="R502" s="96"/>
      <c r="V502" s="98"/>
      <c r="W502" s="98"/>
    </row>
    <row r="503">
      <c r="A503" s="96"/>
      <c r="B503" s="96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98"/>
      <c r="R503" s="96"/>
      <c r="V503" s="98"/>
      <c r="W503" s="98"/>
    </row>
    <row r="504">
      <c r="A504" s="96"/>
      <c r="B504" s="96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98"/>
      <c r="R504" s="96"/>
      <c r="V504" s="98"/>
      <c r="W504" s="98"/>
    </row>
    <row r="505">
      <c r="A505" s="96"/>
      <c r="B505" s="96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98"/>
      <c r="R505" s="96"/>
      <c r="V505" s="98"/>
      <c r="W505" s="98"/>
    </row>
    <row r="506">
      <c r="A506" s="96"/>
      <c r="B506" s="96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98"/>
      <c r="R506" s="96"/>
      <c r="V506" s="98"/>
      <c r="W506" s="98"/>
    </row>
    <row r="507">
      <c r="A507" s="96"/>
      <c r="B507" s="96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98"/>
      <c r="R507" s="96"/>
      <c r="V507" s="98"/>
      <c r="W507" s="98"/>
    </row>
    <row r="508">
      <c r="A508" s="96"/>
      <c r="B508" s="96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98"/>
      <c r="R508" s="96"/>
      <c r="V508" s="98"/>
      <c r="W508" s="98"/>
    </row>
    <row r="509">
      <c r="A509" s="96"/>
      <c r="B509" s="96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98"/>
      <c r="R509" s="96"/>
      <c r="V509" s="98"/>
      <c r="W509" s="98"/>
    </row>
    <row r="510">
      <c r="A510" s="96"/>
      <c r="B510" s="96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98"/>
      <c r="R510" s="96"/>
      <c r="V510" s="98"/>
      <c r="W510" s="98"/>
    </row>
    <row r="511">
      <c r="A511" s="96"/>
      <c r="B511" s="96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98"/>
      <c r="R511" s="96"/>
      <c r="V511" s="98"/>
      <c r="W511" s="98"/>
    </row>
    <row r="512">
      <c r="A512" s="96"/>
      <c r="B512" s="96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98"/>
      <c r="R512" s="96"/>
      <c r="V512" s="98"/>
      <c r="W512" s="98"/>
    </row>
    <row r="513">
      <c r="A513" s="96"/>
      <c r="B513" s="96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98"/>
      <c r="R513" s="96"/>
      <c r="V513" s="98"/>
      <c r="W513" s="98"/>
    </row>
    <row r="514">
      <c r="A514" s="96"/>
      <c r="B514" s="96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98"/>
      <c r="R514" s="96"/>
      <c r="V514" s="98"/>
      <c r="W514" s="98"/>
    </row>
    <row r="515">
      <c r="A515" s="96"/>
      <c r="B515" s="96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98"/>
      <c r="R515" s="96"/>
      <c r="V515" s="98"/>
      <c r="W515" s="98"/>
    </row>
    <row r="516">
      <c r="A516" s="96"/>
      <c r="B516" s="96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98"/>
      <c r="R516" s="96"/>
      <c r="V516" s="98"/>
      <c r="W516" s="98"/>
    </row>
    <row r="517">
      <c r="A517" s="96"/>
      <c r="B517" s="96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98"/>
      <c r="R517" s="96"/>
      <c r="V517" s="98"/>
      <c r="W517" s="98"/>
    </row>
    <row r="518">
      <c r="A518" s="96"/>
      <c r="B518" s="96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98"/>
      <c r="R518" s="96"/>
      <c r="V518" s="98"/>
      <c r="W518" s="98"/>
    </row>
    <row r="519">
      <c r="A519" s="96"/>
      <c r="B519" s="96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98"/>
      <c r="R519" s="96"/>
      <c r="V519" s="98"/>
      <c r="W519" s="98"/>
    </row>
    <row r="520">
      <c r="A520" s="96"/>
      <c r="B520" s="96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98"/>
      <c r="R520" s="96"/>
      <c r="V520" s="98"/>
      <c r="W520" s="98"/>
    </row>
    <row r="521">
      <c r="A521" s="96"/>
      <c r="B521" s="96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98"/>
      <c r="R521" s="96"/>
      <c r="V521" s="98"/>
      <c r="W521" s="98"/>
    </row>
    <row r="522">
      <c r="A522" s="96"/>
      <c r="B522" s="96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98"/>
      <c r="R522" s="96"/>
      <c r="V522" s="98"/>
      <c r="W522" s="98"/>
    </row>
    <row r="523">
      <c r="A523" s="96"/>
      <c r="B523" s="96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98"/>
      <c r="R523" s="96"/>
      <c r="V523" s="98"/>
      <c r="W523" s="98"/>
    </row>
    <row r="524">
      <c r="A524" s="96"/>
      <c r="B524" s="96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98"/>
      <c r="R524" s="96"/>
      <c r="V524" s="98"/>
      <c r="W524" s="98"/>
    </row>
    <row r="525">
      <c r="A525" s="96"/>
      <c r="B525" s="96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98"/>
      <c r="R525" s="96"/>
      <c r="V525" s="98"/>
      <c r="W525" s="98"/>
    </row>
    <row r="526">
      <c r="A526" s="96"/>
      <c r="B526" s="96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98"/>
      <c r="R526" s="96"/>
      <c r="V526" s="98"/>
      <c r="W526" s="98"/>
    </row>
    <row r="527">
      <c r="A527" s="96"/>
      <c r="B527" s="96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98"/>
      <c r="R527" s="96"/>
      <c r="V527" s="98"/>
      <c r="W527" s="98"/>
    </row>
    <row r="528">
      <c r="A528" s="96"/>
      <c r="B528" s="96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98"/>
      <c r="R528" s="96"/>
      <c r="V528" s="98"/>
      <c r="W528" s="98"/>
    </row>
    <row r="529">
      <c r="A529" s="96"/>
      <c r="B529" s="96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98"/>
      <c r="R529" s="96"/>
      <c r="V529" s="98"/>
      <c r="W529" s="98"/>
    </row>
    <row r="530">
      <c r="A530" s="96"/>
      <c r="B530" s="96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98"/>
      <c r="R530" s="96"/>
      <c r="V530" s="98"/>
      <c r="W530" s="98"/>
    </row>
    <row r="531">
      <c r="A531" s="96"/>
      <c r="B531" s="96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98"/>
      <c r="R531" s="96"/>
      <c r="V531" s="98"/>
      <c r="W531" s="98"/>
    </row>
    <row r="532">
      <c r="A532" s="96"/>
      <c r="B532" s="96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98"/>
      <c r="R532" s="96"/>
      <c r="V532" s="98"/>
      <c r="W532" s="98"/>
    </row>
    <row r="533">
      <c r="A533" s="96"/>
      <c r="B533" s="96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98"/>
      <c r="R533" s="96"/>
      <c r="V533" s="98"/>
      <c r="W533" s="98"/>
    </row>
    <row r="534">
      <c r="A534" s="96"/>
      <c r="B534" s="96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98"/>
      <c r="R534" s="96"/>
      <c r="V534" s="98"/>
      <c r="W534" s="98"/>
    </row>
    <row r="535">
      <c r="A535" s="96"/>
      <c r="B535" s="96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98"/>
      <c r="R535" s="96"/>
      <c r="V535" s="98"/>
      <c r="W535" s="98"/>
    </row>
    <row r="536">
      <c r="A536" s="96"/>
      <c r="B536" s="96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98"/>
      <c r="R536" s="96"/>
      <c r="V536" s="98"/>
      <c r="W536" s="98"/>
    </row>
    <row r="537">
      <c r="A537" s="96"/>
      <c r="B537" s="96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98"/>
      <c r="R537" s="96"/>
      <c r="V537" s="98"/>
      <c r="W537" s="98"/>
    </row>
    <row r="538">
      <c r="A538" s="96"/>
      <c r="B538" s="96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98"/>
      <c r="R538" s="96"/>
      <c r="V538" s="98"/>
      <c r="W538" s="98"/>
    </row>
    <row r="539">
      <c r="A539" s="96"/>
      <c r="B539" s="96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98"/>
      <c r="R539" s="96"/>
      <c r="V539" s="98"/>
      <c r="W539" s="98"/>
    </row>
    <row r="540">
      <c r="A540" s="96"/>
      <c r="B540" s="96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98"/>
      <c r="R540" s="96"/>
      <c r="V540" s="98"/>
      <c r="W540" s="98"/>
    </row>
    <row r="541">
      <c r="A541" s="96"/>
      <c r="B541" s="96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98"/>
      <c r="R541" s="96"/>
      <c r="V541" s="98"/>
      <c r="W541" s="98"/>
    </row>
    <row r="542">
      <c r="A542" s="96"/>
      <c r="B542" s="96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98"/>
      <c r="R542" s="96"/>
      <c r="V542" s="98"/>
      <c r="W542" s="98"/>
    </row>
    <row r="543">
      <c r="A543" s="96"/>
      <c r="B543" s="96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98"/>
      <c r="R543" s="96"/>
      <c r="V543" s="98"/>
      <c r="W543" s="98"/>
    </row>
    <row r="544">
      <c r="A544" s="96"/>
      <c r="B544" s="96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98"/>
      <c r="R544" s="96"/>
      <c r="V544" s="98"/>
      <c r="W544" s="98"/>
    </row>
    <row r="545">
      <c r="A545" s="96"/>
      <c r="B545" s="96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98"/>
      <c r="R545" s="96"/>
      <c r="V545" s="98"/>
      <c r="W545" s="98"/>
    </row>
    <row r="546">
      <c r="A546" s="96"/>
      <c r="B546" s="96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98"/>
      <c r="R546" s="96"/>
      <c r="V546" s="98"/>
      <c r="W546" s="98"/>
    </row>
    <row r="547">
      <c r="A547" s="96"/>
      <c r="B547" s="96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98"/>
      <c r="R547" s="96"/>
      <c r="V547" s="98"/>
      <c r="W547" s="98"/>
    </row>
    <row r="548">
      <c r="A548" s="96"/>
      <c r="B548" s="96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98"/>
      <c r="R548" s="96"/>
      <c r="V548" s="98"/>
      <c r="W548" s="98"/>
    </row>
    <row r="549">
      <c r="A549" s="96"/>
      <c r="B549" s="96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98"/>
      <c r="R549" s="96"/>
      <c r="V549" s="98"/>
      <c r="W549" s="98"/>
    </row>
    <row r="550">
      <c r="A550" s="96"/>
      <c r="B550" s="96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98"/>
      <c r="R550" s="96"/>
      <c r="V550" s="98"/>
      <c r="W550" s="98"/>
    </row>
    <row r="551">
      <c r="A551" s="96"/>
      <c r="B551" s="96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98"/>
      <c r="R551" s="96"/>
      <c r="V551" s="98"/>
      <c r="W551" s="98"/>
    </row>
    <row r="552">
      <c r="A552" s="96"/>
      <c r="B552" s="96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98"/>
      <c r="R552" s="96"/>
      <c r="V552" s="98"/>
      <c r="W552" s="98"/>
    </row>
    <row r="553">
      <c r="A553" s="96"/>
      <c r="B553" s="96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98"/>
      <c r="R553" s="96"/>
      <c r="V553" s="98"/>
      <c r="W553" s="98"/>
    </row>
    <row r="554">
      <c r="A554" s="96"/>
      <c r="B554" s="96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98"/>
      <c r="R554" s="96"/>
      <c r="V554" s="98"/>
      <c r="W554" s="98"/>
    </row>
    <row r="555">
      <c r="A555" s="96"/>
      <c r="B555" s="96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98"/>
      <c r="R555" s="96"/>
      <c r="V555" s="98"/>
      <c r="W555" s="98"/>
    </row>
    <row r="556">
      <c r="A556" s="96"/>
      <c r="B556" s="96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98"/>
      <c r="R556" s="96"/>
      <c r="V556" s="98"/>
      <c r="W556" s="98"/>
    </row>
    <row r="557">
      <c r="A557" s="96"/>
      <c r="B557" s="96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98"/>
      <c r="R557" s="96"/>
      <c r="V557" s="98"/>
      <c r="W557" s="98"/>
    </row>
    <row r="558">
      <c r="A558" s="96"/>
      <c r="B558" s="96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98"/>
      <c r="R558" s="96"/>
      <c r="V558" s="98"/>
      <c r="W558" s="98"/>
    </row>
    <row r="559">
      <c r="A559" s="96"/>
      <c r="B559" s="96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98"/>
      <c r="R559" s="96"/>
      <c r="V559" s="98"/>
      <c r="W559" s="98"/>
    </row>
    <row r="560">
      <c r="A560" s="96"/>
      <c r="B560" s="96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98"/>
      <c r="R560" s="96"/>
      <c r="V560" s="98"/>
      <c r="W560" s="98"/>
    </row>
    <row r="561">
      <c r="A561" s="96"/>
      <c r="B561" s="96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98"/>
      <c r="R561" s="96"/>
      <c r="V561" s="98"/>
      <c r="W561" s="98"/>
    </row>
    <row r="562">
      <c r="A562" s="96"/>
      <c r="B562" s="96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98"/>
      <c r="R562" s="96"/>
      <c r="V562" s="98"/>
      <c r="W562" s="98"/>
    </row>
    <row r="563">
      <c r="A563" s="96"/>
      <c r="B563" s="96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98"/>
      <c r="R563" s="96"/>
      <c r="V563" s="98"/>
      <c r="W563" s="98"/>
    </row>
    <row r="564">
      <c r="A564" s="96"/>
      <c r="B564" s="96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98"/>
      <c r="R564" s="96"/>
      <c r="V564" s="98"/>
      <c r="W564" s="98"/>
    </row>
    <row r="565">
      <c r="A565" s="96"/>
      <c r="B565" s="96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98"/>
      <c r="R565" s="96"/>
      <c r="V565" s="98"/>
      <c r="W565" s="98"/>
    </row>
    <row r="566">
      <c r="A566" s="96"/>
      <c r="B566" s="96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98"/>
      <c r="R566" s="96"/>
      <c r="V566" s="98"/>
      <c r="W566" s="98"/>
    </row>
    <row r="567">
      <c r="A567" s="96"/>
      <c r="B567" s="96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98"/>
      <c r="R567" s="96"/>
      <c r="V567" s="98"/>
      <c r="W567" s="98"/>
    </row>
    <row r="568">
      <c r="A568" s="96"/>
      <c r="B568" s="96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98"/>
      <c r="R568" s="96"/>
      <c r="V568" s="98"/>
      <c r="W568" s="98"/>
    </row>
    <row r="569">
      <c r="A569" s="96"/>
      <c r="B569" s="96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98"/>
      <c r="R569" s="96"/>
      <c r="V569" s="98"/>
      <c r="W569" s="98"/>
    </row>
    <row r="570">
      <c r="A570" s="96"/>
      <c r="B570" s="96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98"/>
      <c r="R570" s="96"/>
      <c r="V570" s="98"/>
      <c r="W570" s="98"/>
    </row>
    <row r="571">
      <c r="A571" s="96"/>
      <c r="B571" s="96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98"/>
      <c r="R571" s="96"/>
      <c r="V571" s="98"/>
      <c r="W571" s="98"/>
    </row>
    <row r="572">
      <c r="A572" s="96"/>
      <c r="B572" s="96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98"/>
      <c r="R572" s="96"/>
      <c r="V572" s="98"/>
      <c r="W572" s="98"/>
    </row>
    <row r="573">
      <c r="A573" s="96"/>
      <c r="B573" s="96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98"/>
      <c r="R573" s="96"/>
      <c r="V573" s="98"/>
      <c r="W573" s="98"/>
    </row>
    <row r="574">
      <c r="A574" s="96"/>
      <c r="B574" s="96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98"/>
      <c r="R574" s="96"/>
      <c r="V574" s="98"/>
      <c r="W574" s="98"/>
    </row>
    <row r="575">
      <c r="A575" s="96"/>
      <c r="B575" s="96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98"/>
      <c r="R575" s="96"/>
      <c r="V575" s="98"/>
      <c r="W575" s="98"/>
    </row>
    <row r="576">
      <c r="A576" s="96"/>
      <c r="B576" s="96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98"/>
      <c r="R576" s="96"/>
      <c r="V576" s="98"/>
      <c r="W576" s="98"/>
    </row>
    <row r="577">
      <c r="A577" s="96"/>
      <c r="B577" s="96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98"/>
      <c r="R577" s="96"/>
      <c r="V577" s="98"/>
      <c r="W577" s="98"/>
    </row>
    <row r="578">
      <c r="A578" s="96"/>
      <c r="B578" s="96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98"/>
      <c r="R578" s="96"/>
      <c r="V578" s="98"/>
      <c r="W578" s="98"/>
    </row>
    <row r="579">
      <c r="A579" s="96"/>
      <c r="B579" s="96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98"/>
      <c r="R579" s="96"/>
      <c r="V579" s="98"/>
      <c r="W579" s="98"/>
    </row>
    <row r="580">
      <c r="A580" s="96"/>
      <c r="B580" s="96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98"/>
      <c r="R580" s="96"/>
      <c r="V580" s="98"/>
      <c r="W580" s="98"/>
    </row>
    <row r="581">
      <c r="A581" s="96"/>
      <c r="B581" s="96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98"/>
      <c r="R581" s="96"/>
      <c r="V581" s="98"/>
      <c r="W581" s="98"/>
    </row>
    <row r="582">
      <c r="A582" s="96"/>
      <c r="B582" s="96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98"/>
      <c r="R582" s="96"/>
      <c r="V582" s="98"/>
      <c r="W582" s="98"/>
    </row>
    <row r="583">
      <c r="A583" s="96"/>
      <c r="B583" s="96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98"/>
      <c r="R583" s="96"/>
      <c r="V583" s="98"/>
      <c r="W583" s="98"/>
    </row>
    <row r="584">
      <c r="A584" s="96"/>
      <c r="B584" s="96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98"/>
      <c r="R584" s="96"/>
      <c r="V584" s="98"/>
      <c r="W584" s="98"/>
    </row>
    <row r="585">
      <c r="A585" s="96"/>
      <c r="B585" s="96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98"/>
      <c r="R585" s="96"/>
      <c r="V585" s="98"/>
      <c r="W585" s="98"/>
    </row>
    <row r="586">
      <c r="A586" s="96"/>
      <c r="B586" s="96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98"/>
      <c r="R586" s="96"/>
      <c r="V586" s="98"/>
      <c r="W586" s="98"/>
    </row>
    <row r="587">
      <c r="A587" s="96"/>
      <c r="B587" s="96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98"/>
      <c r="R587" s="96"/>
      <c r="V587" s="98"/>
      <c r="W587" s="98"/>
    </row>
    <row r="588">
      <c r="A588" s="96"/>
      <c r="B588" s="96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98"/>
      <c r="R588" s="96"/>
      <c r="V588" s="98"/>
      <c r="W588" s="98"/>
    </row>
    <row r="589">
      <c r="A589" s="96"/>
      <c r="B589" s="96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98"/>
      <c r="R589" s="96"/>
      <c r="V589" s="98"/>
      <c r="W589" s="98"/>
    </row>
    <row r="590">
      <c r="A590" s="96"/>
      <c r="B590" s="96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98"/>
      <c r="R590" s="96"/>
      <c r="V590" s="98"/>
      <c r="W590" s="98"/>
    </row>
    <row r="591">
      <c r="A591" s="96"/>
      <c r="B591" s="96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98"/>
      <c r="R591" s="96"/>
      <c r="V591" s="98"/>
      <c r="W591" s="98"/>
    </row>
    <row r="592">
      <c r="A592" s="96"/>
      <c r="B592" s="96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98"/>
      <c r="R592" s="96"/>
      <c r="V592" s="98"/>
      <c r="W592" s="98"/>
    </row>
    <row r="593">
      <c r="A593" s="96"/>
      <c r="B593" s="96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98"/>
      <c r="R593" s="96"/>
      <c r="V593" s="98"/>
      <c r="W593" s="98"/>
    </row>
    <row r="594">
      <c r="A594" s="96"/>
      <c r="B594" s="96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98"/>
      <c r="R594" s="96"/>
      <c r="V594" s="98"/>
      <c r="W594" s="98"/>
    </row>
    <row r="595">
      <c r="A595" s="96"/>
      <c r="B595" s="96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98"/>
      <c r="R595" s="96"/>
      <c r="V595" s="98"/>
      <c r="W595" s="98"/>
    </row>
    <row r="596">
      <c r="A596" s="96"/>
      <c r="B596" s="96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98"/>
      <c r="R596" s="96"/>
      <c r="V596" s="98"/>
      <c r="W596" s="98"/>
    </row>
    <row r="597">
      <c r="A597" s="96"/>
      <c r="B597" s="96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98"/>
      <c r="R597" s="96"/>
      <c r="V597" s="98"/>
      <c r="W597" s="98"/>
    </row>
    <row r="598">
      <c r="A598" s="96"/>
      <c r="B598" s="96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98"/>
      <c r="R598" s="96"/>
      <c r="V598" s="98"/>
      <c r="W598" s="98"/>
    </row>
    <row r="599">
      <c r="A599" s="96"/>
      <c r="B599" s="96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98"/>
      <c r="R599" s="96"/>
      <c r="V599" s="98"/>
      <c r="W599" s="98"/>
    </row>
    <row r="600">
      <c r="A600" s="96"/>
      <c r="B600" s="96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98"/>
      <c r="R600" s="96"/>
      <c r="V600" s="98"/>
      <c r="W600" s="98"/>
    </row>
    <row r="601">
      <c r="A601" s="96"/>
      <c r="B601" s="96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98"/>
      <c r="R601" s="96"/>
      <c r="V601" s="98"/>
      <c r="W601" s="98"/>
    </row>
    <row r="602">
      <c r="A602" s="96"/>
      <c r="B602" s="96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98"/>
      <c r="R602" s="96"/>
      <c r="V602" s="98"/>
      <c r="W602" s="98"/>
    </row>
    <row r="603">
      <c r="A603" s="96"/>
      <c r="B603" s="96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98"/>
      <c r="R603" s="96"/>
      <c r="V603" s="98"/>
      <c r="W603" s="98"/>
    </row>
    <row r="604">
      <c r="A604" s="96"/>
      <c r="B604" s="96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98"/>
      <c r="R604" s="96"/>
      <c r="V604" s="98"/>
      <c r="W604" s="98"/>
    </row>
    <row r="605">
      <c r="A605" s="96"/>
      <c r="B605" s="96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98"/>
      <c r="R605" s="96"/>
      <c r="V605" s="98"/>
      <c r="W605" s="98"/>
    </row>
    <row r="606">
      <c r="A606" s="96"/>
      <c r="B606" s="96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98"/>
      <c r="R606" s="96"/>
      <c r="V606" s="98"/>
      <c r="W606" s="98"/>
    </row>
    <row r="607">
      <c r="A607" s="96"/>
      <c r="B607" s="96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98"/>
      <c r="R607" s="96"/>
      <c r="V607" s="98"/>
      <c r="W607" s="98"/>
    </row>
    <row r="608">
      <c r="A608" s="96"/>
      <c r="B608" s="96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98"/>
      <c r="R608" s="96"/>
      <c r="V608" s="98"/>
      <c r="W608" s="98"/>
    </row>
    <row r="609">
      <c r="A609" s="96"/>
      <c r="B609" s="96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98"/>
      <c r="R609" s="96"/>
      <c r="V609" s="98"/>
      <c r="W609" s="98"/>
    </row>
    <row r="610">
      <c r="A610" s="96"/>
      <c r="B610" s="96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98"/>
      <c r="R610" s="96"/>
      <c r="V610" s="98"/>
      <c r="W610" s="98"/>
    </row>
    <row r="611">
      <c r="A611" s="96"/>
      <c r="B611" s="96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98"/>
      <c r="R611" s="96"/>
      <c r="V611" s="98"/>
      <c r="W611" s="98"/>
    </row>
    <row r="612">
      <c r="A612" s="96"/>
      <c r="B612" s="96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98"/>
      <c r="R612" s="96"/>
      <c r="V612" s="98"/>
      <c r="W612" s="98"/>
    </row>
    <row r="613">
      <c r="A613" s="96"/>
      <c r="B613" s="96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98"/>
      <c r="R613" s="96"/>
      <c r="V613" s="98"/>
      <c r="W613" s="98"/>
    </row>
    <row r="614">
      <c r="A614" s="96"/>
      <c r="B614" s="96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98"/>
      <c r="R614" s="96"/>
      <c r="V614" s="98"/>
      <c r="W614" s="98"/>
    </row>
    <row r="615">
      <c r="A615" s="96"/>
      <c r="B615" s="96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98"/>
      <c r="R615" s="96"/>
      <c r="V615" s="98"/>
      <c r="W615" s="98"/>
    </row>
    <row r="616">
      <c r="A616" s="96"/>
      <c r="B616" s="96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98"/>
      <c r="R616" s="96"/>
      <c r="V616" s="98"/>
      <c r="W616" s="98"/>
    </row>
    <row r="617">
      <c r="A617" s="96"/>
      <c r="B617" s="96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98"/>
      <c r="R617" s="96"/>
      <c r="V617" s="98"/>
      <c r="W617" s="98"/>
    </row>
    <row r="618">
      <c r="A618" s="96"/>
      <c r="B618" s="96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98"/>
      <c r="R618" s="96"/>
      <c r="V618" s="98"/>
      <c r="W618" s="98"/>
    </row>
    <row r="619">
      <c r="A619" s="96"/>
      <c r="B619" s="96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98"/>
      <c r="R619" s="96"/>
      <c r="V619" s="98"/>
      <c r="W619" s="98"/>
    </row>
    <row r="620">
      <c r="A620" s="96"/>
      <c r="B620" s="96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98"/>
      <c r="R620" s="96"/>
      <c r="V620" s="98"/>
      <c r="W620" s="98"/>
    </row>
    <row r="621">
      <c r="A621" s="96"/>
      <c r="B621" s="96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98"/>
      <c r="R621" s="96"/>
      <c r="V621" s="98"/>
      <c r="W621" s="98"/>
    </row>
    <row r="622">
      <c r="A622" s="96"/>
      <c r="B622" s="96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98"/>
      <c r="R622" s="96"/>
      <c r="V622" s="98"/>
      <c r="W622" s="98"/>
    </row>
    <row r="623">
      <c r="A623" s="96"/>
      <c r="B623" s="96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98"/>
      <c r="R623" s="96"/>
      <c r="V623" s="98"/>
      <c r="W623" s="98"/>
    </row>
    <row r="624">
      <c r="A624" s="96"/>
      <c r="B624" s="96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98"/>
      <c r="R624" s="96"/>
      <c r="V624" s="98"/>
      <c r="W624" s="98"/>
    </row>
    <row r="625">
      <c r="A625" s="96"/>
      <c r="B625" s="96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98"/>
      <c r="R625" s="96"/>
      <c r="V625" s="98"/>
      <c r="W625" s="98"/>
    </row>
    <row r="626">
      <c r="A626" s="96"/>
      <c r="B626" s="96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98"/>
      <c r="R626" s="96"/>
      <c r="V626" s="98"/>
      <c r="W626" s="98"/>
    </row>
    <row r="627">
      <c r="A627" s="96"/>
      <c r="B627" s="96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98"/>
      <c r="R627" s="96"/>
      <c r="V627" s="98"/>
      <c r="W627" s="98"/>
    </row>
    <row r="628">
      <c r="A628" s="96"/>
      <c r="B628" s="96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98"/>
      <c r="R628" s="96"/>
      <c r="V628" s="98"/>
      <c r="W628" s="98"/>
    </row>
    <row r="629">
      <c r="A629" s="96"/>
      <c r="B629" s="96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98"/>
      <c r="R629" s="96"/>
      <c r="V629" s="98"/>
      <c r="W629" s="98"/>
    </row>
    <row r="630">
      <c r="A630" s="96"/>
      <c r="B630" s="96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98"/>
      <c r="R630" s="96"/>
      <c r="V630" s="98"/>
      <c r="W630" s="98"/>
    </row>
    <row r="631">
      <c r="A631" s="96"/>
      <c r="B631" s="96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98"/>
      <c r="R631" s="96"/>
      <c r="V631" s="98"/>
      <c r="W631" s="98"/>
    </row>
    <row r="632">
      <c r="A632" s="96"/>
      <c r="B632" s="96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98"/>
      <c r="R632" s="96"/>
      <c r="V632" s="98"/>
      <c r="W632" s="98"/>
    </row>
    <row r="633">
      <c r="A633" s="96"/>
      <c r="B633" s="96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98"/>
      <c r="R633" s="96"/>
      <c r="V633" s="98"/>
      <c r="W633" s="98"/>
    </row>
    <row r="634">
      <c r="A634" s="96"/>
      <c r="B634" s="96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98"/>
      <c r="R634" s="96"/>
      <c r="V634" s="98"/>
      <c r="W634" s="98"/>
    </row>
    <row r="635">
      <c r="A635" s="96"/>
      <c r="B635" s="96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98"/>
      <c r="R635" s="96"/>
      <c r="V635" s="98"/>
      <c r="W635" s="98"/>
    </row>
    <row r="636">
      <c r="A636" s="96"/>
      <c r="B636" s="96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98"/>
      <c r="R636" s="96"/>
      <c r="V636" s="98"/>
      <c r="W636" s="98"/>
    </row>
    <row r="637">
      <c r="A637" s="96"/>
      <c r="B637" s="96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98"/>
      <c r="R637" s="96"/>
      <c r="V637" s="98"/>
      <c r="W637" s="98"/>
    </row>
    <row r="638">
      <c r="A638" s="96"/>
      <c r="B638" s="96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98"/>
      <c r="R638" s="96"/>
      <c r="V638" s="98"/>
      <c r="W638" s="98"/>
    </row>
    <row r="639">
      <c r="A639" s="96"/>
      <c r="B639" s="96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98"/>
      <c r="R639" s="96"/>
      <c r="V639" s="98"/>
      <c r="W639" s="98"/>
    </row>
    <row r="640">
      <c r="A640" s="96"/>
      <c r="B640" s="96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98"/>
      <c r="R640" s="96"/>
      <c r="V640" s="98"/>
      <c r="W640" s="98"/>
    </row>
    <row r="641">
      <c r="A641" s="96"/>
      <c r="B641" s="96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98"/>
      <c r="R641" s="96"/>
      <c r="V641" s="98"/>
      <c r="W641" s="98"/>
    </row>
    <row r="642">
      <c r="A642" s="96"/>
      <c r="B642" s="96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98"/>
      <c r="R642" s="96"/>
      <c r="V642" s="98"/>
      <c r="W642" s="98"/>
    </row>
    <row r="643">
      <c r="A643" s="96"/>
      <c r="B643" s="96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98"/>
      <c r="R643" s="96"/>
      <c r="V643" s="98"/>
      <c r="W643" s="98"/>
    </row>
    <row r="644">
      <c r="A644" s="96"/>
      <c r="B644" s="96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98"/>
      <c r="R644" s="96"/>
      <c r="V644" s="98"/>
      <c r="W644" s="98"/>
    </row>
    <row r="645">
      <c r="A645" s="96"/>
      <c r="B645" s="96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98"/>
      <c r="R645" s="96"/>
      <c r="V645" s="98"/>
      <c r="W645" s="98"/>
    </row>
    <row r="646">
      <c r="A646" s="96"/>
      <c r="B646" s="96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98"/>
      <c r="R646" s="96"/>
      <c r="V646" s="98"/>
      <c r="W646" s="98"/>
    </row>
    <row r="647">
      <c r="A647" s="96"/>
      <c r="B647" s="96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98"/>
      <c r="R647" s="96"/>
      <c r="V647" s="98"/>
      <c r="W647" s="98"/>
    </row>
    <row r="648">
      <c r="A648" s="96"/>
      <c r="B648" s="96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98"/>
      <c r="R648" s="96"/>
      <c r="V648" s="98"/>
      <c r="W648" s="98"/>
    </row>
    <row r="649">
      <c r="A649" s="96"/>
      <c r="B649" s="96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98"/>
      <c r="R649" s="96"/>
      <c r="V649" s="98"/>
      <c r="W649" s="98"/>
    </row>
    <row r="650">
      <c r="A650" s="96"/>
      <c r="B650" s="96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98"/>
      <c r="R650" s="96"/>
      <c r="V650" s="98"/>
      <c r="W650" s="98"/>
    </row>
    <row r="651">
      <c r="A651" s="96"/>
      <c r="B651" s="96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98"/>
      <c r="R651" s="96"/>
      <c r="V651" s="98"/>
      <c r="W651" s="98"/>
    </row>
    <row r="652">
      <c r="A652" s="96"/>
      <c r="B652" s="96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98"/>
      <c r="R652" s="96"/>
      <c r="V652" s="98"/>
      <c r="W652" s="98"/>
    </row>
    <row r="653">
      <c r="A653" s="96"/>
      <c r="B653" s="96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98"/>
      <c r="R653" s="96"/>
      <c r="V653" s="98"/>
      <c r="W653" s="98"/>
    </row>
    <row r="654">
      <c r="A654" s="96"/>
      <c r="B654" s="96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98"/>
      <c r="R654" s="96"/>
      <c r="V654" s="98"/>
      <c r="W654" s="98"/>
    </row>
    <row r="655">
      <c r="A655" s="96"/>
      <c r="B655" s="96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98"/>
      <c r="R655" s="96"/>
      <c r="V655" s="98"/>
      <c r="W655" s="98"/>
    </row>
    <row r="656">
      <c r="A656" s="96"/>
      <c r="B656" s="96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98"/>
      <c r="R656" s="96"/>
      <c r="V656" s="98"/>
      <c r="W656" s="98"/>
    </row>
    <row r="657">
      <c r="A657" s="96"/>
      <c r="B657" s="96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98"/>
      <c r="R657" s="96"/>
      <c r="V657" s="98"/>
      <c r="W657" s="98"/>
    </row>
    <row r="658">
      <c r="A658" s="96"/>
      <c r="B658" s="96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98"/>
      <c r="R658" s="96"/>
      <c r="V658" s="98"/>
      <c r="W658" s="98"/>
    </row>
    <row r="659">
      <c r="A659" s="96"/>
      <c r="B659" s="96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98"/>
      <c r="R659" s="96"/>
      <c r="V659" s="98"/>
      <c r="W659" s="98"/>
    </row>
    <row r="660">
      <c r="A660" s="96"/>
      <c r="B660" s="96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98"/>
      <c r="R660" s="96"/>
      <c r="V660" s="98"/>
      <c r="W660" s="98"/>
    </row>
    <row r="661">
      <c r="A661" s="96"/>
      <c r="B661" s="96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98"/>
      <c r="R661" s="96"/>
      <c r="V661" s="98"/>
      <c r="W661" s="98"/>
    </row>
    <row r="662">
      <c r="A662" s="96"/>
      <c r="B662" s="96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98"/>
      <c r="R662" s="96"/>
      <c r="V662" s="98"/>
      <c r="W662" s="98"/>
    </row>
    <row r="663">
      <c r="A663" s="96"/>
      <c r="B663" s="96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98"/>
      <c r="R663" s="96"/>
      <c r="V663" s="98"/>
      <c r="W663" s="98"/>
    </row>
    <row r="664">
      <c r="A664" s="96"/>
      <c r="B664" s="96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98"/>
      <c r="R664" s="96"/>
      <c r="V664" s="98"/>
      <c r="W664" s="98"/>
    </row>
    <row r="665">
      <c r="A665" s="96"/>
      <c r="B665" s="96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98"/>
      <c r="R665" s="96"/>
      <c r="V665" s="98"/>
      <c r="W665" s="98"/>
    </row>
    <row r="666">
      <c r="A666" s="96"/>
      <c r="B666" s="96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98"/>
      <c r="R666" s="96"/>
      <c r="V666" s="98"/>
      <c r="W666" s="98"/>
    </row>
    <row r="667">
      <c r="A667" s="96"/>
      <c r="B667" s="96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98"/>
      <c r="R667" s="96"/>
      <c r="V667" s="98"/>
      <c r="W667" s="98"/>
    </row>
    <row r="668">
      <c r="A668" s="96"/>
      <c r="B668" s="96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98"/>
      <c r="R668" s="96"/>
      <c r="V668" s="98"/>
      <c r="W668" s="98"/>
    </row>
    <row r="669">
      <c r="A669" s="96"/>
      <c r="B669" s="96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98"/>
      <c r="R669" s="96"/>
      <c r="V669" s="98"/>
      <c r="W669" s="98"/>
    </row>
    <row r="670">
      <c r="A670" s="96"/>
      <c r="B670" s="96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98"/>
      <c r="R670" s="96"/>
      <c r="V670" s="98"/>
      <c r="W670" s="98"/>
    </row>
    <row r="671">
      <c r="A671" s="96"/>
      <c r="B671" s="96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98"/>
      <c r="R671" s="96"/>
      <c r="V671" s="98"/>
      <c r="W671" s="98"/>
    </row>
    <row r="672">
      <c r="A672" s="96"/>
      <c r="B672" s="96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98"/>
      <c r="R672" s="96"/>
      <c r="V672" s="98"/>
      <c r="W672" s="98"/>
    </row>
    <row r="673">
      <c r="A673" s="96"/>
      <c r="B673" s="96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98"/>
      <c r="R673" s="96"/>
      <c r="V673" s="98"/>
      <c r="W673" s="98"/>
    </row>
    <row r="674">
      <c r="A674" s="96"/>
      <c r="B674" s="96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98"/>
      <c r="R674" s="96"/>
      <c r="V674" s="98"/>
      <c r="W674" s="98"/>
    </row>
    <row r="675">
      <c r="A675" s="96"/>
      <c r="B675" s="96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98"/>
      <c r="R675" s="96"/>
      <c r="V675" s="98"/>
      <c r="W675" s="98"/>
    </row>
    <row r="676">
      <c r="A676" s="96"/>
      <c r="B676" s="96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98"/>
      <c r="R676" s="96"/>
      <c r="V676" s="98"/>
      <c r="W676" s="98"/>
    </row>
    <row r="677">
      <c r="A677" s="96"/>
      <c r="B677" s="96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98"/>
      <c r="R677" s="96"/>
      <c r="V677" s="98"/>
      <c r="W677" s="98"/>
    </row>
    <row r="678">
      <c r="A678" s="96"/>
      <c r="B678" s="96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98"/>
      <c r="R678" s="96"/>
      <c r="V678" s="98"/>
      <c r="W678" s="98"/>
    </row>
    <row r="679">
      <c r="A679" s="96"/>
      <c r="B679" s="96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98"/>
      <c r="R679" s="96"/>
      <c r="V679" s="98"/>
      <c r="W679" s="98"/>
    </row>
    <row r="680">
      <c r="A680" s="96"/>
      <c r="B680" s="96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98"/>
      <c r="R680" s="96"/>
      <c r="V680" s="98"/>
      <c r="W680" s="98"/>
    </row>
    <row r="681">
      <c r="A681" s="96"/>
      <c r="B681" s="96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98"/>
      <c r="R681" s="96"/>
      <c r="V681" s="98"/>
      <c r="W681" s="98"/>
    </row>
    <row r="682">
      <c r="A682" s="96"/>
      <c r="B682" s="96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98"/>
      <c r="R682" s="96"/>
      <c r="V682" s="98"/>
      <c r="W682" s="98"/>
    </row>
    <row r="683">
      <c r="A683" s="96"/>
      <c r="B683" s="96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98"/>
      <c r="R683" s="96"/>
      <c r="V683" s="98"/>
      <c r="W683" s="98"/>
    </row>
    <row r="684">
      <c r="A684" s="96"/>
      <c r="B684" s="96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98"/>
      <c r="R684" s="96"/>
      <c r="V684" s="98"/>
      <c r="W684" s="98"/>
    </row>
    <row r="685">
      <c r="A685" s="96"/>
      <c r="B685" s="96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98"/>
      <c r="R685" s="96"/>
      <c r="V685" s="98"/>
      <c r="W685" s="98"/>
    </row>
    <row r="686">
      <c r="A686" s="96"/>
      <c r="B686" s="96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98"/>
      <c r="R686" s="96"/>
      <c r="V686" s="98"/>
      <c r="W686" s="98"/>
    </row>
    <row r="687">
      <c r="A687" s="96"/>
      <c r="B687" s="96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98"/>
      <c r="R687" s="96"/>
      <c r="V687" s="98"/>
      <c r="W687" s="98"/>
    </row>
    <row r="688">
      <c r="A688" s="96"/>
      <c r="B688" s="96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98"/>
      <c r="R688" s="96"/>
      <c r="V688" s="98"/>
      <c r="W688" s="98"/>
    </row>
    <row r="689">
      <c r="A689" s="96"/>
      <c r="B689" s="96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98"/>
      <c r="R689" s="96"/>
      <c r="V689" s="98"/>
      <c r="W689" s="98"/>
    </row>
    <row r="690">
      <c r="A690" s="96"/>
      <c r="B690" s="96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98"/>
      <c r="R690" s="96"/>
      <c r="V690" s="98"/>
      <c r="W690" s="98"/>
    </row>
    <row r="691">
      <c r="A691" s="96"/>
      <c r="B691" s="96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98"/>
      <c r="R691" s="96"/>
      <c r="V691" s="98"/>
      <c r="W691" s="98"/>
    </row>
    <row r="692">
      <c r="A692" s="96"/>
      <c r="B692" s="96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98"/>
      <c r="R692" s="96"/>
      <c r="V692" s="98"/>
      <c r="W692" s="98"/>
    </row>
    <row r="693">
      <c r="A693" s="96"/>
      <c r="B693" s="96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98"/>
      <c r="R693" s="96"/>
      <c r="V693" s="98"/>
      <c r="W693" s="98"/>
    </row>
    <row r="694">
      <c r="A694" s="96"/>
      <c r="B694" s="96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98"/>
      <c r="R694" s="96"/>
      <c r="V694" s="98"/>
      <c r="W694" s="98"/>
    </row>
    <row r="695">
      <c r="A695" s="96"/>
      <c r="B695" s="96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98"/>
      <c r="R695" s="96"/>
      <c r="V695" s="98"/>
      <c r="W695" s="98"/>
    </row>
    <row r="696">
      <c r="A696" s="96"/>
      <c r="B696" s="96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98"/>
      <c r="R696" s="96"/>
      <c r="V696" s="98"/>
      <c r="W696" s="98"/>
    </row>
    <row r="697">
      <c r="A697" s="96"/>
      <c r="B697" s="96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98"/>
      <c r="R697" s="96"/>
      <c r="V697" s="98"/>
      <c r="W697" s="98"/>
    </row>
    <row r="698">
      <c r="A698" s="96"/>
      <c r="B698" s="96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98"/>
      <c r="R698" s="96"/>
      <c r="V698" s="98"/>
      <c r="W698" s="98"/>
    </row>
    <row r="699">
      <c r="A699" s="96"/>
      <c r="B699" s="96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98"/>
      <c r="R699" s="96"/>
      <c r="V699" s="98"/>
      <c r="W699" s="98"/>
    </row>
    <row r="700">
      <c r="A700" s="96"/>
      <c r="B700" s="96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98"/>
      <c r="R700" s="96"/>
      <c r="V700" s="98"/>
      <c r="W700" s="98"/>
    </row>
    <row r="701">
      <c r="A701" s="96"/>
      <c r="B701" s="96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98"/>
      <c r="R701" s="96"/>
      <c r="V701" s="98"/>
      <c r="W701" s="98"/>
    </row>
    <row r="702">
      <c r="A702" s="96"/>
      <c r="B702" s="96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98"/>
      <c r="R702" s="96"/>
      <c r="V702" s="98"/>
      <c r="W702" s="98"/>
    </row>
    <row r="703">
      <c r="A703" s="96"/>
      <c r="B703" s="96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98"/>
      <c r="R703" s="96"/>
      <c r="V703" s="98"/>
      <c r="W703" s="98"/>
    </row>
    <row r="704">
      <c r="A704" s="96"/>
      <c r="B704" s="96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98"/>
      <c r="R704" s="96"/>
      <c r="V704" s="98"/>
      <c r="W704" s="98"/>
    </row>
    <row r="705">
      <c r="A705" s="96"/>
      <c r="B705" s="96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98"/>
      <c r="R705" s="96"/>
      <c r="V705" s="98"/>
      <c r="W705" s="98"/>
    </row>
    <row r="706">
      <c r="A706" s="96"/>
      <c r="B706" s="96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98"/>
      <c r="R706" s="96"/>
      <c r="V706" s="98"/>
      <c r="W706" s="98"/>
    </row>
    <row r="707">
      <c r="A707" s="96"/>
      <c r="B707" s="96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98"/>
      <c r="R707" s="96"/>
      <c r="V707" s="98"/>
      <c r="W707" s="98"/>
    </row>
    <row r="708">
      <c r="A708" s="96"/>
      <c r="B708" s="96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98"/>
      <c r="R708" s="96"/>
      <c r="V708" s="98"/>
      <c r="W708" s="98"/>
    </row>
    <row r="709">
      <c r="A709" s="96"/>
      <c r="B709" s="96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98"/>
      <c r="R709" s="96"/>
      <c r="V709" s="98"/>
      <c r="W709" s="98"/>
    </row>
    <row r="710">
      <c r="A710" s="96"/>
      <c r="B710" s="96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98"/>
      <c r="R710" s="96"/>
      <c r="V710" s="98"/>
      <c r="W710" s="98"/>
    </row>
    <row r="711">
      <c r="A711" s="96"/>
      <c r="B711" s="96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98"/>
      <c r="R711" s="96"/>
      <c r="V711" s="98"/>
      <c r="W711" s="98"/>
    </row>
    <row r="712">
      <c r="A712" s="96"/>
      <c r="B712" s="96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98"/>
      <c r="R712" s="96"/>
      <c r="V712" s="98"/>
      <c r="W712" s="98"/>
    </row>
    <row r="713">
      <c r="A713" s="96"/>
      <c r="B713" s="96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98"/>
      <c r="R713" s="96"/>
      <c r="V713" s="98"/>
      <c r="W713" s="98"/>
    </row>
    <row r="714">
      <c r="A714" s="96"/>
      <c r="B714" s="96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98"/>
      <c r="R714" s="96"/>
      <c r="V714" s="98"/>
      <c r="W714" s="98"/>
    </row>
    <row r="715">
      <c r="A715" s="96"/>
      <c r="B715" s="96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98"/>
      <c r="R715" s="96"/>
      <c r="V715" s="98"/>
      <c r="W715" s="98"/>
    </row>
    <row r="716">
      <c r="A716" s="96"/>
      <c r="B716" s="96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98"/>
      <c r="R716" s="96"/>
      <c r="V716" s="98"/>
      <c r="W716" s="98"/>
    </row>
    <row r="717">
      <c r="A717" s="96"/>
      <c r="B717" s="96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98"/>
      <c r="R717" s="96"/>
      <c r="V717" s="98"/>
      <c r="W717" s="98"/>
    </row>
    <row r="718">
      <c r="A718" s="96"/>
      <c r="B718" s="96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98"/>
      <c r="R718" s="96"/>
      <c r="V718" s="98"/>
      <c r="W718" s="98"/>
    </row>
    <row r="719">
      <c r="A719" s="96"/>
      <c r="B719" s="96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98"/>
      <c r="R719" s="96"/>
      <c r="V719" s="98"/>
      <c r="W719" s="98"/>
    </row>
    <row r="720">
      <c r="A720" s="96"/>
      <c r="B720" s="96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98"/>
      <c r="R720" s="96"/>
      <c r="V720" s="98"/>
      <c r="W720" s="98"/>
    </row>
    <row r="721">
      <c r="A721" s="96"/>
      <c r="B721" s="96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98"/>
      <c r="R721" s="96"/>
      <c r="V721" s="98"/>
      <c r="W721" s="98"/>
    </row>
    <row r="722">
      <c r="A722" s="96"/>
      <c r="B722" s="96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98"/>
      <c r="R722" s="96"/>
      <c r="V722" s="98"/>
      <c r="W722" s="98"/>
    </row>
    <row r="723">
      <c r="A723" s="96"/>
      <c r="B723" s="96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98"/>
      <c r="R723" s="96"/>
      <c r="V723" s="98"/>
      <c r="W723" s="98"/>
    </row>
    <row r="724">
      <c r="A724" s="96"/>
      <c r="B724" s="96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98"/>
      <c r="R724" s="96"/>
      <c r="V724" s="98"/>
      <c r="W724" s="98"/>
    </row>
    <row r="725">
      <c r="A725" s="96"/>
      <c r="B725" s="96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98"/>
      <c r="R725" s="96"/>
      <c r="V725" s="98"/>
      <c r="W725" s="98"/>
    </row>
    <row r="726">
      <c r="A726" s="96"/>
      <c r="B726" s="96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98"/>
      <c r="R726" s="96"/>
      <c r="V726" s="98"/>
      <c r="W726" s="98"/>
    </row>
    <row r="727">
      <c r="A727" s="96"/>
      <c r="B727" s="96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98"/>
      <c r="R727" s="96"/>
      <c r="V727" s="98"/>
      <c r="W727" s="98"/>
    </row>
    <row r="728">
      <c r="A728" s="96"/>
      <c r="B728" s="96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98"/>
      <c r="R728" s="96"/>
      <c r="V728" s="98"/>
      <c r="W728" s="98"/>
    </row>
    <row r="729">
      <c r="A729" s="96"/>
      <c r="B729" s="96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98"/>
      <c r="R729" s="96"/>
      <c r="V729" s="98"/>
      <c r="W729" s="98"/>
    </row>
    <row r="730">
      <c r="A730" s="96"/>
      <c r="B730" s="96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98"/>
      <c r="R730" s="96"/>
      <c r="V730" s="98"/>
      <c r="W730" s="98"/>
    </row>
    <row r="731">
      <c r="A731" s="96"/>
      <c r="B731" s="96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98"/>
      <c r="R731" s="96"/>
      <c r="V731" s="98"/>
      <c r="W731" s="98"/>
    </row>
    <row r="732">
      <c r="A732" s="96"/>
      <c r="B732" s="96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98"/>
      <c r="R732" s="96"/>
      <c r="V732" s="98"/>
      <c r="W732" s="98"/>
    </row>
    <row r="733">
      <c r="A733" s="96"/>
      <c r="B733" s="96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98"/>
      <c r="R733" s="96"/>
      <c r="V733" s="98"/>
      <c r="W733" s="98"/>
    </row>
    <row r="734">
      <c r="A734" s="96"/>
      <c r="B734" s="96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98"/>
      <c r="R734" s="96"/>
      <c r="V734" s="98"/>
      <c r="W734" s="98"/>
    </row>
    <row r="735">
      <c r="A735" s="96"/>
      <c r="B735" s="96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98"/>
      <c r="R735" s="96"/>
      <c r="V735" s="98"/>
      <c r="W735" s="98"/>
    </row>
    <row r="736">
      <c r="A736" s="96"/>
      <c r="B736" s="96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98"/>
      <c r="R736" s="96"/>
      <c r="V736" s="98"/>
      <c r="W736" s="98"/>
    </row>
    <row r="737">
      <c r="A737" s="96"/>
      <c r="B737" s="96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98"/>
      <c r="R737" s="96"/>
      <c r="V737" s="98"/>
      <c r="W737" s="98"/>
    </row>
    <row r="738">
      <c r="A738" s="96"/>
      <c r="B738" s="96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98"/>
      <c r="R738" s="96"/>
      <c r="V738" s="98"/>
      <c r="W738" s="98"/>
    </row>
    <row r="739">
      <c r="A739" s="96"/>
      <c r="B739" s="96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98"/>
      <c r="R739" s="96"/>
      <c r="V739" s="98"/>
      <c r="W739" s="98"/>
    </row>
    <row r="740">
      <c r="A740" s="96"/>
      <c r="B740" s="96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98"/>
      <c r="R740" s="96"/>
      <c r="V740" s="98"/>
      <c r="W740" s="98"/>
    </row>
    <row r="741">
      <c r="A741" s="96"/>
      <c r="B741" s="96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98"/>
      <c r="R741" s="96"/>
      <c r="V741" s="98"/>
      <c r="W741" s="98"/>
    </row>
    <row r="742">
      <c r="A742" s="96"/>
      <c r="B742" s="96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98"/>
      <c r="R742" s="96"/>
      <c r="V742" s="98"/>
      <c r="W742" s="98"/>
    </row>
    <row r="743">
      <c r="A743" s="96"/>
      <c r="B743" s="96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98"/>
      <c r="R743" s="96"/>
      <c r="V743" s="98"/>
      <c r="W743" s="98"/>
    </row>
    <row r="744">
      <c r="A744" s="96"/>
      <c r="B744" s="96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98"/>
      <c r="R744" s="96"/>
      <c r="V744" s="98"/>
      <c r="W744" s="98"/>
    </row>
    <row r="745">
      <c r="A745" s="96"/>
      <c r="B745" s="96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98"/>
      <c r="R745" s="96"/>
      <c r="V745" s="98"/>
      <c r="W745" s="98"/>
    </row>
    <row r="746">
      <c r="A746" s="96"/>
      <c r="B746" s="96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98"/>
      <c r="R746" s="96"/>
      <c r="V746" s="98"/>
      <c r="W746" s="98"/>
    </row>
    <row r="747">
      <c r="A747" s="96"/>
      <c r="B747" s="96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98"/>
      <c r="R747" s="96"/>
      <c r="V747" s="98"/>
      <c r="W747" s="98"/>
    </row>
    <row r="748">
      <c r="A748" s="96"/>
      <c r="B748" s="96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98"/>
      <c r="R748" s="96"/>
      <c r="V748" s="98"/>
      <c r="W748" s="98"/>
    </row>
    <row r="749">
      <c r="A749" s="96"/>
      <c r="B749" s="96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98"/>
      <c r="R749" s="96"/>
      <c r="V749" s="98"/>
      <c r="W749" s="98"/>
    </row>
    <row r="750">
      <c r="A750" s="96"/>
      <c r="B750" s="96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98"/>
      <c r="R750" s="96"/>
      <c r="V750" s="98"/>
      <c r="W750" s="98"/>
    </row>
    <row r="751">
      <c r="A751" s="96"/>
      <c r="B751" s="96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98"/>
      <c r="R751" s="96"/>
      <c r="V751" s="98"/>
      <c r="W751" s="98"/>
    </row>
    <row r="752">
      <c r="A752" s="96"/>
      <c r="B752" s="96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98"/>
      <c r="R752" s="96"/>
      <c r="V752" s="98"/>
      <c r="W752" s="98"/>
    </row>
    <row r="753">
      <c r="A753" s="96"/>
      <c r="B753" s="96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98"/>
      <c r="R753" s="96"/>
      <c r="V753" s="98"/>
      <c r="W753" s="98"/>
    </row>
    <row r="754">
      <c r="A754" s="96"/>
      <c r="B754" s="96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98"/>
      <c r="R754" s="96"/>
      <c r="V754" s="98"/>
      <c r="W754" s="98"/>
    </row>
    <row r="755">
      <c r="A755" s="96"/>
      <c r="B755" s="96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98"/>
      <c r="R755" s="96"/>
      <c r="V755" s="98"/>
      <c r="W755" s="98"/>
    </row>
    <row r="756">
      <c r="A756" s="96"/>
      <c r="B756" s="96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98"/>
      <c r="R756" s="96"/>
      <c r="V756" s="98"/>
      <c r="W756" s="98"/>
    </row>
    <row r="757">
      <c r="A757" s="96"/>
      <c r="B757" s="96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98"/>
      <c r="R757" s="96"/>
      <c r="V757" s="98"/>
      <c r="W757" s="98"/>
    </row>
    <row r="758">
      <c r="A758" s="96"/>
      <c r="B758" s="96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98"/>
      <c r="R758" s="96"/>
      <c r="V758" s="98"/>
      <c r="W758" s="98"/>
    </row>
    <row r="759">
      <c r="A759" s="96"/>
      <c r="B759" s="96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98"/>
      <c r="R759" s="96"/>
      <c r="V759" s="98"/>
      <c r="W759" s="98"/>
    </row>
    <row r="760">
      <c r="A760" s="96"/>
      <c r="B760" s="96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98"/>
      <c r="R760" s="96"/>
      <c r="V760" s="98"/>
      <c r="W760" s="98"/>
    </row>
    <row r="761">
      <c r="A761" s="96"/>
      <c r="B761" s="96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98"/>
      <c r="R761" s="96"/>
      <c r="V761" s="98"/>
      <c r="W761" s="98"/>
    </row>
    <row r="762">
      <c r="A762" s="96"/>
      <c r="B762" s="96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98"/>
      <c r="R762" s="96"/>
      <c r="V762" s="98"/>
      <c r="W762" s="98"/>
    </row>
    <row r="763">
      <c r="A763" s="96"/>
      <c r="B763" s="96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98"/>
      <c r="R763" s="96"/>
      <c r="V763" s="98"/>
      <c r="W763" s="98"/>
    </row>
    <row r="764">
      <c r="A764" s="96"/>
      <c r="B764" s="96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98"/>
      <c r="R764" s="96"/>
      <c r="V764" s="98"/>
      <c r="W764" s="98"/>
    </row>
    <row r="765">
      <c r="A765" s="96"/>
      <c r="B765" s="96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98"/>
      <c r="R765" s="96"/>
      <c r="V765" s="98"/>
      <c r="W765" s="98"/>
    </row>
    <row r="766">
      <c r="A766" s="96"/>
      <c r="B766" s="96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98"/>
      <c r="R766" s="96"/>
      <c r="V766" s="98"/>
      <c r="W766" s="98"/>
    </row>
    <row r="767">
      <c r="A767" s="96"/>
      <c r="B767" s="96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98"/>
      <c r="R767" s="96"/>
      <c r="V767" s="98"/>
      <c r="W767" s="98"/>
    </row>
    <row r="768">
      <c r="A768" s="96"/>
      <c r="B768" s="96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98"/>
      <c r="R768" s="96"/>
      <c r="V768" s="98"/>
      <c r="W768" s="98"/>
    </row>
    <row r="769">
      <c r="A769" s="96"/>
      <c r="B769" s="96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98"/>
      <c r="R769" s="96"/>
      <c r="V769" s="98"/>
      <c r="W769" s="98"/>
    </row>
    <row r="770">
      <c r="A770" s="96"/>
      <c r="B770" s="96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98"/>
      <c r="R770" s="96"/>
      <c r="V770" s="98"/>
      <c r="W770" s="98"/>
    </row>
    <row r="771">
      <c r="A771" s="96"/>
      <c r="B771" s="96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98"/>
      <c r="R771" s="96"/>
      <c r="V771" s="98"/>
      <c r="W771" s="98"/>
    </row>
    <row r="772">
      <c r="A772" s="96"/>
      <c r="B772" s="96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98"/>
      <c r="R772" s="96"/>
      <c r="V772" s="98"/>
      <c r="W772" s="98"/>
    </row>
    <row r="773">
      <c r="A773" s="96"/>
      <c r="B773" s="96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98"/>
      <c r="R773" s="96"/>
      <c r="V773" s="98"/>
      <c r="W773" s="98"/>
    </row>
    <row r="774">
      <c r="A774" s="96"/>
      <c r="B774" s="96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98"/>
      <c r="R774" s="96"/>
      <c r="V774" s="98"/>
      <c r="W774" s="98"/>
    </row>
    <row r="775">
      <c r="A775" s="96"/>
      <c r="B775" s="96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98"/>
      <c r="R775" s="96"/>
      <c r="V775" s="98"/>
      <c r="W775" s="98"/>
    </row>
    <row r="776">
      <c r="A776" s="96"/>
      <c r="B776" s="96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98"/>
      <c r="R776" s="96"/>
      <c r="V776" s="98"/>
      <c r="W776" s="98"/>
    </row>
    <row r="777">
      <c r="A777" s="96"/>
      <c r="B777" s="96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98"/>
      <c r="R777" s="96"/>
      <c r="V777" s="98"/>
      <c r="W777" s="98"/>
    </row>
    <row r="778">
      <c r="A778" s="96"/>
      <c r="B778" s="96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98"/>
      <c r="R778" s="96"/>
      <c r="V778" s="98"/>
      <c r="W778" s="98"/>
    </row>
    <row r="779">
      <c r="A779" s="96"/>
      <c r="B779" s="96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98"/>
      <c r="R779" s="96"/>
      <c r="V779" s="98"/>
      <c r="W779" s="98"/>
    </row>
    <row r="780">
      <c r="A780" s="96"/>
      <c r="B780" s="96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98"/>
      <c r="R780" s="96"/>
      <c r="V780" s="98"/>
      <c r="W780" s="98"/>
    </row>
    <row r="781">
      <c r="A781" s="96"/>
      <c r="B781" s="96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98"/>
      <c r="R781" s="96"/>
      <c r="V781" s="98"/>
      <c r="W781" s="98"/>
    </row>
    <row r="782">
      <c r="A782" s="96"/>
      <c r="B782" s="96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98"/>
      <c r="R782" s="96"/>
      <c r="V782" s="98"/>
      <c r="W782" s="98"/>
    </row>
    <row r="783">
      <c r="A783" s="96"/>
      <c r="B783" s="96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98"/>
      <c r="R783" s="96"/>
      <c r="V783" s="98"/>
      <c r="W783" s="98"/>
    </row>
    <row r="784">
      <c r="A784" s="96"/>
      <c r="B784" s="96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98"/>
      <c r="R784" s="96"/>
      <c r="V784" s="98"/>
      <c r="W784" s="98"/>
    </row>
    <row r="785">
      <c r="A785" s="96"/>
      <c r="B785" s="96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98"/>
      <c r="R785" s="96"/>
      <c r="V785" s="98"/>
      <c r="W785" s="98"/>
    </row>
    <row r="786">
      <c r="A786" s="96"/>
      <c r="B786" s="96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98"/>
      <c r="R786" s="96"/>
      <c r="V786" s="98"/>
      <c r="W786" s="98"/>
    </row>
    <row r="787">
      <c r="A787" s="96"/>
      <c r="B787" s="96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98"/>
      <c r="R787" s="96"/>
      <c r="V787" s="98"/>
      <c r="W787" s="98"/>
    </row>
    <row r="788">
      <c r="A788" s="96"/>
      <c r="B788" s="96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98"/>
      <c r="R788" s="96"/>
      <c r="V788" s="98"/>
      <c r="W788" s="98"/>
    </row>
    <row r="789">
      <c r="A789" s="96"/>
      <c r="B789" s="96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98"/>
      <c r="R789" s="96"/>
      <c r="V789" s="98"/>
      <c r="W789" s="98"/>
    </row>
    <row r="790">
      <c r="A790" s="96"/>
      <c r="B790" s="96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98"/>
      <c r="R790" s="96"/>
      <c r="V790" s="98"/>
      <c r="W790" s="98"/>
    </row>
    <row r="791">
      <c r="A791" s="96"/>
      <c r="B791" s="96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98"/>
      <c r="R791" s="96"/>
      <c r="V791" s="98"/>
      <c r="W791" s="98"/>
    </row>
    <row r="792">
      <c r="A792" s="96"/>
      <c r="B792" s="96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98"/>
      <c r="R792" s="96"/>
      <c r="V792" s="98"/>
      <c r="W792" s="98"/>
    </row>
    <row r="793">
      <c r="A793" s="96"/>
      <c r="B793" s="96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98"/>
      <c r="R793" s="96"/>
      <c r="V793" s="98"/>
      <c r="W793" s="98"/>
    </row>
    <row r="794">
      <c r="A794" s="96"/>
      <c r="B794" s="96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98"/>
      <c r="R794" s="96"/>
      <c r="V794" s="98"/>
      <c r="W794" s="98"/>
    </row>
    <row r="795">
      <c r="A795" s="96"/>
      <c r="B795" s="96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98"/>
      <c r="R795" s="96"/>
      <c r="V795" s="98"/>
      <c r="W795" s="98"/>
    </row>
    <row r="796">
      <c r="A796" s="96"/>
      <c r="B796" s="96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98"/>
      <c r="R796" s="96"/>
      <c r="V796" s="98"/>
      <c r="W796" s="98"/>
    </row>
    <row r="797">
      <c r="A797" s="96"/>
      <c r="B797" s="96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98"/>
      <c r="R797" s="96"/>
      <c r="V797" s="98"/>
      <c r="W797" s="98"/>
    </row>
    <row r="798">
      <c r="A798" s="96"/>
      <c r="B798" s="96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98"/>
      <c r="R798" s="96"/>
      <c r="V798" s="98"/>
      <c r="W798" s="98"/>
    </row>
    <row r="799">
      <c r="A799" s="96"/>
      <c r="B799" s="96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98"/>
      <c r="R799" s="96"/>
      <c r="V799" s="98"/>
      <c r="W799" s="98"/>
    </row>
    <row r="800">
      <c r="A800" s="96"/>
      <c r="B800" s="96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98"/>
      <c r="R800" s="96"/>
      <c r="V800" s="98"/>
      <c r="W800" s="98"/>
    </row>
    <row r="801">
      <c r="A801" s="96"/>
      <c r="B801" s="96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98"/>
      <c r="R801" s="96"/>
      <c r="V801" s="98"/>
      <c r="W801" s="98"/>
    </row>
    <row r="802">
      <c r="A802" s="96"/>
      <c r="B802" s="96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98"/>
      <c r="R802" s="96"/>
      <c r="V802" s="98"/>
      <c r="W802" s="98"/>
    </row>
    <row r="803">
      <c r="A803" s="96"/>
      <c r="B803" s="96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98"/>
      <c r="R803" s="96"/>
      <c r="V803" s="98"/>
      <c r="W803" s="98"/>
    </row>
    <row r="804">
      <c r="A804" s="96"/>
      <c r="B804" s="96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98"/>
      <c r="R804" s="96"/>
      <c r="V804" s="98"/>
      <c r="W804" s="98"/>
    </row>
    <row r="805">
      <c r="A805" s="96"/>
      <c r="B805" s="96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98"/>
      <c r="R805" s="96"/>
      <c r="V805" s="98"/>
      <c r="W805" s="98"/>
    </row>
    <row r="806">
      <c r="A806" s="96"/>
      <c r="B806" s="96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98"/>
      <c r="R806" s="96"/>
      <c r="V806" s="98"/>
      <c r="W806" s="98"/>
    </row>
    <row r="807">
      <c r="A807" s="96"/>
      <c r="B807" s="96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98"/>
      <c r="R807" s="96"/>
      <c r="V807" s="98"/>
      <c r="W807" s="98"/>
    </row>
    <row r="808">
      <c r="A808" s="96"/>
      <c r="B808" s="96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98"/>
      <c r="R808" s="96"/>
      <c r="V808" s="98"/>
      <c r="W808" s="98"/>
    </row>
    <row r="809">
      <c r="A809" s="96"/>
      <c r="B809" s="96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98"/>
      <c r="R809" s="96"/>
      <c r="V809" s="98"/>
      <c r="W809" s="98"/>
    </row>
    <row r="810">
      <c r="A810" s="96"/>
      <c r="B810" s="96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98"/>
      <c r="R810" s="96"/>
      <c r="V810" s="98"/>
      <c r="W810" s="98"/>
    </row>
    <row r="811">
      <c r="A811" s="96"/>
      <c r="B811" s="96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98"/>
      <c r="R811" s="96"/>
      <c r="V811" s="98"/>
      <c r="W811" s="98"/>
    </row>
    <row r="812">
      <c r="A812" s="96"/>
      <c r="B812" s="96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98"/>
      <c r="R812" s="96"/>
      <c r="V812" s="98"/>
      <c r="W812" s="98"/>
    </row>
    <row r="813">
      <c r="A813" s="96"/>
      <c r="B813" s="96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98"/>
      <c r="R813" s="96"/>
      <c r="V813" s="98"/>
      <c r="W813" s="98"/>
    </row>
    <row r="814">
      <c r="A814" s="96"/>
      <c r="B814" s="96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98"/>
      <c r="R814" s="96"/>
      <c r="V814" s="98"/>
      <c r="W814" s="98"/>
    </row>
    <row r="815">
      <c r="A815" s="96"/>
      <c r="B815" s="96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98"/>
      <c r="R815" s="96"/>
      <c r="V815" s="98"/>
      <c r="W815" s="98"/>
    </row>
    <row r="816">
      <c r="A816" s="96"/>
      <c r="B816" s="96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98"/>
      <c r="R816" s="96"/>
      <c r="V816" s="98"/>
      <c r="W816" s="98"/>
    </row>
    <row r="817">
      <c r="A817" s="96"/>
      <c r="B817" s="96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98"/>
      <c r="R817" s="96"/>
      <c r="V817" s="98"/>
      <c r="W817" s="98"/>
    </row>
    <row r="818">
      <c r="A818" s="96"/>
      <c r="B818" s="96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98"/>
      <c r="R818" s="96"/>
      <c r="V818" s="98"/>
      <c r="W818" s="98"/>
    </row>
    <row r="819">
      <c r="A819" s="96"/>
      <c r="B819" s="96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98"/>
      <c r="R819" s="96"/>
      <c r="V819" s="98"/>
      <c r="W819" s="98"/>
    </row>
    <row r="820">
      <c r="A820" s="96"/>
      <c r="B820" s="96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98"/>
      <c r="R820" s="96"/>
      <c r="V820" s="98"/>
      <c r="W820" s="98"/>
    </row>
    <row r="821">
      <c r="A821" s="96"/>
      <c r="B821" s="96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98"/>
      <c r="R821" s="96"/>
      <c r="V821" s="98"/>
      <c r="W821" s="98"/>
    </row>
    <row r="822">
      <c r="A822" s="96"/>
      <c r="B822" s="96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98"/>
      <c r="R822" s="96"/>
      <c r="V822" s="98"/>
      <c r="W822" s="98"/>
    </row>
    <row r="823">
      <c r="A823" s="96"/>
      <c r="B823" s="96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98"/>
      <c r="R823" s="96"/>
      <c r="V823" s="98"/>
      <c r="W823" s="98"/>
    </row>
    <row r="824">
      <c r="A824" s="96"/>
      <c r="B824" s="96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98"/>
      <c r="R824" s="96"/>
      <c r="V824" s="98"/>
      <c r="W824" s="98"/>
    </row>
    <row r="825">
      <c r="A825" s="96"/>
      <c r="B825" s="96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98"/>
      <c r="R825" s="96"/>
      <c r="V825" s="98"/>
      <c r="W825" s="98"/>
    </row>
    <row r="826">
      <c r="A826" s="96"/>
      <c r="B826" s="96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98"/>
      <c r="R826" s="96"/>
      <c r="V826" s="98"/>
      <c r="W826" s="98"/>
    </row>
    <row r="827">
      <c r="A827" s="96"/>
      <c r="B827" s="96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98"/>
      <c r="R827" s="96"/>
      <c r="V827" s="98"/>
      <c r="W827" s="98"/>
    </row>
    <row r="828">
      <c r="A828" s="96"/>
      <c r="B828" s="96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98"/>
      <c r="R828" s="96"/>
      <c r="V828" s="98"/>
      <c r="W828" s="98"/>
    </row>
    <row r="829">
      <c r="A829" s="96"/>
      <c r="B829" s="96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98"/>
      <c r="R829" s="96"/>
      <c r="V829" s="98"/>
      <c r="W829" s="98"/>
    </row>
    <row r="830">
      <c r="A830" s="96"/>
      <c r="B830" s="96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98"/>
      <c r="R830" s="96"/>
      <c r="V830" s="98"/>
      <c r="W830" s="98"/>
    </row>
    <row r="831">
      <c r="A831" s="96"/>
      <c r="B831" s="96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98"/>
      <c r="R831" s="96"/>
      <c r="V831" s="98"/>
      <c r="W831" s="98"/>
    </row>
    <row r="832">
      <c r="A832" s="96"/>
      <c r="B832" s="96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98"/>
      <c r="R832" s="96"/>
      <c r="V832" s="98"/>
      <c r="W832" s="98"/>
    </row>
    <row r="833">
      <c r="A833" s="96"/>
      <c r="B833" s="96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98"/>
      <c r="R833" s="96"/>
      <c r="V833" s="98"/>
      <c r="W833" s="98"/>
    </row>
    <row r="834">
      <c r="A834" s="96"/>
      <c r="B834" s="96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98"/>
      <c r="R834" s="96"/>
      <c r="V834" s="98"/>
      <c r="W834" s="98"/>
    </row>
    <row r="835">
      <c r="A835" s="96"/>
      <c r="B835" s="96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98"/>
      <c r="R835" s="96"/>
      <c r="V835" s="98"/>
      <c r="W835" s="98"/>
    </row>
    <row r="836">
      <c r="A836" s="96"/>
      <c r="B836" s="96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98"/>
      <c r="R836" s="96"/>
      <c r="V836" s="98"/>
      <c r="W836" s="98"/>
    </row>
    <row r="837">
      <c r="A837" s="96"/>
      <c r="B837" s="96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98"/>
      <c r="R837" s="96"/>
      <c r="V837" s="98"/>
      <c r="W837" s="98"/>
    </row>
    <row r="838">
      <c r="A838" s="96"/>
      <c r="B838" s="96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98"/>
      <c r="R838" s="96"/>
      <c r="V838" s="98"/>
      <c r="W838" s="98"/>
    </row>
    <row r="839">
      <c r="A839" s="96"/>
      <c r="B839" s="96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98"/>
      <c r="R839" s="96"/>
      <c r="V839" s="98"/>
      <c r="W839" s="98"/>
    </row>
    <row r="840">
      <c r="A840" s="96"/>
      <c r="B840" s="96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98"/>
      <c r="R840" s="96"/>
      <c r="V840" s="98"/>
      <c r="W840" s="98"/>
    </row>
    <row r="841">
      <c r="A841" s="96"/>
      <c r="B841" s="96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98"/>
      <c r="R841" s="96"/>
      <c r="V841" s="98"/>
      <c r="W841" s="98"/>
    </row>
    <row r="842">
      <c r="A842" s="96"/>
      <c r="B842" s="96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98"/>
      <c r="R842" s="96"/>
      <c r="V842" s="98"/>
      <c r="W842" s="98"/>
    </row>
    <row r="843">
      <c r="A843" s="96"/>
      <c r="B843" s="96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98"/>
      <c r="R843" s="96"/>
      <c r="V843" s="98"/>
      <c r="W843" s="98"/>
    </row>
    <row r="844">
      <c r="A844" s="96"/>
      <c r="B844" s="96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98"/>
      <c r="R844" s="96"/>
      <c r="V844" s="98"/>
      <c r="W844" s="98"/>
    </row>
    <row r="845">
      <c r="A845" s="96"/>
      <c r="B845" s="96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98"/>
      <c r="R845" s="96"/>
      <c r="V845" s="98"/>
      <c r="W845" s="98"/>
    </row>
    <row r="846">
      <c r="A846" s="96"/>
      <c r="B846" s="96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98"/>
      <c r="R846" s="96"/>
      <c r="V846" s="98"/>
      <c r="W846" s="98"/>
    </row>
    <row r="847">
      <c r="A847" s="96"/>
      <c r="B847" s="96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98"/>
      <c r="R847" s="96"/>
      <c r="V847" s="98"/>
      <c r="W847" s="98"/>
    </row>
    <row r="848">
      <c r="A848" s="96"/>
      <c r="B848" s="96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98"/>
      <c r="R848" s="96"/>
      <c r="V848" s="98"/>
      <c r="W848" s="98"/>
    </row>
    <row r="849">
      <c r="A849" s="96"/>
      <c r="B849" s="96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98"/>
      <c r="R849" s="96"/>
      <c r="V849" s="98"/>
      <c r="W849" s="98"/>
    </row>
    <row r="850">
      <c r="A850" s="96"/>
      <c r="B850" s="96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98"/>
      <c r="R850" s="96"/>
      <c r="V850" s="98"/>
      <c r="W850" s="98"/>
    </row>
    <row r="851">
      <c r="A851" s="96"/>
      <c r="B851" s="96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98"/>
      <c r="R851" s="96"/>
      <c r="V851" s="98"/>
      <c r="W851" s="98"/>
    </row>
    <row r="852">
      <c r="A852" s="96"/>
      <c r="B852" s="96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98"/>
      <c r="R852" s="96"/>
      <c r="V852" s="98"/>
      <c r="W852" s="98"/>
    </row>
    <row r="853">
      <c r="A853" s="96"/>
      <c r="B853" s="96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98"/>
      <c r="R853" s="96"/>
      <c r="V853" s="98"/>
      <c r="W853" s="98"/>
    </row>
    <row r="854">
      <c r="A854" s="96"/>
      <c r="B854" s="96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98"/>
      <c r="R854" s="96"/>
      <c r="V854" s="98"/>
      <c r="W854" s="98"/>
    </row>
    <row r="855">
      <c r="A855" s="96"/>
      <c r="B855" s="96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98"/>
      <c r="R855" s="96"/>
      <c r="V855" s="98"/>
      <c r="W855" s="98"/>
    </row>
    <row r="856">
      <c r="A856" s="96"/>
      <c r="B856" s="96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98"/>
      <c r="R856" s="96"/>
      <c r="V856" s="98"/>
      <c r="W856" s="98"/>
    </row>
    <row r="857">
      <c r="A857" s="96"/>
      <c r="B857" s="96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98"/>
      <c r="R857" s="96"/>
      <c r="V857" s="98"/>
      <c r="W857" s="98"/>
    </row>
    <row r="858">
      <c r="A858" s="96"/>
      <c r="B858" s="96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98"/>
      <c r="R858" s="96"/>
      <c r="V858" s="98"/>
      <c r="W858" s="98"/>
    </row>
    <row r="859">
      <c r="A859" s="96"/>
      <c r="B859" s="96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98"/>
      <c r="R859" s="96"/>
      <c r="V859" s="98"/>
      <c r="W859" s="98"/>
    </row>
    <row r="860">
      <c r="A860" s="96"/>
      <c r="B860" s="96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98"/>
      <c r="R860" s="96"/>
      <c r="V860" s="98"/>
      <c r="W860" s="98"/>
    </row>
    <row r="861">
      <c r="A861" s="96"/>
      <c r="B861" s="96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98"/>
      <c r="R861" s="96"/>
      <c r="V861" s="98"/>
      <c r="W861" s="98"/>
    </row>
    <row r="862">
      <c r="A862" s="96"/>
      <c r="B862" s="96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98"/>
      <c r="R862" s="96"/>
      <c r="V862" s="98"/>
      <c r="W862" s="98"/>
    </row>
    <row r="863">
      <c r="A863" s="96"/>
      <c r="B863" s="96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98"/>
      <c r="R863" s="96"/>
      <c r="V863" s="98"/>
      <c r="W863" s="98"/>
    </row>
    <row r="864">
      <c r="A864" s="96"/>
      <c r="B864" s="96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98"/>
      <c r="R864" s="96"/>
      <c r="V864" s="98"/>
      <c r="W864" s="98"/>
    </row>
    <row r="865">
      <c r="A865" s="96"/>
      <c r="B865" s="96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98"/>
      <c r="R865" s="96"/>
      <c r="V865" s="98"/>
      <c r="W865" s="98"/>
    </row>
    <row r="866">
      <c r="A866" s="96"/>
      <c r="B866" s="96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98"/>
      <c r="R866" s="96"/>
      <c r="V866" s="98"/>
      <c r="W866" s="98"/>
    </row>
    <row r="867">
      <c r="A867" s="96"/>
      <c r="B867" s="96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98"/>
      <c r="R867" s="96"/>
      <c r="V867" s="98"/>
      <c r="W867" s="98"/>
    </row>
    <row r="868">
      <c r="A868" s="96"/>
      <c r="B868" s="96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98"/>
      <c r="R868" s="96"/>
      <c r="V868" s="98"/>
      <c r="W868" s="98"/>
    </row>
    <row r="869">
      <c r="A869" s="96"/>
      <c r="B869" s="96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98"/>
      <c r="R869" s="96"/>
      <c r="V869" s="98"/>
      <c r="W869" s="98"/>
    </row>
    <row r="870">
      <c r="A870" s="96"/>
      <c r="B870" s="96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98"/>
      <c r="R870" s="96"/>
      <c r="V870" s="98"/>
      <c r="W870" s="98"/>
    </row>
    <row r="871">
      <c r="A871" s="96"/>
      <c r="B871" s="96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98"/>
      <c r="R871" s="96"/>
      <c r="V871" s="98"/>
      <c r="W871" s="98"/>
    </row>
    <row r="872">
      <c r="A872" s="96"/>
      <c r="B872" s="96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98"/>
      <c r="R872" s="96"/>
      <c r="V872" s="98"/>
      <c r="W872" s="98"/>
    </row>
    <row r="873">
      <c r="A873" s="96"/>
      <c r="B873" s="96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98"/>
      <c r="R873" s="96"/>
      <c r="V873" s="98"/>
      <c r="W873" s="98"/>
    </row>
    <row r="874">
      <c r="A874" s="96"/>
      <c r="B874" s="96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98"/>
      <c r="R874" s="96"/>
      <c r="V874" s="98"/>
      <c r="W874" s="98"/>
    </row>
    <row r="875">
      <c r="A875" s="96"/>
      <c r="B875" s="96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98"/>
      <c r="R875" s="96"/>
      <c r="V875" s="98"/>
      <c r="W875" s="98"/>
    </row>
    <row r="876">
      <c r="A876" s="96"/>
      <c r="B876" s="96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98"/>
      <c r="R876" s="96"/>
      <c r="V876" s="98"/>
      <c r="W876" s="98"/>
    </row>
    <row r="877">
      <c r="A877" s="96"/>
      <c r="B877" s="96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98"/>
      <c r="R877" s="96"/>
      <c r="V877" s="98"/>
      <c r="W877" s="98"/>
    </row>
    <row r="878">
      <c r="A878" s="96"/>
      <c r="B878" s="96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98"/>
      <c r="R878" s="96"/>
      <c r="V878" s="98"/>
      <c r="W878" s="98"/>
    </row>
    <row r="879">
      <c r="A879" s="96"/>
      <c r="B879" s="96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98"/>
      <c r="R879" s="96"/>
      <c r="V879" s="98"/>
      <c r="W879" s="98"/>
    </row>
    <row r="880">
      <c r="A880" s="96"/>
      <c r="B880" s="96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98"/>
      <c r="R880" s="96"/>
      <c r="V880" s="98"/>
      <c r="W880" s="98"/>
    </row>
    <row r="881">
      <c r="A881" s="96"/>
      <c r="B881" s="96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98"/>
      <c r="R881" s="96"/>
      <c r="V881" s="98"/>
      <c r="W881" s="98"/>
    </row>
    <row r="882">
      <c r="A882" s="96"/>
      <c r="B882" s="96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98"/>
      <c r="R882" s="96"/>
      <c r="V882" s="98"/>
      <c r="W882" s="98"/>
    </row>
    <row r="883">
      <c r="A883" s="96"/>
      <c r="B883" s="96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98"/>
      <c r="R883" s="96"/>
      <c r="V883" s="98"/>
      <c r="W883" s="98"/>
    </row>
    <row r="884">
      <c r="A884" s="96"/>
      <c r="B884" s="96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98"/>
      <c r="R884" s="96"/>
      <c r="V884" s="98"/>
      <c r="W884" s="98"/>
    </row>
    <row r="885">
      <c r="A885" s="96"/>
      <c r="B885" s="96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98"/>
      <c r="R885" s="96"/>
      <c r="V885" s="98"/>
      <c r="W885" s="98"/>
    </row>
    <row r="886">
      <c r="A886" s="96"/>
      <c r="B886" s="96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98"/>
      <c r="R886" s="96"/>
      <c r="V886" s="98"/>
      <c r="W886" s="98"/>
    </row>
    <row r="887">
      <c r="A887" s="96"/>
      <c r="B887" s="96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98"/>
      <c r="R887" s="96"/>
      <c r="V887" s="98"/>
      <c r="W887" s="98"/>
    </row>
    <row r="888">
      <c r="A888" s="96"/>
      <c r="B888" s="96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98"/>
      <c r="R888" s="96"/>
      <c r="V888" s="98"/>
      <c r="W888" s="98"/>
    </row>
    <row r="889">
      <c r="A889" s="96"/>
      <c r="B889" s="96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98"/>
      <c r="R889" s="96"/>
      <c r="V889" s="98"/>
      <c r="W889" s="98"/>
    </row>
    <row r="890">
      <c r="A890" s="96"/>
      <c r="B890" s="96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98"/>
      <c r="R890" s="96"/>
      <c r="V890" s="98"/>
      <c r="W890" s="98"/>
    </row>
    <row r="891">
      <c r="A891" s="96"/>
      <c r="B891" s="96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98"/>
      <c r="R891" s="96"/>
      <c r="V891" s="98"/>
      <c r="W891" s="98"/>
    </row>
    <row r="892">
      <c r="A892" s="96"/>
      <c r="B892" s="96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98"/>
      <c r="R892" s="96"/>
      <c r="V892" s="98"/>
      <c r="W892" s="98"/>
    </row>
    <row r="893">
      <c r="A893" s="96"/>
      <c r="B893" s="96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98"/>
      <c r="R893" s="96"/>
      <c r="V893" s="98"/>
      <c r="W893" s="98"/>
    </row>
    <row r="894">
      <c r="A894" s="96"/>
      <c r="B894" s="96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98"/>
      <c r="R894" s="96"/>
      <c r="V894" s="98"/>
      <c r="W894" s="98"/>
    </row>
    <row r="895">
      <c r="A895" s="96"/>
      <c r="B895" s="96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98"/>
      <c r="R895" s="96"/>
      <c r="V895" s="98"/>
      <c r="W895" s="98"/>
    </row>
    <row r="896">
      <c r="A896" s="96"/>
      <c r="B896" s="96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98"/>
      <c r="R896" s="96"/>
      <c r="V896" s="98"/>
      <c r="W896" s="98"/>
    </row>
    <row r="897">
      <c r="A897" s="96"/>
      <c r="B897" s="96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98"/>
      <c r="R897" s="96"/>
      <c r="V897" s="98"/>
      <c r="W897" s="98"/>
    </row>
    <row r="898">
      <c r="A898" s="96"/>
      <c r="B898" s="96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98"/>
      <c r="R898" s="96"/>
      <c r="V898" s="98"/>
      <c r="W898" s="98"/>
    </row>
    <row r="899">
      <c r="A899" s="96"/>
      <c r="B899" s="96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98"/>
      <c r="R899" s="96"/>
      <c r="V899" s="98"/>
      <c r="W899" s="98"/>
    </row>
    <row r="900">
      <c r="A900" s="96"/>
      <c r="B900" s="96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98"/>
      <c r="R900" s="96"/>
      <c r="V900" s="98"/>
      <c r="W900" s="98"/>
    </row>
    <row r="901">
      <c r="A901" s="96"/>
      <c r="B901" s="96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98"/>
      <c r="R901" s="96"/>
      <c r="V901" s="98"/>
      <c r="W901" s="98"/>
    </row>
    <row r="902">
      <c r="A902" s="96"/>
      <c r="B902" s="96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98"/>
      <c r="R902" s="96"/>
      <c r="V902" s="98"/>
      <c r="W902" s="98"/>
    </row>
    <row r="903">
      <c r="A903" s="96"/>
      <c r="B903" s="96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98"/>
      <c r="R903" s="96"/>
      <c r="V903" s="98"/>
      <c r="W903" s="98"/>
    </row>
    <row r="904">
      <c r="A904" s="96"/>
      <c r="B904" s="96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98"/>
      <c r="R904" s="96"/>
      <c r="V904" s="98"/>
      <c r="W904" s="98"/>
    </row>
    <row r="905">
      <c r="A905" s="96"/>
      <c r="B905" s="96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98"/>
      <c r="R905" s="96"/>
      <c r="V905" s="98"/>
      <c r="W905" s="98"/>
    </row>
    <row r="906">
      <c r="A906" s="96"/>
      <c r="B906" s="96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98"/>
      <c r="R906" s="96"/>
      <c r="V906" s="98"/>
      <c r="W906" s="98"/>
    </row>
    <row r="907">
      <c r="A907" s="96"/>
      <c r="B907" s="96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98"/>
      <c r="R907" s="96"/>
      <c r="V907" s="98"/>
      <c r="W907" s="98"/>
    </row>
    <row r="908">
      <c r="A908" s="96"/>
      <c r="B908" s="96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98"/>
      <c r="R908" s="96"/>
      <c r="V908" s="98"/>
      <c r="W908" s="98"/>
    </row>
    <row r="909">
      <c r="A909" s="96"/>
      <c r="B909" s="96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98"/>
      <c r="R909" s="96"/>
      <c r="V909" s="98"/>
      <c r="W909" s="98"/>
    </row>
    <row r="910">
      <c r="A910" s="96"/>
      <c r="B910" s="96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98"/>
      <c r="R910" s="96"/>
      <c r="V910" s="98"/>
      <c r="W910" s="98"/>
    </row>
    <row r="911">
      <c r="A911" s="96"/>
      <c r="B911" s="96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98"/>
      <c r="R911" s="96"/>
      <c r="V911" s="98"/>
      <c r="W911" s="98"/>
    </row>
    <row r="912">
      <c r="A912" s="96"/>
      <c r="B912" s="96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98"/>
      <c r="R912" s="96"/>
      <c r="V912" s="98"/>
      <c r="W912" s="98"/>
    </row>
    <row r="913">
      <c r="A913" s="96"/>
      <c r="B913" s="96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98"/>
      <c r="R913" s="96"/>
      <c r="V913" s="98"/>
      <c r="W913" s="98"/>
    </row>
    <row r="914">
      <c r="A914" s="96"/>
      <c r="B914" s="96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98"/>
      <c r="R914" s="96"/>
      <c r="V914" s="98"/>
      <c r="W914" s="98"/>
    </row>
    <row r="915">
      <c r="A915" s="96"/>
      <c r="B915" s="96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98"/>
      <c r="R915" s="96"/>
      <c r="V915" s="98"/>
      <c r="W915" s="98"/>
    </row>
    <row r="916">
      <c r="A916" s="96"/>
      <c r="B916" s="96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98"/>
      <c r="R916" s="96"/>
      <c r="V916" s="98"/>
      <c r="W916" s="98"/>
    </row>
    <row r="917">
      <c r="A917" s="96"/>
      <c r="B917" s="96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98"/>
      <c r="R917" s="96"/>
      <c r="V917" s="98"/>
      <c r="W917" s="98"/>
    </row>
    <row r="918">
      <c r="A918" s="96"/>
      <c r="B918" s="96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98"/>
      <c r="R918" s="96"/>
      <c r="V918" s="98"/>
      <c r="W918" s="98"/>
    </row>
    <row r="919">
      <c r="A919" s="96"/>
      <c r="B919" s="96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98"/>
      <c r="R919" s="96"/>
      <c r="V919" s="98"/>
      <c r="W919" s="98"/>
    </row>
    <row r="920">
      <c r="A920" s="96"/>
      <c r="B920" s="96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98"/>
      <c r="R920" s="96"/>
      <c r="V920" s="98"/>
      <c r="W920" s="98"/>
    </row>
    <row r="921">
      <c r="A921" s="96"/>
      <c r="B921" s="96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98"/>
      <c r="R921" s="96"/>
      <c r="V921" s="98"/>
      <c r="W921" s="98"/>
    </row>
    <row r="922">
      <c r="A922" s="96"/>
      <c r="B922" s="96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98"/>
      <c r="R922" s="96"/>
      <c r="V922" s="98"/>
      <c r="W922" s="98"/>
    </row>
    <row r="923">
      <c r="A923" s="96"/>
      <c r="B923" s="96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98"/>
      <c r="R923" s="96"/>
      <c r="V923" s="98"/>
      <c r="W923" s="98"/>
    </row>
    <row r="924">
      <c r="A924" s="96"/>
      <c r="B924" s="96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98"/>
      <c r="R924" s="96"/>
      <c r="V924" s="98"/>
      <c r="W924" s="98"/>
    </row>
    <row r="925">
      <c r="A925" s="96"/>
      <c r="B925" s="96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98"/>
      <c r="R925" s="96"/>
      <c r="V925" s="98"/>
      <c r="W925" s="98"/>
    </row>
    <row r="926">
      <c r="A926" s="96"/>
      <c r="B926" s="96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98"/>
      <c r="R926" s="96"/>
      <c r="V926" s="98"/>
      <c r="W926" s="98"/>
    </row>
    <row r="927">
      <c r="A927" s="96"/>
      <c r="B927" s="96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98"/>
      <c r="R927" s="96"/>
      <c r="V927" s="98"/>
      <c r="W927" s="98"/>
    </row>
    <row r="928">
      <c r="A928" s="96"/>
      <c r="B928" s="96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98"/>
      <c r="R928" s="96"/>
      <c r="V928" s="98"/>
      <c r="W928" s="98"/>
    </row>
    <row r="929">
      <c r="A929" s="96"/>
      <c r="B929" s="96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98"/>
      <c r="R929" s="96"/>
      <c r="V929" s="98"/>
      <c r="W929" s="98"/>
    </row>
    <row r="930">
      <c r="A930" s="96"/>
      <c r="B930" s="96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98"/>
      <c r="R930" s="96"/>
      <c r="V930" s="98"/>
      <c r="W930" s="98"/>
    </row>
    <row r="931">
      <c r="A931" s="96"/>
      <c r="B931" s="96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98"/>
      <c r="R931" s="96"/>
      <c r="V931" s="98"/>
      <c r="W931" s="98"/>
    </row>
    <row r="932">
      <c r="A932" s="96"/>
      <c r="B932" s="96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98"/>
      <c r="R932" s="96"/>
      <c r="V932" s="98"/>
      <c r="W932" s="98"/>
    </row>
    <row r="933">
      <c r="A933" s="96"/>
      <c r="B933" s="96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98"/>
      <c r="R933" s="96"/>
      <c r="V933" s="98"/>
      <c r="W933" s="98"/>
    </row>
    <row r="934">
      <c r="A934" s="96"/>
      <c r="B934" s="96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98"/>
      <c r="R934" s="96"/>
      <c r="V934" s="98"/>
      <c r="W934" s="98"/>
    </row>
    <row r="935">
      <c r="A935" s="96"/>
      <c r="B935" s="96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98"/>
      <c r="R935" s="96"/>
      <c r="V935" s="98"/>
      <c r="W935" s="98"/>
    </row>
    <row r="936">
      <c r="A936" s="96"/>
      <c r="B936" s="96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98"/>
      <c r="R936" s="96"/>
      <c r="V936" s="98"/>
      <c r="W936" s="98"/>
    </row>
    <row r="937">
      <c r="A937" s="96"/>
      <c r="B937" s="96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98"/>
      <c r="R937" s="96"/>
      <c r="V937" s="98"/>
      <c r="W937" s="98"/>
    </row>
    <row r="938">
      <c r="A938" s="96"/>
      <c r="B938" s="96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98"/>
      <c r="R938" s="96"/>
      <c r="V938" s="98"/>
      <c r="W938" s="98"/>
    </row>
    <row r="939">
      <c r="A939" s="96"/>
      <c r="B939" s="96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98"/>
      <c r="R939" s="96"/>
      <c r="V939" s="98"/>
      <c r="W939" s="98"/>
    </row>
    <row r="940">
      <c r="A940" s="96"/>
      <c r="B940" s="96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98"/>
      <c r="R940" s="96"/>
      <c r="V940" s="98"/>
      <c r="W940" s="98"/>
    </row>
    <row r="941">
      <c r="A941" s="96"/>
      <c r="B941" s="96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98"/>
      <c r="R941" s="96"/>
      <c r="V941" s="98"/>
      <c r="W941" s="98"/>
    </row>
    <row r="942">
      <c r="A942" s="96"/>
      <c r="B942" s="96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98"/>
      <c r="R942" s="96"/>
      <c r="V942" s="98"/>
      <c r="W942" s="98"/>
    </row>
    <row r="943">
      <c r="A943" s="96"/>
      <c r="B943" s="96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98"/>
      <c r="R943" s="96"/>
      <c r="V943" s="98"/>
      <c r="W943" s="98"/>
    </row>
    <row r="944">
      <c r="A944" s="96"/>
      <c r="B944" s="96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98"/>
      <c r="R944" s="96"/>
      <c r="V944" s="98"/>
      <c r="W944" s="98"/>
    </row>
    <row r="945">
      <c r="A945" s="96"/>
      <c r="B945" s="96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98"/>
      <c r="R945" s="96"/>
      <c r="V945" s="98"/>
      <c r="W945" s="98"/>
    </row>
    <row r="946">
      <c r="A946" s="96"/>
      <c r="B946" s="96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98"/>
      <c r="R946" s="96"/>
      <c r="V946" s="98"/>
      <c r="W946" s="98"/>
    </row>
    <row r="947">
      <c r="A947" s="96"/>
      <c r="B947" s="96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98"/>
      <c r="R947" s="96"/>
      <c r="V947" s="98"/>
      <c r="W947" s="98"/>
    </row>
    <row r="948">
      <c r="A948" s="96"/>
      <c r="B948" s="96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98"/>
      <c r="R948" s="96"/>
      <c r="V948" s="98"/>
      <c r="W948" s="98"/>
    </row>
    <row r="949">
      <c r="A949" s="96"/>
      <c r="B949" s="96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98"/>
      <c r="R949" s="96"/>
      <c r="V949" s="98"/>
      <c r="W949" s="98"/>
    </row>
    <row r="950">
      <c r="A950" s="96"/>
      <c r="B950" s="96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98"/>
      <c r="R950" s="96"/>
      <c r="V950" s="98"/>
      <c r="W950" s="98"/>
    </row>
    <row r="951">
      <c r="A951" s="96"/>
      <c r="B951" s="96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98"/>
      <c r="R951" s="96"/>
      <c r="V951" s="98"/>
      <c r="W951" s="98"/>
    </row>
    <row r="952">
      <c r="A952" s="96"/>
      <c r="B952" s="96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98"/>
      <c r="R952" s="96"/>
      <c r="V952" s="98"/>
      <c r="W952" s="98"/>
    </row>
    <row r="953">
      <c r="A953" s="96"/>
      <c r="B953" s="96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98"/>
      <c r="R953" s="96"/>
      <c r="V953" s="98"/>
      <c r="W953" s="98"/>
    </row>
    <row r="954">
      <c r="A954" s="96"/>
      <c r="B954" s="96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98"/>
      <c r="R954" s="96"/>
      <c r="V954" s="98"/>
      <c r="W954" s="98"/>
    </row>
    <row r="955">
      <c r="A955" s="96"/>
      <c r="B955" s="96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98"/>
      <c r="R955" s="96"/>
      <c r="V955" s="98"/>
      <c r="W955" s="98"/>
    </row>
    <row r="956">
      <c r="A956" s="96"/>
      <c r="B956" s="96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98"/>
      <c r="R956" s="96"/>
      <c r="V956" s="98"/>
      <c r="W956" s="98"/>
    </row>
    <row r="957">
      <c r="A957" s="96"/>
      <c r="B957" s="96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98"/>
      <c r="R957" s="96"/>
      <c r="V957" s="98"/>
      <c r="W957" s="98"/>
    </row>
    <row r="958">
      <c r="A958" s="96"/>
      <c r="B958" s="96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98"/>
      <c r="R958" s="96"/>
      <c r="V958" s="98"/>
      <c r="W958" s="98"/>
    </row>
    <row r="959">
      <c r="A959" s="96"/>
      <c r="B959" s="96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98"/>
      <c r="R959" s="96"/>
      <c r="V959" s="98"/>
      <c r="W959" s="98"/>
    </row>
    <row r="960">
      <c r="A960" s="96"/>
      <c r="B960" s="96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98"/>
      <c r="R960" s="96"/>
      <c r="V960" s="98"/>
      <c r="W960" s="98"/>
    </row>
    <row r="961">
      <c r="A961" s="96"/>
      <c r="B961" s="96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98"/>
      <c r="R961" s="96"/>
      <c r="V961" s="98"/>
      <c r="W961" s="98"/>
    </row>
    <row r="962">
      <c r="A962" s="96"/>
      <c r="B962" s="96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98"/>
      <c r="R962" s="96"/>
      <c r="V962" s="98"/>
      <c r="W962" s="98"/>
    </row>
    <row r="963">
      <c r="A963" s="96"/>
      <c r="B963" s="96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98"/>
      <c r="R963" s="96"/>
      <c r="V963" s="98"/>
      <c r="W963" s="98"/>
    </row>
    <row r="964">
      <c r="A964" s="96"/>
      <c r="B964" s="96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98"/>
      <c r="R964" s="96"/>
      <c r="V964" s="98"/>
      <c r="W964" s="98"/>
    </row>
    <row r="965">
      <c r="A965" s="96"/>
      <c r="B965" s="96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98"/>
      <c r="R965" s="96"/>
      <c r="V965" s="98"/>
      <c r="W965" s="98"/>
    </row>
    <row r="966">
      <c r="A966" s="96"/>
      <c r="B966" s="96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98"/>
      <c r="R966" s="96"/>
      <c r="V966" s="98"/>
      <c r="W966" s="98"/>
    </row>
    <row r="967">
      <c r="A967" s="96"/>
      <c r="B967" s="96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98"/>
      <c r="R967" s="96"/>
      <c r="V967" s="98"/>
      <c r="W967" s="98"/>
    </row>
    <row r="968">
      <c r="A968" s="96"/>
      <c r="B968" s="96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98"/>
      <c r="R968" s="96"/>
      <c r="V968" s="98"/>
      <c r="W968" s="98"/>
    </row>
    <row r="969">
      <c r="A969" s="96"/>
      <c r="B969" s="96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98"/>
      <c r="R969" s="96"/>
      <c r="V969" s="98"/>
      <c r="W969" s="98"/>
    </row>
    <row r="970">
      <c r="A970" s="96"/>
      <c r="B970" s="96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98"/>
      <c r="R970" s="96"/>
      <c r="V970" s="98"/>
      <c r="W970" s="98"/>
    </row>
    <row r="971">
      <c r="A971" s="96"/>
      <c r="B971" s="96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98"/>
      <c r="R971" s="96"/>
      <c r="V971" s="98"/>
      <c r="W971" s="98"/>
    </row>
    <row r="972">
      <c r="A972" s="96"/>
      <c r="B972" s="96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98"/>
      <c r="R972" s="96"/>
      <c r="V972" s="98"/>
      <c r="W972" s="98"/>
    </row>
    <row r="973">
      <c r="A973" s="96"/>
      <c r="B973" s="96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98"/>
      <c r="R973" s="96"/>
      <c r="V973" s="98"/>
      <c r="W973" s="98"/>
    </row>
    <row r="974">
      <c r="A974" s="96"/>
      <c r="B974" s="96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98"/>
      <c r="R974" s="96"/>
      <c r="V974" s="98"/>
      <c r="W974" s="98"/>
    </row>
    <row r="975">
      <c r="A975" s="96"/>
      <c r="B975" s="96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98"/>
      <c r="R975" s="96"/>
      <c r="V975" s="98"/>
      <c r="W975" s="98"/>
    </row>
    <row r="976">
      <c r="A976" s="96"/>
      <c r="B976" s="96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98"/>
      <c r="R976" s="96"/>
      <c r="V976" s="98"/>
      <c r="W976" s="98"/>
    </row>
    <row r="977">
      <c r="A977" s="96"/>
      <c r="B977" s="96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98"/>
      <c r="R977" s="96"/>
      <c r="V977" s="98"/>
      <c r="W977" s="98"/>
    </row>
    <row r="978">
      <c r="A978" s="96"/>
      <c r="B978" s="96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98"/>
      <c r="R978" s="96"/>
      <c r="V978" s="98"/>
      <c r="W978" s="98"/>
    </row>
    <row r="979">
      <c r="A979" s="96"/>
      <c r="B979" s="96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98"/>
      <c r="R979" s="96"/>
      <c r="V979" s="98"/>
      <c r="W979" s="98"/>
    </row>
    <row r="980">
      <c r="A980" s="96"/>
      <c r="B980" s="96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98"/>
      <c r="R980" s="96"/>
      <c r="V980" s="98"/>
      <c r="W980" s="98"/>
    </row>
    <row r="981">
      <c r="A981" s="96"/>
      <c r="B981" s="96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98"/>
      <c r="R981" s="96"/>
      <c r="V981" s="98"/>
      <c r="W981" s="98"/>
    </row>
    <row r="982">
      <c r="A982" s="96"/>
      <c r="B982" s="96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98"/>
      <c r="R982" s="96"/>
      <c r="V982" s="98"/>
      <c r="W982" s="98"/>
    </row>
    <row r="983">
      <c r="A983" s="96"/>
      <c r="B983" s="96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98"/>
      <c r="R983" s="96"/>
      <c r="V983" s="98"/>
      <c r="W983" s="98"/>
    </row>
    <row r="984">
      <c r="A984" s="96"/>
      <c r="B984" s="96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98"/>
      <c r="R984" s="96"/>
      <c r="V984" s="98"/>
      <c r="W984" s="98"/>
    </row>
    <row r="985">
      <c r="A985" s="96"/>
      <c r="B985" s="96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98"/>
      <c r="R985" s="96"/>
      <c r="V985" s="98"/>
      <c r="W985" s="98"/>
    </row>
    <row r="986">
      <c r="A986" s="96"/>
      <c r="B986" s="96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98"/>
      <c r="R986" s="96"/>
      <c r="V986" s="98"/>
      <c r="W986" s="98"/>
    </row>
    <row r="987">
      <c r="A987" s="96"/>
      <c r="B987" s="96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98"/>
      <c r="R987" s="96"/>
      <c r="V987" s="98"/>
      <c r="W987" s="98"/>
    </row>
    <row r="988">
      <c r="A988" s="96"/>
      <c r="B988" s="96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98"/>
      <c r="R988" s="96"/>
      <c r="V988" s="98"/>
      <c r="W988" s="98"/>
    </row>
    <row r="989">
      <c r="A989" s="96"/>
      <c r="B989" s="96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98"/>
      <c r="R989" s="96"/>
      <c r="V989" s="98"/>
      <c r="W989" s="98"/>
    </row>
    <row r="990">
      <c r="A990" s="96"/>
      <c r="B990" s="96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98"/>
      <c r="R990" s="96"/>
      <c r="V990" s="98"/>
      <c r="W990" s="98"/>
    </row>
    <row r="991">
      <c r="A991" s="96"/>
      <c r="B991" s="96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98"/>
      <c r="R991" s="96"/>
      <c r="V991" s="98"/>
      <c r="W991" s="98"/>
    </row>
    <row r="992">
      <c r="A992" s="96"/>
      <c r="B992" s="96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98"/>
      <c r="R992" s="96"/>
      <c r="V992" s="98"/>
      <c r="W992" s="98"/>
    </row>
    <row r="993">
      <c r="A993" s="96"/>
      <c r="B993" s="96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98"/>
      <c r="R993" s="96"/>
      <c r="V993" s="98"/>
      <c r="W993" s="98"/>
    </row>
    <row r="994">
      <c r="A994" s="96"/>
      <c r="B994" s="96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98"/>
      <c r="R994" s="96"/>
      <c r="V994" s="98"/>
      <c r="W994" s="98"/>
    </row>
    <row r="995">
      <c r="A995" s="96"/>
      <c r="B995" s="96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98"/>
      <c r="R995" s="96"/>
      <c r="V995" s="98"/>
      <c r="W995" s="98"/>
    </row>
    <row r="996">
      <c r="A996" s="96"/>
      <c r="B996" s="96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98"/>
      <c r="R996" s="96"/>
      <c r="V996" s="98"/>
      <c r="W996" s="98"/>
    </row>
    <row r="997">
      <c r="A997" s="96"/>
      <c r="B997" s="96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98"/>
      <c r="R997" s="96"/>
      <c r="V997" s="98"/>
      <c r="W997" s="98"/>
    </row>
    <row r="998">
      <c r="A998" s="96"/>
      <c r="B998" s="96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98"/>
      <c r="R998" s="96"/>
      <c r="V998" s="98"/>
      <c r="W998" s="98"/>
    </row>
    <row r="999">
      <c r="A999" s="96"/>
      <c r="B999" s="96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98"/>
      <c r="R999" s="96"/>
      <c r="V999" s="98"/>
      <c r="W999" s="98"/>
    </row>
    <row r="1000">
      <c r="A1000" s="96"/>
      <c r="B1000" s="96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98"/>
      <c r="R1000" s="96"/>
      <c r="V1000" s="98"/>
      <c r="W1000" s="98"/>
    </row>
    <row r="1001">
      <c r="A1001" s="96"/>
      <c r="B1001" s="96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98"/>
      <c r="R1001" s="96"/>
      <c r="V1001" s="98"/>
      <c r="W1001" s="98"/>
    </row>
    <row r="1002">
      <c r="A1002" s="96"/>
      <c r="B1002" s="96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98"/>
      <c r="R1002" s="96"/>
      <c r="V1002" s="98"/>
      <c r="W1002" s="98"/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