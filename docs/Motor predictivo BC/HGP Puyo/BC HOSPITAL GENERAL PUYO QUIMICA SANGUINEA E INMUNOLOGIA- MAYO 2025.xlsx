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Default Extension="jpeg" ContentType="image/jpeg"/>
  <Default Extension="png" ContentType="image/png"/>
  <Default Extension="tiff" ContentType="image/tiff"/>
  <Default Extension="gif" ContentType="image/gif"/>
  <Default Extension="bin" ContentType="application/vnd.openxmlformats-officedocument.oleObject"/>
  <Default Extension="wmf" ContentType="image/x-wmf"/>
  <Default Extension="emf" ContentType="image/x-emf"/>
  <Override PartName="/xl/metadata" ContentType="application/binary"/>
  <Override PartName="/xl/drawings/drawing3.xml" ContentType="application/vnd.openxmlformats-officedocument.drawing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>
  <workbookPr/>
  <bookViews>
    <workbookView activeTab="2"/>
  </bookViews>
  <sheets>
    <sheet state="visible" name="BC" sheetId="1" r:id="rId4"/>
    <sheet state="visible" name="c303" sheetId="2" r:id="rId5"/>
    <sheet state="visible" name="402" sheetId="3" r:id="rId6"/>
  </sheets>
  <definedNames/>
  <calcPr/>
  <extLst>
    <ext uri="GoogleSheetsCustomDataVersion2">
      <go:sheetsCustomData xmlns:go="http://customooxmlschemas.google.com/" r:id="rId7" roundtripDataChecksum="TTq07kf4l2Pp4AGKIWTAO7gBPq75i0/ivhWsmFVQpkQ="/>
    </ext>
  </extLst>
</workbook>
</file>

<file path=xl/sharedStrings.xml><?xml version="1.0" encoding="utf-8"?>
<sst xmlns="http://schemas.openxmlformats.org/spreadsheetml/2006/main" count="1031" uniqueCount="776">
  <si>
    <t>INFORMACIÓN GENERAL PARA CASO DE NEGOCIO (BC)</t>
  </si>
  <si>
    <t>Actualización: 11 marzo 2025 10 26am</t>
  </si>
  <si>
    <t>FECHA MAXIMA PARA CALCULO DE CONSUMIBLES (NO MENOR A 48 HORAS)</t>
  </si>
  <si>
    <t>TIPO DE CLIENTE</t>
  </si>
  <si>
    <t>PUBLICO</t>
  </si>
  <si>
    <t>ENTIDAD CONTRATANTE</t>
  </si>
  <si>
    <t>HOSPITAL GENERAL PUYO</t>
  </si>
  <si>
    <t>CLIENTE</t>
  </si>
  <si>
    <t>Código del Proceso</t>
  </si>
  <si>
    <t>SIE-HGP-2025-023</t>
  </si>
  <si>
    <t>Objeto de contratación</t>
  </si>
  <si>
    <t>“ Adquisición de dispositivos médicos para diagnóstico In Vitro de química sanguínea e inmunología por determinaciones efectivas con apoyo tecnológico, para el Hospital General
Puyo año 2025 .”.</t>
  </si>
  <si>
    <t>Provincia /Ciudad</t>
  </si>
  <si>
    <t>Pastaza - Puyo</t>
  </si>
  <si>
    <t>* Ambiente de Laboratorio :</t>
  </si>
  <si>
    <t>Número de días por semana que trabaja el laboratorio</t>
  </si>
  <si>
    <t>Turnos por dia</t>
  </si>
  <si>
    <t>Horas por turno</t>
  </si>
  <si>
    <t>Controles de calidad por turno</t>
  </si>
  <si>
    <t>0.5</t>
  </si>
  <si>
    <t>Niveles de Control</t>
  </si>
  <si>
    <t>Frecuencia de controles de calidad  (Rutina)</t>
  </si>
  <si>
    <t>diario</t>
  </si>
  <si>
    <t>Pruebas Especiales</t>
  </si>
  <si>
    <t>ckmb , ck,phos,hba1c,tpu,uibc,trsf,Toxo Igg,Toxo Igm,Rubella Igg,Rubela Igm,Herpes 1y2 IGG,HBASG,anti hbs,ca 19-9,CEA,Ca125 ,ca15-3,CA 74,CYFRA 211, IGF1</t>
  </si>
  <si>
    <t>Frecuencia de controles de calidad pruebas especiales</t>
  </si>
  <si>
    <t>2 veces a la semana</t>
  </si>
  <si>
    <t>*Equipamiento</t>
  </si>
  <si>
    <t>Nombre de Equipo Principal</t>
  </si>
  <si>
    <t>Cobas Pure  303 + 402</t>
  </si>
  <si>
    <t>Estado de equipo principal (nuevo / usado/ año de fabricación) TDR</t>
  </si>
  <si>
    <t>NUEVO no menor al 2022</t>
  </si>
  <si>
    <t>Estado de equipo: Propio / Alquilado /Nuevo /Reservado/ Serie (FAM)</t>
  </si>
  <si>
    <t xml:space="preserve">pedido para importacion equipo 402  y 303 instalado </t>
  </si>
  <si>
    <t>Imagen reserva de equipo</t>
  </si>
  <si>
    <t>Nombre de Equipo Back up</t>
  </si>
  <si>
    <t xml:space="preserve">En caso de daño del equipo principal </t>
  </si>
  <si>
    <t>Estado de equipo back up (nuevo / usado/ año de fabricación)</t>
  </si>
  <si>
    <t xml:space="preserve">CU </t>
  </si>
  <si>
    <t>Se debe instalar a la par del equipo principal? SI/NO</t>
  </si>
  <si>
    <t>No</t>
  </si>
  <si>
    <t>Ubicación de los equipos a instalar</t>
  </si>
  <si>
    <t>Laboratorio Clinico del Hospital General  Puyo</t>
  </si>
  <si>
    <t>Permite equipo provisional</t>
  </si>
  <si>
    <t>*LIS</t>
  </si>
  <si>
    <t>Incluye LIS : Si / No</t>
  </si>
  <si>
    <t xml:space="preserve">SI </t>
  </si>
  <si>
    <t>Proveedor del sistema a trabajar</t>
  </si>
  <si>
    <t>Orion</t>
  </si>
  <si>
    <t>Incluye Hadware: Si/No</t>
  </si>
  <si>
    <t>SI</t>
  </si>
  <si>
    <r>
      <rPr>
        <rFont val="Calibri"/>
        <color rgb="FF000000"/>
        <sz val="8"/>
      </rPr>
      <t xml:space="preserve">Número de pacientes </t>
    </r>
    <r>
      <rPr>
        <rFont val="Calibri"/>
        <b/>
        <color rgb="FF000000"/>
        <sz val="8"/>
      </rPr>
      <t>MENSUAL</t>
    </r>
  </si>
  <si>
    <t>Interfaz a sistema actual</t>
  </si>
  <si>
    <t>N/A</t>
  </si>
  <si>
    <t>Nombre del sistema</t>
  </si>
  <si>
    <t>Proveedor</t>
  </si>
  <si>
    <t>Interfaz de equipos</t>
  </si>
  <si>
    <t>Modelo / Proveedor</t>
  </si>
  <si>
    <t>XN-1000 / Famproject</t>
  </si>
  <si>
    <t xml:space="preserve">CORNLEY  PR-C ELECTROLYTE ANALYZER </t>
  </si>
  <si>
    <t>SYSMEX UF5000  URUANALISIS , DIRUI BCA1000 COAGULACION, VITEK 2 COMPACT MICROBIOLOGIA , BACT/ALERT 3D MICROBIOLOGIA</t>
  </si>
  <si>
    <t xml:space="preserve">Incluir 2 equipos de gases propiedad del cliente, equipos EDAN </t>
  </si>
  <si>
    <t>* Requerimiento del BC:</t>
  </si>
  <si>
    <t>Cobro de arriendo del equipamiento: Si / NO (GERENCIA)</t>
  </si>
  <si>
    <t>Plazo</t>
  </si>
  <si>
    <t xml:space="preserve">6 meses </t>
  </si>
  <si>
    <t>Proyección de plazo</t>
  </si>
  <si>
    <t>8 meses</t>
  </si>
  <si>
    <t>*Compra</t>
  </si>
  <si>
    <t>Presupuesto Referencial del proceso</t>
  </si>
  <si>
    <t>$ 151848,00</t>
  </si>
  <si>
    <t>Porcentaje máximo de canje</t>
  </si>
  <si>
    <t>Compromiso de compra (GERENCIA)</t>
  </si>
  <si>
    <t>*Entregas</t>
  </si>
  <si>
    <t>Total/Parcial - tiempo/Parcial a necesidad del laboratorio</t>
  </si>
  <si>
    <t xml:space="preserve">50% la primera entrega  y el 50% a los 90 dias de la primera entrega </t>
  </si>
  <si>
    <t>Determinacion Efectiva Si/No</t>
  </si>
  <si>
    <t>Observaciones</t>
  </si>
  <si>
    <t xml:space="preserve">Proceso considerado para 6 meses  para ser el unico oferente y llegar a una negociacion </t>
  </si>
  <si>
    <t>*Inversiones adicionales</t>
  </si>
  <si>
    <t>Características</t>
  </si>
  <si>
    <t>Estado</t>
  </si>
  <si>
    <t>Cantidad</t>
  </si>
  <si>
    <t>Precio</t>
  </si>
  <si>
    <t>Total</t>
  </si>
  <si>
    <t>Control externo de tercera opinión</t>
  </si>
  <si>
    <t>Control interno interlaboratorial</t>
  </si>
  <si>
    <t>Póliza de Fiel Cumplimiento del Contrato</t>
  </si>
  <si>
    <t>Póliza de seguro de equipos</t>
  </si>
  <si>
    <t>Ups equipo</t>
  </si>
  <si>
    <t>incluido en el equipo</t>
  </si>
  <si>
    <t>Ups servidor</t>
  </si>
  <si>
    <t>Powest on line 1kva 1000VA</t>
  </si>
  <si>
    <t>LIS</t>
  </si>
  <si>
    <t>Interfaz</t>
  </si>
  <si>
    <t>Lantronix</t>
  </si>
  <si>
    <t>IP publica</t>
  </si>
  <si>
    <t>Punto de consulta web</t>
  </si>
  <si>
    <t>Internet</t>
  </si>
  <si>
    <t>contamos con  internet en el proceso vigente</t>
  </si>
  <si>
    <t>ROUTER</t>
  </si>
  <si>
    <t>tomar en cuenta que tenemos en el cliente</t>
  </si>
  <si>
    <t>Servidor</t>
  </si>
  <si>
    <t>Computadores</t>
  </si>
  <si>
    <t>CPU+Monitor + Teclado y mouse    ingreso y emergencia</t>
  </si>
  <si>
    <t>Comprar Lidy</t>
  </si>
  <si>
    <t>Impresora Epson L4260 Laser multifuncion</t>
  </si>
  <si>
    <t>Tinta</t>
  </si>
  <si>
    <t>Impresora Epson Toner</t>
  </si>
  <si>
    <t>Toner</t>
  </si>
  <si>
    <t>Impresora Zebra Termica ZD230 ETHERNET Y USB</t>
  </si>
  <si>
    <t>Especificaciones en tdr compartidas a Lidy</t>
  </si>
  <si>
    <t>Comprar Lidy, como es Orion es impresora USB</t>
  </si>
  <si>
    <t>Lector inalambrico de codigo de barra</t>
  </si>
  <si>
    <t>Sistema de destilación de agua pequeño</t>
  </si>
  <si>
    <t>Sistema de osmosis</t>
  </si>
  <si>
    <t>actualmente se encuentra en el proceso actual de quimica cambiar membrana</t>
  </si>
  <si>
    <t>Sitema de prefiltracion</t>
  </si>
  <si>
    <t xml:space="preserve">mantenimiento  </t>
  </si>
  <si>
    <t>Tanque para resina mixta (muerta)</t>
  </si>
  <si>
    <t>accesorio incluido en el sistema de osmosis actual</t>
  </si>
  <si>
    <t>Tubo contenedor de resina</t>
  </si>
  <si>
    <t>Estructura de proteccion para sistema de agua</t>
  </si>
  <si>
    <t xml:space="preserve">actualmente se encuentra en el proceso vigente no solicitan en pliego y tdr </t>
  </si>
  <si>
    <t>MEMBRANE EQ.OSMOSIS, AG2521TF  2.5 diam</t>
  </si>
  <si>
    <t>Se cambia 1 vez a la año</t>
  </si>
  <si>
    <t>FILTER NOM. P/SEDIMENTS PX10-20XX  PURTR (CARBON)-azul</t>
  </si>
  <si>
    <t xml:space="preserve">Kevin </t>
  </si>
  <si>
    <t>FILTER NOM.P/SEDIMENTS GX05-20XX  HYTREX (FIBRA)-blanco de papel</t>
  </si>
  <si>
    <t>RESINA IONICA REGENERADA 20 "</t>
  </si>
  <si>
    <t>RESINA MUERTA 16kilos</t>
  </si>
  <si>
    <t xml:space="preserve">Cada 2 meses  </t>
  </si>
  <si>
    <t>(en caso de que el E402 no venga con sistema de doble membrana)</t>
  </si>
  <si>
    <t>Modificaciones de espacio fisico - estructura</t>
  </si>
  <si>
    <t>Modificaciones de espacio fisico - mobiliario</t>
  </si>
  <si>
    <t>Sal en grano x quintal</t>
  </si>
  <si>
    <t xml:space="preserve">se cambia cada 3 meses </t>
  </si>
  <si>
    <t>Enviar</t>
  </si>
  <si>
    <t>Climatizacion del area</t>
  </si>
  <si>
    <t>actualmente se encuentra en el proceso vigente</t>
  </si>
  <si>
    <t>Rollo de cable UTP CAT5e x 100m</t>
  </si>
  <si>
    <t>Conector RJ45 Delta CAT5E x 50 unds</t>
  </si>
  <si>
    <t>Rack Cerrado POWEST 5UR</t>
  </si>
  <si>
    <t>Switch HP Aruba Ion 5 puertos</t>
  </si>
  <si>
    <t>Switch HP Aruba Ion 1430 24 puertos</t>
  </si>
  <si>
    <t>Extensiones y cortapicos</t>
  </si>
  <si>
    <t>Extras (tairas, canaletas, espiral plastico)</t>
  </si>
  <si>
    <t>Etiquetas</t>
  </si>
  <si>
    <t>kevin</t>
  </si>
  <si>
    <t xml:space="preserve">Enviar como consumible </t>
  </si>
  <si>
    <t>A4 printer paper</t>
  </si>
  <si>
    <t>Refrigerador panorámico</t>
  </si>
  <si>
    <t>no piden en pliego y tdr pero necesitamos una</t>
  </si>
  <si>
    <t>Refrigerador médico</t>
  </si>
  <si>
    <t>Termometro para refrigerador</t>
  </si>
  <si>
    <t>Calibrado</t>
  </si>
  <si>
    <t>Termohigrometros</t>
  </si>
  <si>
    <t>Cronometros digitales</t>
  </si>
  <si>
    <t>Centrifuga</t>
  </si>
  <si>
    <t>24 Tubos</t>
  </si>
  <si>
    <t>Servicio Logisticos Proveedores</t>
  </si>
  <si>
    <t>Servicio Logisticos Clientes</t>
  </si>
  <si>
    <t>Ampolla de agua bidestilada</t>
  </si>
  <si>
    <t xml:space="preserve">Aproximadamente 1 apolla diaria </t>
  </si>
  <si>
    <t>Enviar como consumible</t>
  </si>
  <si>
    <t>Agua destilada por galón</t>
  </si>
  <si>
    <t>Hisopos x 100 uds</t>
  </si>
  <si>
    <t>Mantenimiento</t>
  </si>
  <si>
    <t>Gasas x 100 uds</t>
  </si>
  <si>
    <t>Alcohol prepad 10 x 100 uds</t>
  </si>
  <si>
    <t>Centrífuga Para Sedimentación, Media Producción</t>
  </si>
  <si>
    <t>especificaciones compartidas a Lidy</t>
  </si>
  <si>
    <t>Agitador tipo Vórtex</t>
  </si>
  <si>
    <t xml:space="preserve">especificaciones compartidas a Lidy </t>
  </si>
  <si>
    <t>Sub total</t>
  </si>
  <si>
    <t>$ -</t>
  </si>
  <si>
    <t>¿Porque es importante ganar este proceso ?</t>
  </si>
  <si>
    <t xml:space="preserve">consolidar todas las areas y ser el unico proveedor </t>
  </si>
  <si>
    <t>FECHA</t>
  </si>
  <si>
    <t>MODALIDAD</t>
  </si>
  <si>
    <t>PLAZO</t>
  </si>
  <si>
    <t>MESES</t>
  </si>
  <si>
    <t>Controles</t>
  </si>
  <si>
    <t>Calibradores</t>
  </si>
  <si>
    <t>Repetición</t>
  </si>
  <si>
    <t>PROYECCIÓN</t>
  </si>
  <si>
    <t>EQUIPO</t>
  </si>
  <si>
    <t>COBAS PRO C503+ISE</t>
  </si>
  <si>
    <t>I.D</t>
  </si>
  <si>
    <t>DESCRIPCION</t>
  </si>
  <si>
    <t>DET/KIT</t>
  </si>
  <si>
    <t>DET/AÑO/PROCESO</t>
  </si>
  <si>
    <t>PRODUCTO CALCULADO</t>
  </si>
  <si>
    <t>PRODUCTO A ENVIAR</t>
  </si>
  <si>
    <t>ÁCIDO ÚRICO</t>
  </si>
  <si>
    <t>UA2, 1300T, cobas c pack green</t>
  </si>
  <si>
    <t>ALBÚMINA RUTINA</t>
  </si>
  <si>
    <t>ALB2, 750T, cobas c pack green</t>
  </si>
  <si>
    <t>Amilasa Serica</t>
  </si>
  <si>
    <t>AMYL2, 750T, cobas c pack green</t>
  </si>
  <si>
    <t>Amilasa Pancreatica</t>
  </si>
  <si>
    <t>AMY-P, 450T, cobas c pack green</t>
  </si>
  <si>
    <t>BILIRRUBINA TOTAL</t>
  </si>
  <si>
    <t>BILT3, 1050T, cobas c pack green</t>
  </si>
  <si>
    <t>Bilirrubina Directa Alto Rendimiento</t>
  </si>
  <si>
    <t>BILD2, 1000T, cobas c pack green</t>
  </si>
  <si>
    <t>CALCIO</t>
  </si>
  <si>
    <t>CA2, 1500T, cobas c pack green</t>
  </si>
  <si>
    <t>por estabilidad</t>
  </si>
  <si>
    <t>COLESTEROL</t>
  </si>
  <si>
    <t>CHOL2, 2600T, cobas c pack green</t>
  </si>
  <si>
    <t>Colinesterasa Gen 2</t>
  </si>
  <si>
    <t>CHE2, 1050T, cobas c pack green</t>
  </si>
  <si>
    <t>Dibucaina para Colinesterasa</t>
  </si>
  <si>
    <t>DIBU, 1050T, cobas c pack green</t>
  </si>
  <si>
    <t>CREATIN KINASA</t>
  </si>
  <si>
    <t>CK, 500T, cobas c pack green</t>
  </si>
  <si>
    <t>FOSFATASA ÁCIDA</t>
  </si>
  <si>
    <t>ACP2, 4x 140T, cobas c pack green</t>
  </si>
  <si>
    <t>FOSFATASA ALCALINA</t>
  </si>
  <si>
    <t>ALP2, 1100T, cobas c pack green</t>
  </si>
  <si>
    <t>FOSFORO TOTAL</t>
  </si>
  <si>
    <t>PHOS2, 750T, cobas c pack green</t>
  </si>
  <si>
    <t>γ-Glutamyltransferasa ver. 2</t>
  </si>
  <si>
    <t>GGT-2, 400T, cobas c pack green</t>
  </si>
  <si>
    <t>GLUCOSA</t>
  </si>
  <si>
    <t>GLUC3, 3300T, cobas c pack green</t>
  </si>
  <si>
    <t>HIERRO SÉRICO</t>
  </si>
  <si>
    <t>IRON2, 700T, cobas c pack green</t>
  </si>
  <si>
    <t>Lactato</t>
  </si>
  <si>
    <t>LACT2, 100T, cobas c pack green</t>
  </si>
  <si>
    <t>LDH</t>
  </si>
  <si>
    <t>LDHI2, 850T, cobas c pack green</t>
  </si>
  <si>
    <t>LIPASA</t>
  </si>
  <si>
    <t>LIPC, 200T, cobas c pack green</t>
  </si>
  <si>
    <t>MAGNESIO</t>
  </si>
  <si>
    <t>MG2, 690T, cobas c pack green</t>
  </si>
  <si>
    <t>ALT (PYP en el mismo reactivo)</t>
  </si>
  <si>
    <t>ALTP2, 800T, cobas c pack green</t>
  </si>
  <si>
    <t>AST (PYP en el mismo reactivo)</t>
  </si>
  <si>
    <t>ASTP2, 800T, cobas c pack green</t>
  </si>
  <si>
    <t>ALTP , 450T, cobas c pack green</t>
  </si>
  <si>
    <t>ASTP, 500T, cobas c pack green</t>
  </si>
  <si>
    <t>TRIGLICÉRIDOS</t>
  </si>
  <si>
    <t>TRIGL, 1000T, cobas c pack green</t>
  </si>
  <si>
    <t>UREA</t>
  </si>
  <si>
    <t>UREAL, 600T, cobas c pack green</t>
  </si>
  <si>
    <t>α-Hydroxybutyrate Dehydrogenase Gen.2</t>
  </si>
  <si>
    <t>HBDH, 300T, cobas c pack green</t>
  </si>
  <si>
    <t>Albumin BC</t>
  </si>
  <si>
    <t>ALBP, 500T, cobas c pack green</t>
  </si>
  <si>
    <t>PROTEÍNAS TOTALES</t>
  </si>
  <si>
    <t>TP2, 1050T, cobas c pack green</t>
  </si>
  <si>
    <t>Creatinina Enzimatica</t>
  </si>
  <si>
    <t>CREP2, 600T, cobas c pack green</t>
  </si>
  <si>
    <t>Creatinina Jaffe</t>
  </si>
  <si>
    <t>CREAJ2, 2500T, cobas c pack green</t>
  </si>
  <si>
    <t>COLESTEROL HDL</t>
  </si>
  <si>
    <t>HDLC4, 700T, cobas c pack green</t>
  </si>
  <si>
    <t>COLESTEROL LDL</t>
  </si>
  <si>
    <t>LDLC3, 600T, cobas c pack green</t>
  </si>
  <si>
    <t>Apoliproteina A-1</t>
  </si>
  <si>
    <t>APOAT, 250T, cobas c pack green</t>
  </si>
  <si>
    <t>Apoliproteina B</t>
  </si>
  <si>
    <t>APOBT, 250T, cobas c pack green</t>
  </si>
  <si>
    <t>Indices Sericos</t>
  </si>
  <si>
    <t>SI2, 14500T, cobas c pack green</t>
  </si>
  <si>
    <t>Creatinin Kinasa MB</t>
  </si>
  <si>
    <t>CKMB, 150T, cobas c pack green</t>
  </si>
  <si>
    <t>MICROALBUMINURIA</t>
  </si>
  <si>
    <t>ALBT2, 500T, cobas c pack green</t>
  </si>
  <si>
    <t>Proteinas en Orina y LCR</t>
  </si>
  <si>
    <t>TPUC3, 650T, cobas c pack green</t>
  </si>
  <si>
    <t>Inmunoglobulina G (Ig G)</t>
  </si>
  <si>
    <t>IGG-2, 300T, cobas c pack green</t>
  </si>
  <si>
    <t>Anti-Estreptolisina O (ASO)</t>
  </si>
  <si>
    <t>ASLOT, 200T, cobas c pack green</t>
  </si>
  <si>
    <t>Ceruloplasmina</t>
  </si>
  <si>
    <t>CERU, 200T, cobas c pack green</t>
  </si>
  <si>
    <t>Prealbumina</t>
  </si>
  <si>
    <t>PREA, 200T, cobas c pack green</t>
  </si>
  <si>
    <t>Tina-quant IgM CSF</t>
  </si>
  <si>
    <t>IGM-C, 150T, cobas c pack green</t>
  </si>
  <si>
    <t>Tina-quant IgA CSF</t>
  </si>
  <si>
    <t>IGA-C, 150T, cobas c pack green</t>
  </si>
  <si>
    <t>UIBC</t>
  </si>
  <si>
    <t>UIBC, 100T, cobas c pack green</t>
  </si>
  <si>
    <t>CRP CUANTITATIVA*</t>
  </si>
  <si>
    <t>CRP4, 500T, cobas c pack green</t>
  </si>
  <si>
    <t>Complemento C4</t>
  </si>
  <si>
    <t>C4-2, 150T, cobas c pack green</t>
  </si>
  <si>
    <t>Haptoglobina</t>
  </si>
  <si>
    <t>HAPT2, 200T, cobas c pack green</t>
  </si>
  <si>
    <t>Complemento C3</t>
  </si>
  <si>
    <t>C3C-2, 150T, cobas c pack green</t>
  </si>
  <si>
    <t>Cadenas Ligeras Totales Kappa</t>
  </si>
  <si>
    <t>KAPP2, 100T, cobas c pack green</t>
  </si>
  <si>
    <t>Cadenas Ligeras Totales Lambda</t>
  </si>
  <si>
    <t>LAMB2, 100T, cobas c pack green</t>
  </si>
  <si>
    <t>Tina-quant α1-Antitrypsin ver.2</t>
  </si>
  <si>
    <t>AAT2, 200T, cobas c pack green</t>
  </si>
  <si>
    <t>Tina-quant α1-Acid Glycoprotein Gen. 2</t>
  </si>
  <si>
    <t>AAGP2, 100T, cobas c pack green</t>
  </si>
  <si>
    <t>Transferrina</t>
  </si>
  <si>
    <t>TRSF2, 500T, cobas c pack green</t>
  </si>
  <si>
    <t>Tina-quant Ferritin Gen.4</t>
  </si>
  <si>
    <t>FERR4, 400T, cobas c pack green</t>
  </si>
  <si>
    <t>Inmunoglobulina M (Ig M) en suero</t>
  </si>
  <si>
    <t>IGM-2, 300T, cobas c pack green</t>
  </si>
  <si>
    <t>Inmunoglobulina G (Ig G) en suero</t>
  </si>
  <si>
    <t>Inmunoglobulina A (Ig A) en suero</t>
  </si>
  <si>
    <t>IGA-2, 300T, cobas c pack green</t>
  </si>
  <si>
    <t>Hemoglobina Glicosilada alto rendimiento</t>
  </si>
  <si>
    <t>A1CX3, 500T, cobas c pack green</t>
  </si>
  <si>
    <t>Hemoglobina Glicosilada bajo rendimiento</t>
  </si>
  <si>
    <t>A1CX3, 200T, cobas c pack green</t>
  </si>
  <si>
    <t>DIMERO D</t>
  </si>
  <si>
    <t>D-Dimer Gen.2,100Test,cobas c pack green</t>
  </si>
  <si>
    <t>B2-Microglobulina</t>
  </si>
  <si>
    <t>B2MG, 150T, cobas c pack green</t>
  </si>
  <si>
    <t>Lipoproteina A</t>
  </si>
  <si>
    <t>LPA2, 150T, cobas c pack green</t>
  </si>
  <si>
    <t>Cistatina C</t>
  </si>
  <si>
    <t>CYSC2, 250T, cobas c pack green</t>
  </si>
  <si>
    <t>Homocisteina</t>
  </si>
  <si>
    <t>HCYS, 100T, cobas c pack green</t>
  </si>
  <si>
    <t>Bicarbonato</t>
  </si>
  <si>
    <t>CO2-L, 250T, cobas c pack green</t>
  </si>
  <si>
    <t>Amonio Plasmatico</t>
  </si>
  <si>
    <t>NH3L2, 300T cobas c pack green</t>
  </si>
  <si>
    <t>Etanol alto rendimiento</t>
  </si>
  <si>
    <t>ETOH2, 850T, cobas c pack green</t>
  </si>
  <si>
    <t>Etanol bajo rendimiento</t>
  </si>
  <si>
    <t>ETOH2, 150T, cobas c pack green</t>
  </si>
  <si>
    <t>FRUCTOSAMINA</t>
  </si>
  <si>
    <t>FRA, 550T, cobas c pack green</t>
  </si>
  <si>
    <t>Tina-quant Myoglobin Gen.2</t>
  </si>
  <si>
    <t>MYO2, 200T, cobas c pack green</t>
  </si>
  <si>
    <t>Factor Reumatoideo cuantitativo*</t>
  </si>
  <si>
    <t>RF-II, 400T, cobas c pack green</t>
  </si>
  <si>
    <t>Fenitoína libre y total</t>
  </si>
  <si>
    <t>PHNY2, 100T, cobas c pack green</t>
  </si>
  <si>
    <t>Fenobarbital</t>
  </si>
  <si>
    <t>PHNO2, 200T, cobas c pack green</t>
  </si>
  <si>
    <t>CARBAMAZEPINA</t>
  </si>
  <si>
    <t>CARB4, 500T, cobas c pack green</t>
  </si>
  <si>
    <t>Ácido valproico</t>
  </si>
  <si>
    <t>VALP2, 200T, cobas c pack green</t>
  </si>
  <si>
    <t>Vancomicina</t>
  </si>
  <si>
    <t>VANC3, 200T, cobas c pack green</t>
  </si>
  <si>
    <t>CONTROLES Y CALIBRADORES</t>
  </si>
  <si>
    <t>Calibrator f.a.s.</t>
  </si>
  <si>
    <t>12 x 3</t>
  </si>
  <si>
    <t>PRECINORM PUC</t>
  </si>
  <si>
    <t>4 x 3</t>
  </si>
  <si>
    <t>PRECIPATH PUC</t>
  </si>
  <si>
    <t>Calibrator f.a.s. Lipids</t>
  </si>
  <si>
    <t>Cfas Lipids 3x1ML</t>
  </si>
  <si>
    <t>3 x 1</t>
  </si>
  <si>
    <t>Calibrator f.a.s. CK-MB</t>
  </si>
  <si>
    <t>Cfas CK.MB 3x1ML</t>
  </si>
  <si>
    <t>Cfas Proteins U</t>
  </si>
  <si>
    <t>C.f.a.s. PUC</t>
  </si>
  <si>
    <t>5 x 1</t>
  </si>
  <si>
    <t>C.f.a.s. PAC</t>
  </si>
  <si>
    <t>Calibrator f.a.s. IgA/IgM CSF</t>
  </si>
  <si>
    <t>Fe Standard</t>
  </si>
  <si>
    <t>1 x 75</t>
  </si>
  <si>
    <t>Calibrator f.a.s.proteins</t>
  </si>
  <si>
    <t>PreciControl ClinChem Multi 1,20x5ml</t>
  </si>
  <si>
    <t>20 x 5</t>
  </si>
  <si>
    <t>PreciControl ClinChem Multi 2,20x5ml</t>
  </si>
  <si>
    <t>PreciControl ClinChem Multi 1 QCS,20x5ml</t>
  </si>
  <si>
    <t>PreciControl ClinChem Multi 2 QCS,20x5ml</t>
  </si>
  <si>
    <t>CRP T Control N *</t>
  </si>
  <si>
    <t>5 X 0.5</t>
  </si>
  <si>
    <t>PreciControl ClinChem Multi 1, 4x5 ml</t>
  </si>
  <si>
    <t>4 x 5ml</t>
  </si>
  <si>
    <t>PreciControl ClinChem Multi 2, 4x5 ml</t>
  </si>
  <si>
    <t>4 x 5 ml</t>
  </si>
  <si>
    <t>Cfas HbA1c</t>
  </si>
  <si>
    <t>3 x 2</t>
  </si>
  <si>
    <t>PreciControl HbA1c norm</t>
  </si>
  <si>
    <t>4 x 1</t>
  </si>
  <si>
    <t>PreciControl HbA1c path</t>
  </si>
  <si>
    <t>D-Dimer Gen.2 Calibrator Set</t>
  </si>
  <si>
    <t>6 x 0,5</t>
  </si>
  <si>
    <t>D-Dimer Gen.2 Control I/II</t>
  </si>
  <si>
    <t>2 x 2 x 1</t>
  </si>
  <si>
    <t>Calibrator β2‑Microglobulin</t>
  </si>
  <si>
    <t>2 x 1</t>
  </si>
  <si>
    <t>Control Set β2‑Microglobulin (Nivel 1-2)</t>
  </si>
  <si>
    <t>Preciset Lp(a) Gen.2</t>
  </si>
  <si>
    <t>PreciControl Lp(a) Gen.2</t>
  </si>
  <si>
    <t>C.f.a.s. Cystatin C</t>
  </si>
  <si>
    <t>Cystatin C Control Set Gen.2 (1,2,3)</t>
  </si>
  <si>
    <t>3 x 3 x 1</t>
  </si>
  <si>
    <t>HCYS Calibrator Kit</t>
  </si>
  <si>
    <t>2 x 3</t>
  </si>
  <si>
    <t>HCYS Control Kit Control 1 y 2</t>
  </si>
  <si>
    <t>2 x 2 x 3</t>
  </si>
  <si>
    <t>Ammonia/Ethanol/CO2 Calibrator</t>
  </si>
  <si>
    <t>NH3/ETH/CO2 Calibrator</t>
  </si>
  <si>
    <t>2 x 4</t>
  </si>
  <si>
    <t>Ammonia/Ethanol/CO2 Control Normal</t>
  </si>
  <si>
    <t>NH3/ETH/CO2 Control N</t>
  </si>
  <si>
    <t>5 x 4</t>
  </si>
  <si>
    <t>Ammonia/Ethanol/CO2 Control Abnormal</t>
  </si>
  <si>
    <t>NH3/ETH/CO2 Control A</t>
  </si>
  <si>
    <t>Precimat Fructosamina</t>
  </si>
  <si>
    <t>PRECIMAT FRUC 3x1ML</t>
  </si>
  <si>
    <t>PRECINORM FRUC</t>
  </si>
  <si>
    <t>PRECIPATH FRUC</t>
  </si>
  <si>
    <t>C.f.a.s. Myoglobin</t>
  </si>
  <si>
    <t>Myoglobin Control Set (Nivel I, II)</t>
  </si>
  <si>
    <t>Preciset RF</t>
  </si>
  <si>
    <t>RF Control Set</t>
  </si>
  <si>
    <t>4 X 1</t>
  </si>
  <si>
    <t>HITACHI I PRECISET TDM 1</t>
  </si>
  <si>
    <t>6 x 5</t>
  </si>
  <si>
    <t>TDM Control Set</t>
  </si>
  <si>
    <t>6 X 5</t>
  </si>
  <si>
    <t>CONSUMIBLES</t>
  </si>
  <si>
    <t>mL</t>
  </si>
  <si>
    <t>Reaction Cell for c 503 / c 513*</t>
  </si>
  <si>
    <t>Caja por 3 juegos</t>
  </si>
  <si>
    <t>CONA, 100T, cobas c pack green</t>
  </si>
  <si>
    <t>Cassette</t>
  </si>
  <si>
    <t>INSTC, 130T, cobas c pack green</t>
  </si>
  <si>
    <t>cobas Integra Check Sample</t>
  </si>
  <si>
    <t>ECO-D, 40T, cobas c pack green</t>
  </si>
  <si>
    <t>NaOH-D, cobas c pack green</t>
  </si>
  <si>
    <t>NACl, cobas c pack green</t>
  </si>
  <si>
    <t>SMS, cobas c pack green</t>
  </si>
  <si>
    <t>Acid Wash 2x2 L</t>
  </si>
  <si>
    <t>Caja por 02 galoneras de 2L</t>
  </si>
  <si>
    <t>2 X 2000</t>
  </si>
  <si>
    <t>SCCS, 50mL, cobas c pack green</t>
  </si>
  <si>
    <t>Basic Wash 2x2 L</t>
  </si>
  <si>
    <t>Copillas de muestra Hitachi</t>
  </si>
  <si>
    <t>Cobas sample cup 5000pcs</t>
  </si>
  <si>
    <t>A1CD, cobas c pack green</t>
  </si>
  <si>
    <t>Haemolyse Reagent f.HBA1C</t>
  </si>
  <si>
    <t>1000 mL</t>
  </si>
  <si>
    <t>Antigen Excess Reagent (START)</t>
  </si>
  <si>
    <t>START, 1000T, cobas c pack green</t>
  </si>
  <si>
    <t>1000 T</t>
  </si>
  <si>
    <t>PYP (PIRIDOXAL FOSFATO)</t>
  </si>
  <si>
    <t>PYP, 950T, cobas c pack green</t>
  </si>
  <si>
    <t>Barcode Label 2,5x5,1cm</t>
  </si>
  <si>
    <t>2500 etiquetas</t>
  </si>
  <si>
    <t>A4 PRINTER PAPER</t>
  </si>
  <si>
    <t>500 hojas</t>
  </si>
  <si>
    <t>RD Standard False Bottom Tube</t>
  </si>
  <si>
    <t>Lamp, Halogen</t>
  </si>
  <si>
    <t>Reaction Cell for c 303</t>
  </si>
  <si>
    <t>24 segmentos</t>
  </si>
  <si>
    <t>SISTEMA PARA ELECTROLITOS-ISE</t>
  </si>
  <si>
    <t>ISE Standard low 10x3ML</t>
  </si>
  <si>
    <t>Caja por 10 ampollas</t>
  </si>
  <si>
    <t>10 x 3</t>
  </si>
  <si>
    <t>ISE Standard high 10x3ML</t>
  </si>
  <si>
    <t>ISE cleaning solution Sys Clean</t>
  </si>
  <si>
    <t>Caja por 5 fracos x100 ml</t>
  </si>
  <si>
    <t>5 x 100</t>
  </si>
  <si>
    <t>Activator</t>
  </si>
  <si>
    <t>Caja por 9 frascos x 12 ml (liofilizado)</t>
  </si>
  <si>
    <t>9 x 12</t>
  </si>
  <si>
    <t>ISE DEPROTEINIZER cobas integra (6x21ML)</t>
  </si>
  <si>
    <t>Caja por 6 frascos x 21 ml</t>
  </si>
  <si>
    <t>6 x 21</t>
  </si>
  <si>
    <t>ISE Diluent Gen.2, 2x2 Liter</t>
  </si>
  <si>
    <t>ISE Internal Stand Gen.2, 2x2 Liter</t>
  </si>
  <si>
    <t>ISE Reference Electrolyte, 2L</t>
  </si>
  <si>
    <t>Galonera de 2 litros</t>
  </si>
  <si>
    <t>ISE Reference Electrolyte 500ML</t>
  </si>
  <si>
    <t>Botella 500 ml</t>
  </si>
  <si>
    <t>REFERENCE ELECTRODE</t>
  </si>
  <si>
    <t>Electrodo de Referencia</t>
  </si>
  <si>
    <t>Electrodo sodio</t>
  </si>
  <si>
    <t>Electrodo potasio</t>
  </si>
  <si>
    <t>Electrodo cloro</t>
  </si>
  <si>
    <t>CONTROLES</t>
  </si>
  <si>
    <t>CALIBRACIONES</t>
  </si>
  <si>
    <t>REPETICIONES</t>
  </si>
  <si>
    <t>COBAS PRO e801</t>
  </si>
  <si>
    <t>7 DIAS</t>
  </si>
  <si>
    <t xml:space="preserve">3 DIAS </t>
  </si>
  <si>
    <t>2 DIAS</t>
  </si>
  <si>
    <t>TSH Elecsys E2G 300 V2</t>
  </si>
  <si>
    <t>u</t>
  </si>
  <si>
    <t>T3 Elecsys E2G 300 V2</t>
  </si>
  <si>
    <t>.</t>
  </si>
  <si>
    <t>T4 Elecsys E2G 300 V2</t>
  </si>
  <si>
    <t>FT3 G3 Elecsys E2G 300</t>
  </si>
  <si>
    <t>FT4 G3 Elecsys E2G 300</t>
  </si>
  <si>
    <t>T-Uptake Elecsys E2G 100</t>
  </si>
  <si>
    <t>TG G2 Elecsys E2G 300 V2</t>
  </si>
  <si>
    <t>Anti-TPO Elecsys E2G 300</t>
  </si>
  <si>
    <t>t</t>
  </si>
  <si>
    <t>Anti-TG Elecsys E2G 300</t>
  </si>
  <si>
    <t>Anti-TSHR Elecsys E2G 300 V2</t>
  </si>
  <si>
    <t>LH Elecsys E2G 300</t>
  </si>
  <si>
    <t>FSH Elecsys E2G 300</t>
  </si>
  <si>
    <t>Estradiol G3 Elecsys E2G 300</t>
  </si>
  <si>
    <t>Progesterone G3 Elecsys E2G 300</t>
  </si>
  <si>
    <t>Prolactin G2 Elecsys E2G 300</t>
  </si>
  <si>
    <t>Testosterone G2 Elecsys E2G 300</t>
  </si>
  <si>
    <t>SHBG Elecsys E2G 300</t>
  </si>
  <si>
    <t>DHEA-S Elecsys E2G 100</t>
  </si>
  <si>
    <t>HCG+beta Elecsys E2G 300</t>
  </si>
  <si>
    <t>hCG STAT Elecsys E2G 100 V2</t>
  </si>
  <si>
    <t>Free HCGbeta Elecsys E2G 100 V2</t>
  </si>
  <si>
    <t>PAPP-A Elecsys E2G 100 V2</t>
  </si>
  <si>
    <t>Androstenedione Elecsys E2G 100</t>
  </si>
  <si>
    <t>PLGF Elecsys E2G 100</t>
  </si>
  <si>
    <t>sFLT1 Elecsys E2G 100</t>
  </si>
  <si>
    <t>C-Peptide Elecsys E2G 100</t>
  </si>
  <si>
    <t>Insulin Elecsys E2G 100</t>
  </si>
  <si>
    <t>mm</t>
  </si>
  <si>
    <t>Cortisol G2 Elecsys E2G 300</t>
  </si>
  <si>
    <t>Cortisol III Elecsys E2G 300</t>
  </si>
  <si>
    <t>ACTH Elecsys E2G 100</t>
  </si>
  <si>
    <t>hGH Elecsys E2G 100</t>
  </si>
  <si>
    <t>AMH Elecsys E2G 100 V2</t>
  </si>
  <si>
    <t>AMH plus Elecsys E2G 100 V2</t>
  </si>
  <si>
    <t>Total PSA Elecsys E2G 300 V2</t>
  </si>
  <si>
    <t>tm</t>
  </si>
  <si>
    <t>free PSA Elecsys E2G 300 V2</t>
  </si>
  <si>
    <t>AFP Elecsys E2G 300</t>
  </si>
  <si>
    <t>7027079190</t>
  </si>
  <si>
    <t>CEA Elecsys E2G 300</t>
  </si>
  <si>
    <t>7026986190</t>
  </si>
  <si>
    <t>CA 125 G2 Elecsys E2G 300</t>
  </si>
  <si>
    <t>CA 15-3 G2 Elecsys E2G 300</t>
  </si>
  <si>
    <t>CA 19-9 Elecsys E2G 300</t>
  </si>
  <si>
    <t>Cyfra 21-1 Elecsys E2G 300</t>
  </si>
  <si>
    <t>CA 72-4 Elecsys E2G 300</t>
  </si>
  <si>
    <t>NSE Elecsys E2G 300</t>
  </si>
  <si>
    <t>S100 Elecsys E2G 100 V2</t>
  </si>
  <si>
    <t>HE4 Elecsys E2G 100</t>
  </si>
  <si>
    <t>PIVKAII Elecsys E2G 300</t>
  </si>
  <si>
    <t>proGRP Elecsys E2G 100 V2</t>
  </si>
  <si>
    <t>SCC Elecsys E2G 100</t>
  </si>
  <si>
    <t>Digoxin Elecsys E2G 100</t>
  </si>
  <si>
    <t>CK-MB Elecsys E2G 100</t>
  </si>
  <si>
    <t>Myoglobin Elecsys E2G 100</t>
  </si>
  <si>
    <t>GDF-15 Elecsys E2G 100 V2</t>
  </si>
  <si>
    <t>Troponin T hs Elecsys E2G 300 V2.1</t>
  </si>
  <si>
    <t>Troponin I Elecsys E2G 300</t>
  </si>
  <si>
    <t>tnt</t>
  </si>
  <si>
    <t>proBNP G2 Elecsys E2G 300 V2.1</t>
  </si>
  <si>
    <t>car</t>
  </si>
  <si>
    <t>Calcitonin Elecsys E2G 100</t>
  </si>
  <si>
    <t>IL 6 Elecsys E2G 100 V2</t>
  </si>
  <si>
    <t>Ferritin Elecsys E2G 300</t>
  </si>
  <si>
    <t>Folate G3 Elecsys E2G 300</t>
  </si>
  <si>
    <t>Vitamin B12 G2 Elecsys E2G 300</t>
  </si>
  <si>
    <t>Active B12 Elecsys cobas E2G 300</t>
  </si>
  <si>
    <t>IgE G2 Elecsys E2G 100</t>
  </si>
  <si>
    <t>PTH Elecsys E2G 300</t>
  </si>
  <si>
    <t>va</t>
  </si>
  <si>
    <t>PTH (1-84) Elecsys E2G 100</t>
  </si>
  <si>
    <t>Total P1NP Elecsys E2G 100</t>
  </si>
  <si>
    <t>B-CrossLaps/serum Elecsys E2G 100</t>
  </si>
  <si>
    <t>N-MID Osteocalcin Elecsys E2G 100</t>
  </si>
  <si>
    <t>Anti-CCP Elecsys E2G 100 V1</t>
  </si>
  <si>
    <t>PCT Brahms-Roche Elecsys E2G 300 V</t>
  </si>
  <si>
    <t>Vitamin D total G2 Elecsys E2G 300</t>
  </si>
  <si>
    <t>IGF-1 Elecsys E2G 100</t>
  </si>
  <si>
    <t>growth</t>
  </si>
  <si>
    <t>IGFBP-3 Elecsys E2G 100</t>
  </si>
  <si>
    <t>HIV duo Elecsys E2G 300 V2</t>
  </si>
  <si>
    <t>HCV Duo Elecsys E2G 300</t>
  </si>
  <si>
    <t>Anti-HAV G2 Elecsys E2G 300</t>
  </si>
  <si>
    <t>Anti-HAV IgM Elecsys E2G 300</t>
  </si>
  <si>
    <t>HBsAg G2 Elecsys E2G 300 V2</t>
  </si>
  <si>
    <t>Anti-HBs G2 Elecsys E2G 300 V2</t>
  </si>
  <si>
    <t>HBeAg Elecsys E2G 300</t>
  </si>
  <si>
    <t>Anti-HBe Elecsys E2G 300</t>
  </si>
  <si>
    <t>Anti-HBc G2 Elecsys E2G 300</t>
  </si>
  <si>
    <t>Anti-HBc IgM Elecsys E2G 300</t>
  </si>
  <si>
    <t>Anti-HCV G2 Elecsys E2G 300 V2</t>
  </si>
  <si>
    <t>Rubella IgG Elecsys E2G 300</t>
  </si>
  <si>
    <t>Rubella IgM Elecsys E2G 300</t>
  </si>
  <si>
    <t>Toxo IgG Elecsys E2G 300</t>
  </si>
  <si>
    <t>Toxo IgG Avidity Elecsys E2G 100</t>
  </si>
  <si>
    <t>Toxo IgM Elecsys E2G 300</t>
  </si>
  <si>
    <t>CMV IgG Elecsys E2G 300 V2</t>
  </si>
  <si>
    <t>CMV IgG Avidity Elecsys E2G 100 V2</t>
  </si>
  <si>
    <t>CMV IgM Elecsys E2G 300</t>
  </si>
  <si>
    <t>HSV-1 IgG Elecsys E2G 100 V2</t>
  </si>
  <si>
    <t>HSV-2 IgG Elecsys E2G 100 V2</t>
  </si>
  <si>
    <t>EBV IGM ELECSYS E2G 300</t>
  </si>
  <si>
    <t>EBV VCA IGG ELECSYS E2G 300</t>
  </si>
  <si>
    <t>EBV EBNA IGG ELECSYS E2G 300</t>
  </si>
  <si>
    <t>HTLV Elecsys E2G 300 V2</t>
  </si>
  <si>
    <t>SYPHILIS ELECSYS E2G 300 V2</t>
  </si>
  <si>
    <t>Chagas Elecsys E2G 300 V2</t>
  </si>
  <si>
    <t>Anti-SARS-CoV-2 Elecsys E2G 300</t>
  </si>
  <si>
    <t>Anti-SARS-CoV-2 S Elecsys E2G 300</t>
  </si>
  <si>
    <t>SARS-CoV-2 Ag Elecsys E2G 300</t>
  </si>
  <si>
    <t>Cyclosporine Elecsys E2G 300</t>
  </si>
  <si>
    <t>Everolimus Elecsys E2G 100</t>
  </si>
  <si>
    <t>Sirolimus Elecsys E2G 100</t>
  </si>
  <si>
    <t>Tacrolimus Elecsys E2G 300</t>
  </si>
  <si>
    <t>CALIBRADORES</t>
  </si>
  <si>
    <t>ml</t>
  </si>
  <si>
    <t>TSH CalSet</t>
  </si>
  <si>
    <t>4 x 1.3</t>
  </si>
  <si>
    <t>T3 CalSet</t>
  </si>
  <si>
    <t>T4 CalSet</t>
  </si>
  <si>
    <t>FT3 III CalSet</t>
  </si>
  <si>
    <t>CalSet FT4 III</t>
  </si>
  <si>
    <t>T‑Uptake CalSet</t>
  </si>
  <si>
    <t>Tg II CalSet</t>
  </si>
  <si>
    <t>Anti‑TPO CalSet</t>
  </si>
  <si>
    <t>4 x 1.5</t>
  </si>
  <si>
    <t>Anti‑Tg CalSet</t>
  </si>
  <si>
    <t>CalSet Anti‑TSHR</t>
  </si>
  <si>
    <t>4 x 2</t>
  </si>
  <si>
    <t>LH CalSet II</t>
  </si>
  <si>
    <t>FSH CS Elecsys V3</t>
  </si>
  <si>
    <t>Estradiol III CalSet</t>
  </si>
  <si>
    <t>Progesterone III CalSet</t>
  </si>
  <si>
    <t>Prolactin II CalSet</t>
  </si>
  <si>
    <t>Testosterone II CalSet II</t>
  </si>
  <si>
    <t>SHBG CalSet</t>
  </si>
  <si>
    <t>DHEA‑S CalSet</t>
  </si>
  <si>
    <t>HCG+β CalSet</t>
  </si>
  <si>
    <t>HCG STAT CalSet</t>
  </si>
  <si>
    <t>free βhCG CalSet</t>
  </si>
  <si>
    <t>PAPP‑A CalSet</t>
  </si>
  <si>
    <t>CalSet Androstenedione</t>
  </si>
  <si>
    <t>PlGF CalSet</t>
  </si>
  <si>
    <t>sFlt‑1 CalSet</t>
  </si>
  <si>
    <t>C‑Peptide CalSet</t>
  </si>
  <si>
    <t>Insulin CalSet</t>
  </si>
  <si>
    <t>Cortisol II CalSet</t>
  </si>
  <si>
    <t>CalSet Cortisol III Urine</t>
  </si>
  <si>
    <t>ACTH CalSet</t>
  </si>
  <si>
    <t>hGH CalSet</t>
  </si>
  <si>
    <t>AMH CalSet</t>
  </si>
  <si>
    <t>CalSet AMH Plus</t>
  </si>
  <si>
    <t>total PSA CalSet II</t>
  </si>
  <si>
    <t>free PSA CalSet</t>
  </si>
  <si>
    <t>AFP CalSet II</t>
  </si>
  <si>
    <t>CEA CalSet</t>
  </si>
  <si>
    <t>CA 125 II CalSet</t>
  </si>
  <si>
    <t>CA 15-3 II CalSet</t>
  </si>
  <si>
    <t>CA 19‑9 CalSet</t>
  </si>
  <si>
    <t>CYFRA 21‑1 CalSet</t>
  </si>
  <si>
    <t>CA 72‑4 CalSet</t>
  </si>
  <si>
    <t>NSE CalSet</t>
  </si>
  <si>
    <t>S100 CalSet</t>
  </si>
  <si>
    <t>HE4 CalSet</t>
  </si>
  <si>
    <t>CalSet PIVKA‑II</t>
  </si>
  <si>
    <t>ProGRP CalSet</t>
  </si>
  <si>
    <t>SCC CalSet</t>
  </si>
  <si>
    <t>Digoxin CalSet</t>
  </si>
  <si>
    <t>CalSet CK‑MB</t>
  </si>
  <si>
    <t>CalSet Myoglobin</t>
  </si>
  <si>
    <t>CalSet GDF‑15</t>
  </si>
  <si>
    <t>Troponin T hs CS Elecsys E2G V1.1</t>
  </si>
  <si>
    <t>CalSet Troponin I</t>
  </si>
  <si>
    <t>proBNP G2 CS Elecsys E2G V2.1</t>
  </si>
  <si>
    <t>Calcitonin CalSet</t>
  </si>
  <si>
    <t>Elecsys IL 6 Calset</t>
  </si>
  <si>
    <t>Ferritin CalSet</t>
  </si>
  <si>
    <t>CalSet Folate</t>
  </si>
  <si>
    <t>Vitamin B12 II CalSet</t>
  </si>
  <si>
    <t>CalSet Active B12</t>
  </si>
  <si>
    <t>IgE CalSet</t>
  </si>
  <si>
    <t>CalSet PTH</t>
  </si>
  <si>
    <t>PTH (1‑84) CalSet</t>
  </si>
  <si>
    <t>total P1NP CalSet</t>
  </si>
  <si>
    <t>β‑CrossLaps CalSet</t>
  </si>
  <si>
    <t>N‑MID Osteocalcin CalSet</t>
  </si>
  <si>
    <t>CalSet Vitamin D total III</t>
  </si>
  <si>
    <t>CalSet IGF‑1</t>
  </si>
  <si>
    <t>CalSet IGFBP‑3</t>
  </si>
  <si>
    <t>CalSet Anti‑SARS‑CoV‑2 S</t>
  </si>
  <si>
    <t>Cyclosporine CalSet</t>
  </si>
  <si>
    <t>6 x 1</t>
  </si>
  <si>
    <t>Everolimus CalSet</t>
  </si>
  <si>
    <t>Sirolimus CalSet</t>
  </si>
  <si>
    <t>Tacrolimus CalSet</t>
  </si>
  <si>
    <t>PreciControl Universal</t>
  </si>
  <si>
    <t>Maternal Care Gen.2 PC Elecsys</t>
  </si>
  <si>
    <t>6 x 3</t>
  </si>
  <si>
    <t>PreciControl Multimarker Elecsys,cobas e</t>
  </si>
  <si>
    <t>6 x 2</t>
  </si>
  <si>
    <t>PreciControl Cortisol Urine</t>
  </si>
  <si>
    <t>PreciControl Tumor Marker Elec</t>
  </si>
  <si>
    <t>PreciControl Active B12</t>
  </si>
  <si>
    <t>PreciControl Cardiac II</t>
  </si>
  <si>
    <t>PreciControl Troponin</t>
  </si>
  <si>
    <t>PreciControl ThyroAB</t>
  </si>
  <si>
    <t>PreciControl AMH</t>
  </si>
  <si>
    <t>PreciControl AMH Plus</t>
  </si>
  <si>
    <t>PreciControl HE4</t>
  </si>
  <si>
    <t>PreciControl HCC</t>
  </si>
  <si>
    <t>PreciControl ProGRP</t>
  </si>
  <si>
    <t>PreciControl Lung Cancer</t>
  </si>
  <si>
    <t>PreciControl Varia Elecsys</t>
  </si>
  <si>
    <t>PreciControl Anti‑CCP</t>
  </si>
  <si>
    <t>PreciControl Vitamin D total III</t>
  </si>
  <si>
    <t>PreciControl Growth</t>
  </si>
  <si>
    <t>PreciControl HIV Gen II</t>
  </si>
  <si>
    <t>HCV Duo PC Elecsys</t>
  </si>
  <si>
    <t>10 x 1, 5 x 2</t>
  </si>
  <si>
    <t>PreciControl Anti‑HAV II</t>
  </si>
  <si>
    <t>8 x 1.3</t>
  </si>
  <si>
    <t>PreciControl Anti‑HAV IgM</t>
  </si>
  <si>
    <t>16 x 0.67</t>
  </si>
  <si>
    <t>PreciControl HBsAg II</t>
  </si>
  <si>
    <t>16 x 1.3</t>
  </si>
  <si>
    <t>PreciControl Anti‑HBs</t>
  </si>
  <si>
    <t>PreciControl HBeAg</t>
  </si>
  <si>
    <t>PreciControl Anti‑HBe</t>
  </si>
  <si>
    <t>PreciControl Anti‑HBc II</t>
  </si>
  <si>
    <t>PreciControl Anti‑HBc IgM</t>
  </si>
  <si>
    <t>16 x 1</t>
  </si>
  <si>
    <t>PreciControl Anti‑HCV</t>
  </si>
  <si>
    <t>PreciControl Rubella IgG</t>
  </si>
  <si>
    <t>PreciControl Rubella IgM</t>
  </si>
  <si>
    <t>8 X 1</t>
  </si>
  <si>
    <t>PreciControl Toxo IgG</t>
  </si>
  <si>
    <t>PreciControl Toxo IgG Avidity</t>
  </si>
  <si>
    <t>PreciControl Toxo IgM</t>
  </si>
  <si>
    <t>PreciControl CMV IgG</t>
  </si>
  <si>
    <t>CMV IgG Avidity PC Elecsys</t>
  </si>
  <si>
    <t>PreciControl CMV IgM</t>
  </si>
  <si>
    <t>PreciControl HSV</t>
  </si>
  <si>
    <t>PreciControl EBV IgM/VCA IgG</t>
  </si>
  <si>
    <t>PreciControl EBV EBNA IgG</t>
  </si>
  <si>
    <t>8 x 1</t>
  </si>
  <si>
    <t>PreciControl HTLV</t>
  </si>
  <si>
    <t>PreciControl Syphilis</t>
  </si>
  <si>
    <t>PreciControl Chagas</t>
  </si>
  <si>
    <t>PreciControl Anti‑SARS‑CoV‑2</t>
  </si>
  <si>
    <t>PreciControl SARS‑CoV‑2 Antigen</t>
  </si>
  <si>
    <t>PreciControl ISD</t>
  </si>
  <si>
    <t>3 x 3</t>
  </si>
  <si>
    <t>PreciControl Everolimus</t>
  </si>
  <si>
    <t>AssayTip/AssayCup tray</t>
  </si>
  <si>
    <t>3780 T</t>
  </si>
  <si>
    <t>Diluent MultiAssay E2G</t>
  </si>
  <si>
    <t>Cartucho</t>
  </si>
  <si>
    <t>Diluent Universal E2G</t>
  </si>
  <si>
    <t>Elecsys Progesteron Diluent</t>
  </si>
  <si>
    <t>PreClean M G2 2x2L Elecsys E2G</t>
  </si>
  <si>
    <t>CleanCell M 2x2 L Elecsys,cobas e</t>
  </si>
  <si>
    <t>ProCell M G2 2x2L Elecsys E2G</t>
  </si>
  <si>
    <t>BlankCell High Elecsys E2G</t>
  </si>
  <si>
    <t>CellCheck Gen2 Elecsys E2G</t>
  </si>
  <si>
    <t>HBQ Sample Set Elecsys,cobas e</t>
  </si>
  <si>
    <t>ControlSet Vials Elecsys,cobas e</t>
  </si>
  <si>
    <t>2 x 56</t>
  </si>
  <si>
    <t>ISD Sample PT Elecsys cobas e 100</t>
  </si>
  <si>
    <t>Folate RBC Hemolyzing Elecsys,cobas e</t>
  </si>
  <si>
    <t>4 X 200</t>
  </si>
  <si>
    <t>SARS-CoV-2 Extraction Solution</t>
  </si>
  <si>
    <t>1 x 1000</t>
  </si>
  <si>
    <t>SARS-CoV-2 Extraction Solution C</t>
  </si>
  <si>
    <t>1 x 500</t>
  </si>
  <si>
    <t>HBsAg Confirmatory Elecsys cobas e</t>
  </si>
  <si>
    <t>2 x 1.0 mL</t>
  </si>
  <si>
    <t>Reservoir cup Assy</t>
  </si>
  <si>
    <t>x8</t>
  </si>
  <si>
    <t>PW LFC CUP ASSY</t>
  </si>
  <si>
    <t>UNIDAD</t>
  </si>
  <si>
    <t>con el equipo</t>
  </si>
  <si>
    <t>ISE CLEANING SOLUTION</t>
  </si>
  <si>
    <t>5X100ML</t>
  </si>
  <si>
    <t>TOTAL AÑO</t>
  </si>
  <si>
    <t>COBAS PRO e801</t>
  </si>
  <si>
    <t>DET/AÑO/PROCESO</t>
  </si>
</sst>
</file>

<file path=xl/styles.xml><?xml version="1.0" encoding="utf-8"?>
<styleSheet xmlns="http://schemas.openxmlformats.org/spreadsheetml/2006/main" xmlns:a="http://schemas.openxmlformats.org/drawingml/2006/main" xmlns:mc="http://schemas.openxmlformats.org/markup-compatibility/2006" xmlns:x14ac="http://schemas.microsoft.com/office/spreadsheetml/2009/9/ac" xmlns:xdr="http://schemas.openxmlformats.org/drawingml/2006/spreadsheetDrawing" count="4" mc:Ignorable="x14ac">
  <numFmts count="12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  <numFmt numFmtId="164" formatCode="_-* #,##0.00\ &quot;€&quot;_-;\-* #,##0.00\ &quot;€&quot;_-;_-* &quot;-&quot;??\ &quot;€&quot;_-;_-@"/>
    <numFmt numFmtId="165" formatCode="_-&quot;$&quot;* #,##0.00_-;\-&quot;$&quot;* #,##0.00_-;_-&quot;$&quot;* &quot;-&quot;??_-;_-@"/>
    <numFmt numFmtId="166" formatCode="&quot;$&quot;#,##0.00"/>
    <numFmt numFmtId="167" formatCode="dd/mm/yyyy"/>
  </numFmts>
  <fonts count="10">
    <font>
      <name val="Calibri"/>
      <color rgb="FF000000"/>
      <sz val="11"/>
      <scheme val="minor"/>
    </font>
    <font>
      <name val="Calibri"/>
      <b/>
      <color rgb="FF000000"/>
      <sz val="8"/>
    </font>
    <font>
      <name val="Calibri"/>
      <color rgb="FF000000"/>
      <sz val="12"/>
    </font>
    <font>
      <name val="Calibri"/>
      <color rgb="FF000000"/>
      <sz val="8"/>
    </font>
    <font>
      <name val="Calibri"/>
      <color rgb="FF000000"/>
      <sz val="8"/>
    </font>
    <font>
      <name val="Calibri"/>
      <color rgb="FF1F1F1F"/>
      <sz val="8"/>
    </font>
    <font>
      <name val="Calibri"/>
      <color rgb="FFFF0000"/>
      <sz val="8"/>
    </font>
    <font>
      <name val="Calibri"/>
      <color rgb="FF000000"/>
      <sz val="9"/>
      <scheme val="minor"/>
    </font>
    <font>
      <name val="Calibri"/>
      <color rgb="FF000000"/>
      <sz val="11"/>
    </font>
    <font>
      <name val="Calibri"/>
      <b/>
      <color rgb="FF000000"/>
      <sz val="12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BDD6EE"/>
        <bgColor rgb="FFBDD6EE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theme="0"/>
      </patternFill>
    </fill>
    <fill>
      <patternFill patternType="solid">
        <fgColor rgb="FFBFBFBF"/>
        <bgColor rgb="FFBFBFBF"/>
      </patternFill>
    </fill>
    <fill>
      <patternFill patternType="solid">
        <fgColor rgb="FFA6A6A6"/>
        <bgColor rgb="FFA6A6A6"/>
      </patternFill>
    </fill>
  </fills>
  <borders count="36">
    <border/>
    <border>
      <left style="medium">
        <color rgb="FF000000"/>
      </left>
      <top style="medium">
        <color rgb="FF000000"/>
      </top>
      <bottom style="none">
        <color rgb="FF000000"/>
      </bottom>
    </border>
    <border>
      <right style="medium">
        <color rgb="FF000000"/>
      </right>
      <top style="medium">
        <color rgb="FF000000"/>
      </top>
      <bottom style="none">
        <color rgb="FF000000"/>
      </bottom>
    </border>
    <border>
      <left style="medium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000000"/>
      </left>
      <right style="medium">
        <color rgb="FF000000"/>
      </right>
      <top style="none">
        <color rgb="FF000000"/>
      </top>
      <bottom style="non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medium">
        <color rgb="FFCCCCCC"/>
      </right>
    </border>
    <border>
      <left style="medium">
        <color rgb="FFCCCCCC"/>
      </left>
      <right style="medium">
        <color rgb="FFCCCCCC"/>
      </right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none">
        <color rgb="FF000000"/>
      </top>
      <bottom style="thin">
        <color rgb="FF000000"/>
      </bottom>
    </border>
    <border>
      <left style="medium">
        <color rgb="FFCCCCCC"/>
      </left>
      <right style="medium">
        <color rgb="FFCCCCCC"/>
      </right>
      <bottom style="medium">
        <color rgb="FFCCCCCC"/>
      </bottom>
    </border>
    <border>
      <left style="medium">
        <color rgb="FFCCCCCC"/>
      </left>
      <bottom style="medium">
        <color rgb="FFCCCCCC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</border>
    <border>
      <left style="medium">
        <color rgb="FFCCCCCC"/>
      </left>
      <top style="medium">
        <color rgb="FFCCCCCC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non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none">
        <color rgb="FF000000"/>
      </left>
      <right style="thin">
        <color rgb="FF000000"/>
      </right>
      <top style="non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none">
        <color rgb="FF000000"/>
      </bottom>
    </border>
    <border>
      <left style="none">
        <color rgb="FF000000"/>
      </left>
      <right style="thin">
        <color rgb="FF000000"/>
      </right>
      <top style="thin">
        <color rgb="FF000000"/>
      </top>
      <bottom style="none">
        <color rgb="FF000000"/>
      </bottom>
    </border>
  </borders>
  <cellStyleXfs count="1">
    <xf numFmtId="0" fontId="0" fillId="0" borderId="0" xfId="0"/>
  </cellStyleXfs>
  <cellXfs count="14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3" fillId="0" borderId="0" xfId="0" applyFont="1" applyAlignment="1">
      <alignment wrapText="1"/>
    </xf>
    <xf numFmtId="0" fontId="3" fillId="0" borderId="0" xfId="0" applyFont="1"/>
    <xf numFmtId="0" fontId="3" fillId="2" borderId="3" xfId="0" applyFont="1" applyFill="1" applyBorder="1" applyAlignment="1">
      <alignment horizontal="left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wrapText="1"/>
    </xf>
    <xf numFmtId="14" fontId="1" fillId="2" borderId="5" xfId="0" applyNumberFormat="1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wrapText="1"/>
    </xf>
    <xf numFmtId="0" fontId="3" fillId="2" borderId="5" xfId="0" applyFont="1" applyFill="1" applyBorder="1" applyAlignment="1">
      <alignment wrapText="1"/>
    </xf>
    <xf numFmtId="0" fontId="3" fillId="0" borderId="6" xfId="0" applyFont="1" applyBorder="1" applyAlignment="1">
      <alignment vertical="center" wrapText="1"/>
    </xf>
    <xf numFmtId="0" fontId="3" fillId="0" borderId="6" xfId="0" applyFont="1" applyBorder="1" applyAlignment="1">
      <alignment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3" borderId="5" xfId="0" applyFont="1" applyFill="1" applyBorder="1" applyAlignment="1">
      <alignment wrapText="1"/>
    </xf>
    <xf numFmtId="0" fontId="1" fillId="2" borderId="5" xfId="0" applyFont="1" applyFill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 wrapText="1"/>
    </xf>
    <xf numFmtId="164" fontId="3" fillId="0" borderId="5" xfId="0" applyNumberFormat="1" applyFont="1" applyBorder="1" applyAlignment="1">
      <alignment wrapText="1"/>
    </xf>
    <xf numFmtId="9" fontId="3" fillId="0" borderId="5" xfId="0" applyNumberFormat="1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wrapText="1"/>
    </xf>
    <xf numFmtId="0" fontId="3" fillId="0" borderId="9" xfId="0" applyFont="1" applyBorder="1" applyAlignment="1">
      <alignment wrapText="1"/>
    </xf>
    <xf numFmtId="0" fontId="1" fillId="2" borderId="10" xfId="0" applyFont="1" applyFill="1" applyBorder="1" applyAlignment="1">
      <alignment wrapText="1"/>
    </xf>
    <xf numFmtId="0" fontId="1" fillId="2" borderId="11" xfId="0" applyFont="1" applyFill="1" applyBorder="1" applyAlignment="1">
      <alignment horizontal="center" wrapText="1"/>
    </xf>
    <xf numFmtId="0" fontId="1" fillId="2" borderId="12" xfId="0" applyFont="1" applyFill="1" applyBorder="1" applyAlignment="1">
      <alignment horizontal="center" wrapText="1"/>
    </xf>
    <xf numFmtId="0" fontId="3" fillId="4" borderId="13" xfId="0" applyFont="1" applyFill="1" applyBorder="1" applyAlignment="1">
      <alignment vertical="center" wrapText="1"/>
    </xf>
    <xf numFmtId="0" fontId="3" fillId="0" borderId="6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3" fillId="4" borderId="13" xfId="0" applyFont="1" applyFill="1" applyBorder="1" applyAlignment="1">
      <alignment horizontal="center" wrapText="1"/>
    </xf>
    <xf numFmtId="165" fontId="3" fillId="0" borderId="6" xfId="0" applyNumberFormat="1" applyFont="1" applyBorder="1" applyAlignment="1">
      <alignment horizontal="left" wrapText="1"/>
    </xf>
    <xf numFmtId="165" fontId="1" fillId="4" borderId="13" xfId="0" applyNumberFormat="1" applyFont="1" applyFill="1" applyBorder="1" applyAlignment="1">
      <alignment horizontal="left" wrapText="1"/>
    </xf>
    <xf numFmtId="0" fontId="3" fillId="4" borderId="5" xfId="0" applyFont="1" applyFill="1" applyBorder="1" applyAlignment="1">
      <alignment vertical="center" wrapText="1"/>
    </xf>
    <xf numFmtId="0" fontId="3" fillId="0" borderId="5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3" fillId="4" borderId="5" xfId="0" applyFont="1" applyFill="1" applyBorder="1" applyAlignment="1">
      <alignment horizontal="center" wrapText="1"/>
    </xf>
    <xf numFmtId="165" fontId="3" fillId="0" borderId="5" xfId="0" applyNumberFormat="1" applyFont="1" applyBorder="1" applyAlignment="1">
      <alignment horizontal="left" wrapText="1"/>
    </xf>
    <xf numFmtId="165" fontId="3" fillId="4" borderId="5" xfId="0" applyNumberFormat="1" applyFont="1" applyFill="1" applyBorder="1" applyAlignment="1">
      <alignment wrapText="1"/>
    </xf>
    <xf numFmtId="0" fontId="3" fillId="4" borderId="5" xfId="0" applyFont="1" applyFill="1" applyBorder="1" applyAlignment="1">
      <alignment wrapText="1"/>
    </xf>
    <xf numFmtId="0" fontId="3" fillId="4" borderId="5" xfId="0" applyFont="1" applyFill="1" applyBorder="1" applyAlignment="1">
      <alignment horizontal="center" wrapText="1"/>
    </xf>
    <xf numFmtId="165" fontId="3" fillId="0" borderId="5" xfId="0" applyNumberFormat="1" applyFont="1" applyBorder="1" applyAlignment="1">
      <alignment horizontal="left" wrapText="1"/>
    </xf>
    <xf numFmtId="0" fontId="5" fillId="4" borderId="5" xfId="0" applyFont="1" applyFill="1" applyBorder="1" applyAlignment="1">
      <alignment wrapText="1"/>
    </xf>
    <xf numFmtId="0" fontId="6" fillId="0" borderId="5" xfId="0" applyFont="1" applyBorder="1" applyAlignment="1">
      <alignment wrapText="1"/>
    </xf>
    <xf numFmtId="0" fontId="3" fillId="0" borderId="0" xfId="0" applyFont="1"/>
    <xf numFmtId="0" fontId="3" fillId="0" borderId="5" xfId="0" applyFont="1" applyBorder="1" applyAlignment="1">
      <alignment horizontal="center" wrapText="1"/>
    </xf>
    <xf numFmtId="0" fontId="4" fillId="0" borderId="0" xfId="0" applyFont="1"/>
    <xf numFmtId="0" fontId="4" fillId="4" borderId="5" xfId="0" applyFont="1" applyFill="1" applyBorder="1" applyAlignment="1">
      <alignment vertical="center" wrapText="1"/>
    </xf>
    <xf numFmtId="0" fontId="3" fillId="0" borderId="5" xfId="0" applyFont="1" applyBorder="1" applyAlignment="1">
      <alignment horizontal="center"/>
    </xf>
    <xf numFmtId="0" fontId="6" fillId="4" borderId="5" xfId="0" applyFont="1" applyFill="1" applyBorder="1" applyAlignment="1">
      <alignment vertical="center" wrapText="1"/>
    </xf>
    <xf numFmtId="0" fontId="4" fillId="0" borderId="5" xfId="0" applyFont="1" applyBorder="1" applyAlignment="1">
      <alignment horizontal="center"/>
    </xf>
    <xf numFmtId="0" fontId="4" fillId="4" borderId="5" xfId="0" applyFont="1" applyFill="1" applyBorder="1" applyAlignment="1">
      <alignment wrapText="1"/>
    </xf>
    <xf numFmtId="0" fontId="7" fillId="0" borderId="0" xfId="0" applyFont="1"/>
    <xf numFmtId="0" fontId="6" fillId="4" borderId="5" xfId="0" applyFont="1" applyFill="1" applyBorder="1"/>
    <xf numFmtId="0" fontId="3" fillId="4" borderId="5" xfId="0" applyFont="1" applyFill="1" applyBorder="1"/>
    <xf numFmtId="0" fontId="3" fillId="0" borderId="5" xfId="0" applyFont="1" applyBorder="1" applyAlignment="1">
      <alignment horizontal="center"/>
    </xf>
    <xf numFmtId="0" fontId="6" fillId="0" borderId="5" xfId="0" applyFont="1" applyBorder="1" applyAlignment="1">
      <alignment wrapText="1"/>
    </xf>
    <xf numFmtId="0" fontId="4" fillId="4" borderId="5" xfId="0" applyFont="1" applyFill="1" applyBorder="1" applyAlignment="1">
      <alignment horizontal="center" wrapText="1"/>
    </xf>
    <xf numFmtId="0" fontId="3" fillId="5" borderId="5" xfId="0" applyFont="1" applyFill="1" applyBorder="1" applyAlignment="1">
      <alignment vertical="center" wrapText="1"/>
    </xf>
    <xf numFmtId="0" fontId="3" fillId="5" borderId="5" xfId="0" applyFont="1" applyFill="1" applyBorder="1" applyAlignment="1">
      <alignment wrapText="1"/>
    </xf>
    <xf numFmtId="0" fontId="3" fillId="5" borderId="5" xfId="0" applyFont="1" applyFill="1" applyBorder="1" applyAlignment="1">
      <alignment wrapText="1"/>
    </xf>
    <xf numFmtId="0" fontId="3" fillId="5" borderId="5" xfId="0" applyFont="1" applyFill="1" applyBorder="1" applyAlignment="1">
      <alignment horizontal="center" wrapText="1"/>
    </xf>
    <xf numFmtId="165" fontId="3" fillId="5" borderId="5" xfId="0" applyNumberFormat="1" applyFont="1" applyFill="1" applyBorder="1" applyAlignment="1">
      <alignment horizontal="left" wrapText="1"/>
    </xf>
    <xf numFmtId="165" fontId="1" fillId="4" borderId="5" xfId="0" applyNumberFormat="1" applyFont="1" applyFill="1" applyBorder="1" applyAlignment="1">
      <alignment horizontal="left" wrapText="1"/>
    </xf>
    <xf numFmtId="0" fontId="4" fillId="0" borderId="5" xfId="0" applyFont="1" applyBorder="1" applyAlignment="1">
      <alignment wrapText="1"/>
    </xf>
    <xf numFmtId="0" fontId="3" fillId="0" borderId="5" xfId="0" applyFont="1" applyBorder="1"/>
    <xf numFmtId="0" fontId="3" fillId="0" borderId="5" xfId="0" applyFont="1" applyBorder="1"/>
    <xf numFmtId="166" fontId="3" fillId="0" borderId="5" xfId="0" applyNumberFormat="1" applyFont="1" applyBorder="1"/>
    <xf numFmtId="0" fontId="3" fillId="0" borderId="14" xfId="0" applyFont="1" applyBorder="1" applyAlignment="1">
      <alignment wrapText="1"/>
    </xf>
    <xf numFmtId="0" fontId="3" fillId="0" borderId="15" xfId="0" applyFont="1" applyBorder="1" applyAlignment="1">
      <alignment wrapText="1"/>
    </xf>
    <xf numFmtId="0" fontId="1" fillId="2" borderId="16" xfId="0" applyFont="1" applyFill="1" applyBorder="1" applyAlignment="1">
      <alignment horizontal="left" wrapText="1"/>
    </xf>
    <xf numFmtId="165" fontId="1" fillId="4" borderId="17" xfId="0" applyNumberFormat="1" applyFont="1" applyFill="1" applyBorder="1" applyAlignment="1">
      <alignment horizontal="left" wrapText="1"/>
    </xf>
    <xf numFmtId="0" fontId="3" fillId="0" borderId="18" xfId="0" applyFont="1" applyBorder="1" applyAlignment="1">
      <alignment wrapText="1"/>
    </xf>
    <xf numFmtId="0" fontId="3" fillId="0" borderId="19" xfId="0" applyFont="1" applyBorder="1" applyAlignment="1">
      <alignment wrapText="1"/>
    </xf>
    <xf numFmtId="9" fontId="1" fillId="2" borderId="20" xfId="0" applyNumberFormat="1" applyFont="1" applyFill="1" applyBorder="1" applyAlignment="1">
      <alignment horizontal="left" wrapText="1"/>
    </xf>
    <xf numFmtId="165" fontId="1" fillId="4" borderId="21" xfId="0" applyNumberFormat="1" applyFont="1" applyFill="1" applyBorder="1" applyAlignment="1">
      <alignment horizontal="left" wrapText="1"/>
    </xf>
    <xf numFmtId="0" fontId="1" fillId="2" borderId="22" xfId="0" applyFont="1" applyFill="1" applyBorder="1" applyAlignment="1">
      <alignment horizontal="left" wrapText="1"/>
    </xf>
    <xf numFmtId="165" fontId="1" fillId="4" borderId="23" xfId="0" applyNumberFormat="1" applyFont="1" applyFill="1" applyBorder="1" applyAlignment="1">
      <alignment horizontal="left" wrapText="1"/>
    </xf>
    <xf numFmtId="0" fontId="3" fillId="0" borderId="10" xfId="0" applyFont="1" applyBorder="1" applyAlignment="1">
      <alignment vertical="center" wrapText="1"/>
    </xf>
    <xf numFmtId="0" fontId="3" fillId="0" borderId="24" xfId="0" applyFont="1" applyBorder="1" applyAlignment="1">
      <alignment horizontal="left" vertical="center" wrapText="1"/>
    </xf>
    <xf numFmtId="0" fontId="2" fillId="0" borderId="25" xfId="0" applyFont="1" applyBorder="1"/>
    <xf numFmtId="0" fontId="2" fillId="0" borderId="26" xfId="0" applyFont="1" applyBorder="1"/>
    <xf numFmtId="0" fontId="1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167" fontId="3" fillId="0" borderId="0" xfId="0" applyNumberFormat="1" applyFont="1" applyAlignment="1">
      <alignment horizontal="right"/>
    </xf>
    <xf numFmtId="9" fontId="3" fillId="0" borderId="0" xfId="0" applyNumberFormat="1" applyFont="1"/>
    <xf numFmtId="0" fontId="1" fillId="6" borderId="27" xfId="0" applyFont="1" applyFill="1" applyBorder="1"/>
    <xf numFmtId="0" fontId="1" fillId="6" borderId="27" xfId="0" applyFont="1" applyFill="1" applyBorder="1" applyAlignment="1">
      <alignment horizontal="right"/>
    </xf>
    <xf numFmtId="0" fontId="3" fillId="6" borderId="27" xfId="0" applyFont="1" applyFill="1" applyBorder="1"/>
    <xf numFmtId="0" fontId="3" fillId="6" borderId="27" xfId="0" applyFont="1" applyFill="1" applyBorder="1"/>
    <xf numFmtId="0" fontId="1" fillId="6" borderId="5" xfId="0" applyFont="1" applyFill="1" applyBorder="1" applyAlignment="1">
      <alignment horizontal="center"/>
    </xf>
    <xf numFmtId="0" fontId="1" fillId="6" borderId="28" xfId="0" applyFont="1" applyFill="1" applyBorder="1" applyAlignment="1">
      <alignment horizontal="center"/>
    </xf>
    <xf numFmtId="0" fontId="2" fillId="0" borderId="29" xfId="0" applyFont="1" applyBorder="1"/>
    <xf numFmtId="0" fontId="1" fillId="6" borderId="30" xfId="0" applyFont="1" applyFill="1" applyBorder="1" applyAlignment="1">
      <alignment horizontal="center"/>
    </xf>
    <xf numFmtId="0" fontId="3" fillId="0" borderId="6" xfId="0" applyFont="1" applyBorder="1" applyAlignment="1">
      <alignment horizontal="right"/>
    </xf>
    <xf numFmtId="0" fontId="3" fillId="0" borderId="31" xfId="0" applyFont="1" applyBorder="1"/>
    <xf numFmtId="0" fontId="3" fillId="0" borderId="31" xfId="0" applyFont="1" applyBorder="1" applyAlignment="1">
      <alignment horizontal="right"/>
    </xf>
    <xf numFmtId="0" fontId="3" fillId="0" borderId="31" xfId="0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8" fillId="0" borderId="5" xfId="0" applyFont="1" applyBorder="1"/>
    <xf numFmtId="0" fontId="1" fillId="0" borderId="6" xfId="0" applyFont="1" applyBorder="1" applyAlignment="1">
      <alignment horizontal="left"/>
    </xf>
    <xf numFmtId="0" fontId="1" fillId="0" borderId="31" xfId="0" applyFont="1" applyBorder="1" applyAlignment="1">
      <alignment horizontal="right"/>
    </xf>
    <xf numFmtId="0" fontId="3" fillId="0" borderId="31" xfId="0" applyFont="1" applyBorder="1"/>
    <xf numFmtId="0" fontId="1" fillId="7" borderId="13" xfId="0" applyFont="1" applyFill="1" applyBorder="1"/>
    <xf numFmtId="0" fontId="3" fillId="7" borderId="32" xfId="0" applyFont="1" applyFill="1" applyBorder="1"/>
    <xf numFmtId="0" fontId="1" fillId="7" borderId="32" xfId="0" applyFont="1" applyFill="1" applyBorder="1" applyAlignment="1">
      <alignment horizontal="right"/>
    </xf>
    <xf numFmtId="0" fontId="3" fillId="7" borderId="32" xfId="0" applyFont="1" applyFill="1" applyBorder="1" applyAlignment="1">
      <alignment horizontal="center"/>
    </xf>
    <xf numFmtId="0" fontId="3" fillId="0" borderId="31" xfId="0" applyFont="1" applyBorder="1" applyAlignment="1">
      <alignment horizontal="left"/>
    </xf>
    <xf numFmtId="0" fontId="3" fillId="0" borderId="33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31" xfId="0" applyFont="1" applyBorder="1" applyAlignment="1">
      <alignment horizontal="left"/>
    </xf>
    <xf numFmtId="0" fontId="1" fillId="0" borderId="31" xfId="0" applyFont="1" applyBorder="1" applyAlignment="1">
      <alignment horizontal="center"/>
    </xf>
    <xf numFmtId="0" fontId="3" fillId="0" borderId="6" xfId="0" applyFont="1" applyBorder="1" applyAlignment="1">
      <alignment horizontal="right"/>
    </xf>
    <xf numFmtId="0" fontId="1" fillId="7" borderId="13" xfId="0" applyFont="1" applyFill="1" applyBorder="1" applyAlignment="1">
      <alignment horizontal="left"/>
    </xf>
    <xf numFmtId="0" fontId="1" fillId="7" borderId="32" xfId="0" applyFont="1" applyFill="1" applyBorder="1" applyAlignment="1">
      <alignment horizontal="left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6" borderId="34" xfId="0" applyFont="1" applyFill="1" applyBorder="1" applyAlignment="1">
      <alignment horizontal="center"/>
    </xf>
    <xf numFmtId="0" fontId="1" fillId="6" borderId="35" xfId="0" applyFont="1" applyFill="1" applyBorder="1" applyAlignment="1">
      <alignment horizontal="center"/>
    </xf>
    <xf numFmtId="0" fontId="3" fillId="0" borderId="5" xfId="0" applyFont="1" applyBorder="1" applyAlignment="1">
      <alignment horizontal="right"/>
    </xf>
    <xf numFmtId="0" fontId="3" fillId="0" borderId="29" xfId="0" applyFont="1" applyBorder="1"/>
    <xf numFmtId="0" fontId="3" fillId="0" borderId="29" xfId="0" applyFont="1" applyBorder="1" applyAlignment="1">
      <alignment horizontal="center"/>
    </xf>
    <xf numFmtId="0" fontId="3" fillId="0" borderId="29" xfId="0" applyFont="1" applyBorder="1" applyAlignment="1">
      <alignment horizontal="right"/>
    </xf>
    <xf numFmtId="0" fontId="3" fillId="0" borderId="31" xfId="0" applyFont="1" applyBorder="1" applyAlignment="1">
      <alignment horizontal="right"/>
    </xf>
    <xf numFmtId="0" fontId="1" fillId="0" borderId="31" xfId="0" applyFont="1" applyBorder="1"/>
    <xf numFmtId="49" fontId="3" fillId="0" borderId="6" xfId="0" applyNumberFormat="1" applyFont="1" applyBorder="1" applyAlignment="1">
      <alignment horizontal="right"/>
    </xf>
    <xf numFmtId="49" fontId="3" fillId="0" borderId="31" xfId="0" applyNumberFormat="1" applyFont="1" applyBorder="1"/>
    <xf numFmtId="0" fontId="1" fillId="0" borderId="31" xfId="0" applyFont="1" applyBorder="1" applyAlignment="1">
      <alignment horizontal="left"/>
    </xf>
    <xf numFmtId="0" fontId="1" fillId="6" borderId="13" xfId="0" applyFont="1" applyFill="1" applyBorder="1" applyAlignment="1">
      <alignment horizontal="center"/>
    </xf>
    <xf numFmtId="0" fontId="3" fillId="6" borderId="32" xfId="0" applyFont="1" applyFill="1" applyBorder="1"/>
    <xf numFmtId="0" fontId="1" fillId="6" borderId="32" xfId="0" applyFont="1" applyFill="1" applyBorder="1" applyAlignment="1">
      <alignment horizontal="center"/>
    </xf>
    <xf numFmtId="0" fontId="3" fillId="0" borderId="29" xfId="0" applyFont="1" applyBorder="1"/>
    <xf numFmtId="0" fontId="9" fillId="0" borderId="0" xfId="0" applyFont="1"/>
    <xf numFmtId="0" fontId="3" fillId="6" borderId="32" xfId="0" applyFont="1" applyFill="1" applyBorder="1"/>
    <xf numFmtId="0" fontId="1" fillId="3" borderId="13" xfId="0" applyFont="1" applyFill="1" applyBorder="1"/>
    <xf numFmtId="0" fontId="1" fillId="3" borderId="32" xfId="0" applyFont="1" applyFill="1" applyBorder="1"/>
    <xf numFmtId="0" fontId="8" fillId="0" borderId="0" xfId="0" applyFont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theme" Target="theme/theme1.xml" TargetMode="Internal"/><Relationship Id="rId2" Type="http://schemas.openxmlformats.org/officeDocument/2006/relationships/styles" Target="styles.xml" TargetMode="Internal"/><Relationship Id="rId3" Type="http://schemas.openxmlformats.org/officeDocument/2006/relationships/sharedStrings" Target="sharedStrings.xml" TargetMode="Internal"/><Relationship Id="rId4" Type="http://schemas.openxmlformats.org/officeDocument/2006/relationships/worksheet" Target="worksheets/sheet1.xml" TargetMode="Internal"/><Relationship Id="rId5" Type="http://schemas.openxmlformats.org/officeDocument/2006/relationships/worksheet" Target="worksheets/sheet2.xml" TargetMode="Internal"/><Relationship Id="rId6" Type="http://schemas.openxmlformats.org/officeDocument/2006/relationships/worksheet" Target="worksheets/sheet3.xml" TargetMode="Internal"/><Relationship Id="rId7" Type="http://customschemas.google.com/relationships/workbookmetadata" Target="metadata" TargetMode="Interna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</xdr:colOff>
      <xdr:row>22</xdr:row>
      <xdr:rowOff>171450</xdr:rowOff>
    </xdr:from>
    <xdr:ext cx="2552700" cy="1628775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 TargetMode="In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 TargetMode="In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 TargetMode="Internal"/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 mc:Ignorable="x14ac">
  <sheetPr>
    <pageSetUpPr/>
  </sheetPr>
  <sheetViews>
    <sheetView workbookViewId="0">
      <selection pane="topLeft" activeCell="B28" sqref="B28"/>
    </sheetView>
  </sheetViews>
  <sheetFormatPr baseColWidth="8" defaultColWidth="14.43" defaultRowHeight="15"/>
  <cols>
    <col min="1" max="1" width="54.43" customWidth="1"/>
    <col min="2" max="2" width="43.14" customWidth="1"/>
    <col min="3" max="6" width="11.43" customWidth="1"/>
    <col min="7" max="26" width="10.71" customWidth="1"/>
  </cols>
  <sheetData>
    <row ht="13.5" customHeight="1" r="1">
      <c r="A1" s="1" t="s">
        <v>0</v>
      </c>
      <c r="B1" s="2"/>
      <c r="C1" s="3"/>
      <c r="D1" s="3"/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ht="13.5" customHeight="1" r="2">
      <c r="A2" s="5" t="s">
        <v>1</v>
      </c>
      <c r="B2" s="6"/>
      <c r="C2" s="3"/>
      <c r="D2" s="3"/>
      <c r="E2" s="3"/>
      <c r="F2" s="3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ht="13.5" customHeight="1" r="3">
      <c r="A3" s="7" t="s">
        <v>2</v>
      </c>
      <c r="B3" s="8">
        <v>45804</v>
      </c>
      <c r="C3" s="3"/>
      <c r="D3" s="3"/>
      <c r="E3" s="3"/>
      <c r="F3" s="3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ht="13.5" customHeight="1" r="4">
      <c r="A4" s="9" t="s">
        <v>3</v>
      </c>
      <c r="B4" s="10" t="s">
        <v>4</v>
      </c>
      <c r="C4" s="3"/>
      <c r="D4" s="3"/>
      <c r="E4" s="3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ht="13.5" customHeight="1" r="5">
      <c r="A5" s="11" t="s">
        <v>5</v>
      </c>
      <c r="B5" s="12" t="s">
        <v>6</v>
      </c>
      <c r="C5" s="3"/>
      <c r="D5" s="3"/>
      <c r="E5" s="3"/>
      <c r="F5" s="3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ht="13.5" customHeight="1" r="6">
      <c r="A6" s="13" t="s">
        <v>7</v>
      </c>
      <c r="B6" s="14" t="s">
        <v>6</v>
      </c>
      <c r="C6" s="3"/>
      <c r="D6" s="3"/>
      <c r="E6" s="3"/>
      <c r="F6" s="3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ht="13.5" customHeight="1" r="7">
      <c r="A7" s="13" t="s">
        <v>8</v>
      </c>
      <c r="B7" s="15" t="s">
        <v>9</v>
      </c>
      <c r="C7" s="3"/>
      <c r="D7" s="3"/>
      <c r="E7" s="3"/>
      <c r="F7" s="3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3" t="s">
        <v>10</v>
      </c>
      <c r="B8" s="16" t="s">
        <v>11</v>
      </c>
      <c r="C8" s="3"/>
      <c r="D8" s="3"/>
      <c r="E8" s="3"/>
      <c r="F8" s="3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ht="13.5" customHeight="1" r="9">
      <c r="A9" s="13" t="s">
        <v>12</v>
      </c>
      <c r="B9" s="14" t="s">
        <v>13</v>
      </c>
      <c r="C9" s="3"/>
      <c r="D9" s="3"/>
      <c r="E9" s="3"/>
      <c r="F9" s="3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ht="13.5" customHeight="1" r="10">
      <c r="A10" s="17" t="s">
        <v>14</v>
      </c>
      <c r="B10" s="10"/>
      <c r="C10" s="3"/>
      <c r="D10" s="3"/>
      <c r="E10" s="3"/>
      <c r="F10" s="3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ht="13.5" customHeight="1" r="11">
      <c r="A11" s="13" t="s">
        <v>15</v>
      </c>
      <c r="B11" s="14">
        <v>7</v>
      </c>
      <c r="C11" s="3"/>
      <c r="D11" s="3"/>
      <c r="E11" s="3"/>
      <c r="F11" s="3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ht="13.5" customHeight="1" r="12">
      <c r="A12" s="13" t="s">
        <v>16</v>
      </c>
      <c r="B12" s="14">
        <v>2</v>
      </c>
      <c r="C12" s="3"/>
      <c r="D12" s="3"/>
      <c r="E12" s="3"/>
      <c r="F12" s="3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ht="13.5" customHeight="1" r="13">
      <c r="A13" s="13" t="s">
        <v>17</v>
      </c>
      <c r="B13" s="14">
        <v>12</v>
      </c>
      <c r="C13" s="3"/>
      <c r="D13" s="3"/>
      <c r="E13" s="3"/>
      <c r="F13" s="3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ht="13.5" customHeight="1" r="14">
      <c r="A14" s="13" t="s">
        <v>18</v>
      </c>
      <c r="B14" s="14" t="s">
        <v>19</v>
      </c>
      <c r="C14" s="3"/>
      <c r="D14" s="3"/>
      <c r="E14" s="3"/>
      <c r="F14" s="3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ht="13.5" customHeight="1" r="15">
      <c r="A15" s="13" t="s">
        <v>20</v>
      </c>
      <c r="B15" s="15">
        <v>2</v>
      </c>
      <c r="C15" s="3"/>
      <c r="D15" s="3"/>
      <c r="E15" s="3"/>
      <c r="F15" s="3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ht="13.5" customHeight="1" r="16">
      <c r="A16" s="13" t="s">
        <v>21</v>
      </c>
      <c r="B16" s="15" t="s">
        <v>22</v>
      </c>
      <c r="C16" s="3"/>
      <c r="D16" s="3"/>
      <c r="E16" s="3"/>
      <c r="F16" s="3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ht="33.75" customHeight="1" r="17">
      <c r="A17" s="13" t="s">
        <v>23</v>
      </c>
      <c r="B17" s="15" t="s">
        <v>24</v>
      </c>
      <c r="C17" s="3"/>
      <c r="D17" s="3"/>
      <c r="E17" s="3"/>
      <c r="F17" s="3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ht="13.5" customHeight="1" r="18">
      <c r="A18" s="13" t="s">
        <v>25</v>
      </c>
      <c r="B18" s="15" t="s">
        <v>26</v>
      </c>
      <c r="C18" s="3"/>
      <c r="D18" s="3"/>
      <c r="E18" s="3"/>
      <c r="F18" s="3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ht="13.5" customHeight="1" r="19">
      <c r="A19" s="17" t="s">
        <v>27</v>
      </c>
      <c r="B19" s="10"/>
      <c r="C19" s="3"/>
      <c r="D19" s="3"/>
      <c r="E19" s="3"/>
      <c r="F19" s="3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ht="13.5" customHeight="1" r="20">
      <c r="A20" s="18" t="s">
        <v>28</v>
      </c>
      <c r="B20" s="15" t="s">
        <v>29</v>
      </c>
      <c r="C20" s="3"/>
      <c r="D20" s="3"/>
      <c r="E20" s="3"/>
      <c r="F20" s="3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ht="13.5" customHeight="1" r="21">
      <c r="A21" s="13" t="s">
        <v>30</v>
      </c>
      <c r="B21" s="14" t="s">
        <v>31</v>
      </c>
      <c r="C21" s="3"/>
      <c r="D21" s="3"/>
      <c r="E21" s="3"/>
      <c r="F21" s="3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ht="13.5" customHeight="1" r="22">
      <c r="A22" s="13" t="s">
        <v>32</v>
      </c>
      <c r="B22" s="15" t="s">
        <v>33</v>
      </c>
      <c r="C22" s="3"/>
      <c r="D22" s="3"/>
      <c r="E22" s="3"/>
      <c r="F22" s="3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ht="156" customHeight="1" r="23">
      <c r="A23" s="13" t="s">
        <v>34</v>
      </c>
      <c r="B23" s="14"/>
      <c r="C23" s="3"/>
      <c r="D23" s="3"/>
      <c r="E23" s="3"/>
      <c r="F23" s="3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ht="13.5" customHeight="1" r="24">
      <c r="A24" s="13" t="s">
        <v>35</v>
      </c>
      <c r="B24" s="14" t="s">
        <v>36</v>
      </c>
      <c r="C24" s="3"/>
      <c r="D24" s="3"/>
      <c r="E24" s="3"/>
      <c r="F24" s="3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ht="13.5" customHeight="1" r="25">
      <c r="A25" s="13" t="s">
        <v>37</v>
      </c>
      <c r="B25" s="15" t="s">
        <v>38</v>
      </c>
      <c r="C25" s="3"/>
      <c r="D25" s="3"/>
      <c r="E25" s="3"/>
      <c r="F25" s="3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ht="13.5" customHeight="1" r="26">
      <c r="A26" s="13" t="s">
        <v>39</v>
      </c>
      <c r="B26" s="15" t="s">
        <v>40</v>
      </c>
      <c r="C26" s="3"/>
      <c r="D26" s="3"/>
      <c r="E26" s="3"/>
      <c r="F26" s="3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ht="13.5" customHeight="1" r="27">
      <c r="A27" s="13" t="s">
        <v>41</v>
      </c>
      <c r="B27" s="15" t="s">
        <v>42</v>
      </c>
      <c r="C27" s="3"/>
      <c r="D27" s="3"/>
      <c r="E27" s="3"/>
      <c r="F27" s="3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ht="13.5" customHeight="1" r="28">
      <c r="A28" s="13" t="s">
        <v>43</v>
      </c>
      <c r="B28" s="15" t="s">
        <v>40</v>
      </c>
      <c r="C28" s="3"/>
      <c r="D28" s="3"/>
      <c r="E28" s="3"/>
      <c r="F28" s="3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ht="13.5" customHeight="1" r="29">
      <c r="A29" s="17" t="s">
        <v>44</v>
      </c>
      <c r="B29" s="10"/>
      <c r="C29" s="3"/>
      <c r="D29" s="3"/>
      <c r="E29" s="3"/>
      <c r="F29" s="3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ht="13.5" customHeight="1" r="30">
      <c r="A30" s="13" t="s">
        <v>45</v>
      </c>
      <c r="B30" s="14" t="s">
        <v>46</v>
      </c>
      <c r="C30" s="3"/>
      <c r="D30" s="3"/>
      <c r="E30" s="3"/>
      <c r="F30" s="3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ht="13.5" customHeight="1" r="31">
      <c r="A31" s="13" t="s">
        <v>47</v>
      </c>
      <c r="B31" s="14" t="s">
        <v>48</v>
      </c>
      <c r="C31" s="3"/>
      <c r="D31" s="3"/>
      <c r="E31" s="3"/>
      <c r="F31" s="3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ht="13.5" customHeight="1" r="32">
      <c r="A32" s="13" t="s">
        <v>49</v>
      </c>
      <c r="B32" s="14" t="s">
        <v>50</v>
      </c>
      <c r="C32" s="3"/>
      <c r="D32" s="3"/>
      <c r="E32" s="3"/>
      <c r="F32" s="3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ht="13.5" customHeight="1" r="33">
      <c r="A33" s="13" t="s">
        <v>51</v>
      </c>
      <c r="B33" s="15">
        <v>700</v>
      </c>
      <c r="C33" s="3"/>
      <c r="D33" s="3"/>
      <c r="E33" s="3"/>
      <c r="F33" s="3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ht="13.5" customHeight="1" r="34">
      <c r="A34" s="18" t="s">
        <v>52</v>
      </c>
      <c r="B34" s="14" t="s">
        <v>53</v>
      </c>
      <c r="C34" s="3"/>
      <c r="D34" s="3"/>
      <c r="E34" s="3"/>
      <c r="F34" s="3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ht="13.5" customHeight="1" r="35">
      <c r="A35" s="13" t="s">
        <v>54</v>
      </c>
      <c r="B35" s="14" t="s">
        <v>53</v>
      </c>
      <c r="C35" s="3"/>
      <c r="D35" s="3"/>
      <c r="E35" s="3"/>
      <c r="F35" s="3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ht="13.5" customHeight="1" r="36">
      <c r="A36" s="13" t="s">
        <v>55</v>
      </c>
      <c r="B36" s="14" t="s">
        <v>53</v>
      </c>
      <c r="C36" s="3"/>
      <c r="D36" s="3"/>
      <c r="E36" s="3"/>
      <c r="F36" s="3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ht="13.5" customHeight="1" r="37">
      <c r="A37" s="13" t="s">
        <v>49</v>
      </c>
      <c r="B37" s="14" t="s">
        <v>53</v>
      </c>
      <c r="C37" s="3"/>
      <c r="D37" s="3"/>
      <c r="E37" s="3"/>
      <c r="F37" s="3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ht="13.5" customHeight="1" r="38">
      <c r="A38" s="18" t="s">
        <v>56</v>
      </c>
      <c r="B38" s="14" t="s">
        <v>50</v>
      </c>
      <c r="C38" s="3"/>
      <c r="D38" s="3"/>
      <c r="E38" s="3"/>
      <c r="F38" s="3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ht="13.5" customHeight="1" r="39">
      <c r="A39" s="13" t="s">
        <v>57</v>
      </c>
      <c r="B39" s="15" t="s">
        <v>58</v>
      </c>
      <c r="C39" s="3"/>
      <c r="D39" s="3"/>
      <c r="E39" s="3"/>
      <c r="F39" s="3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ht="13.5" customHeight="1" r="40">
      <c r="A40" s="13" t="s">
        <v>57</v>
      </c>
      <c r="B40" s="15" t="s">
        <v>59</v>
      </c>
      <c r="C40" s="3"/>
      <c r="D40" s="3"/>
      <c r="E40" s="3"/>
      <c r="F40" s="3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3" t="s">
        <v>57</v>
      </c>
      <c r="B41" s="15" t="s">
        <v>60</v>
      </c>
      <c r="C41" s="19" t="s">
        <v>61</v>
      </c>
      <c r="D41" s="3"/>
      <c r="E41" s="3"/>
      <c r="F41" s="3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ht="13.5" customHeight="1" r="42">
      <c r="A42" s="17" t="s">
        <v>62</v>
      </c>
      <c r="B42" s="10"/>
      <c r="C42" s="3"/>
      <c r="D42" s="3"/>
      <c r="E42" s="3"/>
      <c r="F42" s="3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ht="13.5" customHeight="1" r="43">
      <c r="A43" s="13" t="s">
        <v>63</v>
      </c>
      <c r="B43" s="14"/>
      <c r="C43" s="3"/>
      <c r="D43" s="3"/>
      <c r="E43" s="3"/>
      <c r="F43" s="3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ht="13.5" customHeight="1" r="44">
      <c r="A44" s="13" t="s">
        <v>64</v>
      </c>
      <c r="B44" s="15" t="s">
        <v>65</v>
      </c>
      <c r="C44" s="3"/>
      <c r="D44" s="3"/>
      <c r="E44" s="3"/>
      <c r="F44" s="3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ht="13.5" customHeight="1" r="45">
      <c r="A45" s="13" t="s">
        <v>66</v>
      </c>
      <c r="B45" s="15" t="s">
        <v>67</v>
      </c>
      <c r="C45" s="3"/>
      <c r="D45" s="3"/>
      <c r="E45" s="3"/>
      <c r="F45" s="3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ht="13.5" customHeight="1" r="46">
      <c r="A46" s="17" t="s">
        <v>68</v>
      </c>
      <c r="B46" s="10"/>
      <c r="C46" s="3"/>
      <c r="D46" s="3"/>
      <c r="E46" s="3"/>
      <c r="F46" s="3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ht="13.5" customHeight="1" r="47">
      <c r="A47" s="13" t="s">
        <v>69</v>
      </c>
      <c r="B47" s="20" t="s">
        <v>70</v>
      </c>
      <c r="C47" s="3"/>
      <c r="D47" s="3"/>
      <c r="E47" s="3"/>
      <c r="F47" s="3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ht="13.5" customHeight="1" r="48">
      <c r="A48" s="13" t="s">
        <v>71</v>
      </c>
      <c r="B48" s="21">
        <v>0</v>
      </c>
      <c r="C48" s="3"/>
      <c r="D48" s="3"/>
      <c r="E48" s="3"/>
      <c r="F48" s="3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ht="13.5" customHeight="1" r="49">
      <c r="A49" s="14" t="s">
        <v>72</v>
      </c>
      <c r="B49" s="14"/>
      <c r="C49" s="3"/>
      <c r="D49" s="3"/>
      <c r="E49" s="3"/>
      <c r="F49" s="3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ht="13.5" customHeight="1" r="50">
      <c r="A50" s="17" t="s">
        <v>73</v>
      </c>
      <c r="B50" s="10"/>
      <c r="C50" s="3"/>
      <c r="D50" s="3"/>
      <c r="E50" s="3"/>
      <c r="F50" s="3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3" t="s">
        <v>74</v>
      </c>
      <c r="B51" s="22" t="s">
        <v>75</v>
      </c>
      <c r="C51" s="3"/>
      <c r="D51" s="3"/>
      <c r="E51" s="3"/>
      <c r="F51" s="3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ht="13.5" customHeight="1" r="52">
      <c r="A52" s="13" t="s">
        <v>76</v>
      </c>
      <c r="B52" s="15" t="s">
        <v>50</v>
      </c>
      <c r="C52" s="3"/>
      <c r="D52" s="3"/>
      <c r="E52" s="3"/>
      <c r="F52" s="3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ht="37.5" customHeight="1" r="53">
      <c r="A53" s="14" t="s">
        <v>77</v>
      </c>
      <c r="B53" s="15" t="s">
        <v>78</v>
      </c>
      <c r="C53" s="3"/>
      <c r="D53" s="3"/>
      <c r="E53" s="3"/>
      <c r="F53" s="3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ht="29.25" customHeight="1" r="54">
      <c r="A54" s="23"/>
      <c r="B54" s="24"/>
      <c r="C54" s="3"/>
      <c r="D54" s="25"/>
      <c r="E54" s="26"/>
      <c r="F54" s="26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ht="13.5" customHeight="1" r="55">
      <c r="A55" s="27" t="s">
        <v>79</v>
      </c>
      <c r="B55" s="28" t="s">
        <v>80</v>
      </c>
      <c r="C55" s="28" t="s">
        <v>81</v>
      </c>
      <c r="D55" s="28" t="s">
        <v>82</v>
      </c>
      <c r="E55" s="28" t="s">
        <v>83</v>
      </c>
      <c r="F55" s="29" t="s">
        <v>84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ht="18.75" customHeight="1" r="56">
      <c r="A56" s="30" t="s">
        <v>85</v>
      </c>
      <c r="B56" s="31"/>
      <c r="C56" s="32"/>
      <c r="D56" s="33">
        <v>0</v>
      </c>
      <c r="E56" s="34">
        <v>0</v>
      </c>
      <c r="F56" s="35">
        <f>D56*E56</f>
        <v>0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ht="13.5" customHeight="1" r="57">
      <c r="A57" s="36" t="s">
        <v>86</v>
      </c>
      <c r="B57" s="37"/>
      <c r="C57" s="38"/>
      <c r="D57" s="39">
        <v>0</v>
      </c>
      <c r="E57" s="40">
        <v>0</v>
      </c>
      <c r="F57" s="35">
        <f>D57*E57</f>
        <v>0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ht="13.5" customHeight="1" r="58">
      <c r="A58" s="36" t="s">
        <v>87</v>
      </c>
      <c r="B58" s="41">
        <v>72126.03</v>
      </c>
      <c r="C58" s="42"/>
      <c r="D58" s="43">
        <v>1</v>
      </c>
      <c r="E58" s="44">
        <v>500</v>
      </c>
      <c r="F58" s="35">
        <f>D58*E58</f>
        <v>500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ht="13.5" customHeight="1" r="59">
      <c r="A59" s="36" t="s">
        <v>88</v>
      </c>
      <c r="B59" s="42"/>
      <c r="C59" s="42"/>
      <c r="D59" s="39">
        <v>0</v>
      </c>
      <c r="E59" s="40">
        <v>0</v>
      </c>
      <c r="F59" s="35">
        <f>D59*E59</f>
        <v>0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ht="13.5" customHeight="1" r="60">
      <c r="A60" s="36" t="s">
        <v>89</v>
      </c>
      <c r="B60" s="15" t="s">
        <v>90</v>
      </c>
      <c r="C60" s="14"/>
      <c r="D60" s="39">
        <v>0</v>
      </c>
      <c r="E60" s="40">
        <v>0</v>
      </c>
      <c r="F60" s="35">
        <f>D60*E60</f>
        <v>0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ht="13.5" customHeight="1" r="61">
      <c r="A61" s="36" t="s">
        <v>91</v>
      </c>
      <c r="B61" s="45" t="s">
        <v>92</v>
      </c>
      <c r="C61" s="14"/>
      <c r="D61" s="39">
        <v>0</v>
      </c>
      <c r="E61" s="40">
        <v>200</v>
      </c>
      <c r="F61" s="35">
        <f>D61*E61</f>
        <v>0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ht="20.25" customHeight="1" r="62">
      <c r="A62" s="36" t="s">
        <v>93</v>
      </c>
      <c r="B62" s="14"/>
      <c r="C62" s="14"/>
      <c r="D62" s="43">
        <v>1</v>
      </c>
      <c r="E62" s="44">
        <v>700</v>
      </c>
      <c r="F62" s="35">
        <f>D62*E62</f>
        <v>700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ht="13.5" customHeight="1" r="63">
      <c r="A63" s="36" t="s">
        <v>94</v>
      </c>
      <c r="B63" s="46"/>
      <c r="C63" s="14"/>
      <c r="D63" s="43">
        <v>6</v>
      </c>
      <c r="E63" s="40">
        <v>1500</v>
      </c>
      <c r="F63" s="35">
        <f>D63*E63</f>
        <v>9000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ht="13.5" customHeight="1" r="64">
      <c r="A64" s="36" t="s">
        <v>95</v>
      </c>
      <c r="B64" s="14"/>
      <c r="C64" s="14"/>
      <c r="D64" s="39">
        <v>0</v>
      </c>
      <c r="E64" s="40">
        <v>0</v>
      </c>
      <c r="F64" s="35">
        <f>D64*E64</f>
        <v>0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ht="13.5" customHeight="1" r="65">
      <c r="A65" s="36" t="s">
        <v>96</v>
      </c>
      <c r="B65" s="14"/>
      <c r="C65" s="14"/>
      <c r="D65" s="39">
        <v>0</v>
      </c>
      <c r="E65" s="40">
        <v>0</v>
      </c>
      <c r="F65" s="35">
        <f>D65*E65</f>
        <v>0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ht="13.5" customHeight="1" r="66">
      <c r="A66" s="36" t="s">
        <v>97</v>
      </c>
      <c r="B66" s="14"/>
      <c r="C66" s="14"/>
      <c r="D66" s="39">
        <v>0</v>
      </c>
      <c r="E66" s="40"/>
      <c r="F66" s="35">
        <f>D66*E66</f>
        <v>0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ht="13.5" customHeight="1" r="67">
      <c r="A67" s="36" t="s">
        <v>98</v>
      </c>
      <c r="B67" s="15" t="s">
        <v>99</v>
      </c>
      <c r="C67" s="14"/>
      <c r="D67" s="43">
        <v>8</v>
      </c>
      <c r="E67" s="44">
        <v>49</v>
      </c>
      <c r="F67" s="35">
        <f>D67*E67</f>
        <v>392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ht="13.5" customHeight="1" r="68">
      <c r="A68" s="36" t="s">
        <v>100</v>
      </c>
      <c r="B68" s="15" t="s">
        <v>101</v>
      </c>
      <c r="C68" s="14"/>
      <c r="D68" s="43">
        <v>1</v>
      </c>
      <c r="E68" s="44">
        <v>70</v>
      </c>
      <c r="F68" s="35">
        <f>D68*E68</f>
        <v>70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ht="13.5" customHeight="1" r="69">
      <c r="A69" s="36" t="s">
        <v>102</v>
      </c>
      <c r="B69" s="14"/>
      <c r="C69" s="14"/>
      <c r="D69" s="39">
        <v>0</v>
      </c>
      <c r="E69" s="40">
        <v>0</v>
      </c>
      <c r="F69" s="35">
        <f>D69*E69</f>
        <v>0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ht="23.25" customHeight="1" r="70">
      <c r="A70" s="36" t="s">
        <v>103</v>
      </c>
      <c r="B70" s="22" t="s">
        <v>104</v>
      </c>
      <c r="C70" s="14"/>
      <c r="D70" s="43">
        <v>2</v>
      </c>
      <c r="E70" s="44">
        <v>600</v>
      </c>
      <c r="F70" s="35">
        <f>D70*E70</f>
        <v>1200</v>
      </c>
      <c r="G70" s="47" t="s">
        <v>105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ht="13.5" customHeight="1" r="71">
      <c r="A71" s="36" t="s">
        <v>106</v>
      </c>
      <c r="B71" s="14"/>
      <c r="C71" s="14"/>
      <c r="D71" s="39">
        <v>0</v>
      </c>
      <c r="E71" s="40">
        <v>300</v>
      </c>
      <c r="F71" s="35">
        <f>D71*E71</f>
        <v>0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ht="13.5" customHeight="1" r="72">
      <c r="A72" s="36" t="s">
        <v>107</v>
      </c>
      <c r="B72" s="14"/>
      <c r="C72" s="14"/>
      <c r="D72" s="37">
        <v>0</v>
      </c>
      <c r="E72" s="40">
        <v>60</v>
      </c>
      <c r="F72" s="35">
        <f>D72*E72</f>
        <v>0</v>
      </c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ht="13.5" customHeight="1" r="73">
      <c r="A73" s="36" t="s">
        <v>108</v>
      </c>
      <c r="B73" s="14"/>
      <c r="C73" s="14"/>
      <c r="D73" s="48">
        <v>0</v>
      </c>
      <c r="E73" s="40">
        <v>0</v>
      </c>
      <c r="F73" s="35">
        <f>D73*E73</f>
        <v>0</v>
      </c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36" t="s">
        <v>109</v>
      </c>
      <c r="B74" s="14"/>
      <c r="C74" s="14"/>
      <c r="D74" s="37">
        <v>0</v>
      </c>
      <c r="E74" s="40">
        <v>0</v>
      </c>
      <c r="F74" s="35">
        <f>D74*E74</f>
        <v>0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ht="13.5" customHeight="1" r="75">
      <c r="A75" s="36" t="s">
        <v>110</v>
      </c>
      <c r="B75" s="15" t="s">
        <v>111</v>
      </c>
      <c r="C75" s="14"/>
      <c r="D75" s="48">
        <v>3</v>
      </c>
      <c r="E75" s="40">
        <v>400</v>
      </c>
      <c r="F75" s="35">
        <f>D75*E75</f>
        <v>1200</v>
      </c>
      <c r="G75" s="47" t="s">
        <v>112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ht="13.5" customHeight="1" r="76">
      <c r="A76" s="36" t="s">
        <v>113</v>
      </c>
      <c r="B76" s="14"/>
      <c r="C76" s="14"/>
      <c r="D76" s="37">
        <v>0</v>
      </c>
      <c r="E76" s="40"/>
      <c r="F76" s="35">
        <f>D76*E76</f>
        <v>0</v>
      </c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ht="13.5" customHeight="1" r="77">
      <c r="A77" s="36" t="s">
        <v>114</v>
      </c>
      <c r="B77" s="14"/>
      <c r="C77" s="14"/>
      <c r="D77" s="48">
        <v>0</v>
      </c>
      <c r="E77" s="40"/>
      <c r="F77" s="35">
        <f>D77*E77</f>
        <v>0</v>
      </c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ht="13.5" customHeight="1" r="78">
      <c r="A78" s="36" t="s">
        <v>115</v>
      </c>
      <c r="B78" s="15" t="s">
        <v>116</v>
      </c>
      <c r="C78" s="14"/>
      <c r="D78" s="43">
        <v>1</v>
      </c>
      <c r="E78" s="40">
        <v>0</v>
      </c>
      <c r="F78" s="35">
        <f>D78*E78</f>
        <v>0</v>
      </c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ht="13.5" customHeight="1" r="79">
      <c r="A79" s="36" t="s">
        <v>117</v>
      </c>
      <c r="B79" s="15" t="s">
        <v>118</v>
      </c>
      <c r="C79" s="14"/>
      <c r="D79" s="43">
        <v>1</v>
      </c>
      <c r="E79" s="44">
        <v>700</v>
      </c>
      <c r="F79" s="35">
        <f>D79*E79</f>
        <v>700</v>
      </c>
      <c r="G79" s="47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ht="13.5" customHeight="1" r="80">
      <c r="A80" s="36" t="s">
        <v>119</v>
      </c>
      <c r="B80" s="15" t="s">
        <v>120</v>
      </c>
      <c r="C80" s="14"/>
      <c r="D80" s="43">
        <v>1</v>
      </c>
      <c r="E80" s="40">
        <v>250</v>
      </c>
      <c r="F80" s="35">
        <f>D80*E80</f>
        <v>250</v>
      </c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ht="12.75" customHeight="1" r="81">
      <c r="A81" s="49" t="s">
        <v>121</v>
      </c>
      <c r="B81" s="15" t="s">
        <v>120</v>
      </c>
      <c r="C81" s="14"/>
      <c r="D81" s="39">
        <v>0</v>
      </c>
      <c r="E81" s="40"/>
      <c r="F81" s="35">
        <f>D81*E81</f>
        <v>0</v>
      </c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ht="18.75" customHeight="1" r="82">
      <c r="A82" s="36" t="s">
        <v>122</v>
      </c>
      <c r="B82" s="15" t="s">
        <v>123</v>
      </c>
      <c r="C82" s="14"/>
      <c r="D82" s="43">
        <v>1</v>
      </c>
      <c r="E82" s="40">
        <v>400</v>
      </c>
      <c r="F82" s="35">
        <f>D82*E82</f>
        <v>400</v>
      </c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ht="13.5" customHeight="1" r="83">
      <c r="A83" s="50" t="s">
        <v>124</v>
      </c>
      <c r="B83" s="15" t="s">
        <v>125</v>
      </c>
      <c r="C83" s="50"/>
      <c r="D83" s="51">
        <v>2</v>
      </c>
      <c r="E83" s="40">
        <v>600</v>
      </c>
      <c r="F83" s="35">
        <f>D83*E83</f>
        <v>1200</v>
      </c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ht="18.75" customHeight="1" r="84">
      <c r="A84" s="50" t="s">
        <v>126</v>
      </c>
      <c r="B84" s="22" t="s">
        <v>127</v>
      </c>
      <c r="C84" s="52"/>
      <c r="D84" s="53">
        <v>8</v>
      </c>
      <c r="E84" s="40">
        <v>60</v>
      </c>
      <c r="F84" s="35">
        <f>D84*E84</f>
        <v>480</v>
      </c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ht="13.5" customHeight="1" r="85">
      <c r="A85" s="50" t="s">
        <v>128</v>
      </c>
      <c r="B85" s="22" t="s">
        <v>127</v>
      </c>
      <c r="C85" s="52"/>
      <c r="D85" s="53">
        <v>8</v>
      </c>
      <c r="E85" s="40">
        <v>44</v>
      </c>
      <c r="F85" s="35">
        <f>D85*E85</f>
        <v>352</v>
      </c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ht="13.5" customHeight="1" r="86">
      <c r="A86" s="50" t="s">
        <v>129</v>
      </c>
      <c r="B86" s="22"/>
      <c r="C86" s="54"/>
      <c r="D86" s="53">
        <v>0</v>
      </c>
      <c r="E86" s="40"/>
      <c r="F86" s="35">
        <f>D86*E86</f>
        <v>0</v>
      </c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ht="13.5" customHeight="1" r="87">
      <c r="A87" s="50" t="s">
        <v>130</v>
      </c>
      <c r="B87" s="55" t="s">
        <v>131</v>
      </c>
      <c r="C87" s="56"/>
      <c r="D87" s="53">
        <v>8</v>
      </c>
      <c r="E87" s="40">
        <v>600</v>
      </c>
      <c r="F87" s="35">
        <f>D87*E87</f>
        <v>4800</v>
      </c>
      <c r="G87" s="47" t="s">
        <v>132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ht="33" customHeight="1" r="88">
      <c r="A88" s="50" t="s">
        <v>133</v>
      </c>
      <c r="B88" s="14"/>
      <c r="C88" s="57"/>
      <c r="D88" s="58">
        <v>0</v>
      </c>
      <c r="E88" s="40"/>
      <c r="F88" s="35">
        <f>D88*E88</f>
        <v>0</v>
      </c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ht="13.5" customHeight="1" r="89">
      <c r="A89" s="50" t="s">
        <v>134</v>
      </c>
      <c r="B89" s="14"/>
      <c r="C89" s="57"/>
      <c r="D89" s="58">
        <v>0</v>
      </c>
      <c r="E89" s="40"/>
      <c r="F89" s="35">
        <f>D89*E89</f>
        <v>0</v>
      </c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ht="13.5" customHeight="1" r="90">
      <c r="A90" s="36" t="s">
        <v>135</v>
      </c>
      <c r="B90" s="22" t="s">
        <v>136</v>
      </c>
      <c r="C90" s="59"/>
      <c r="D90" s="60">
        <v>3</v>
      </c>
      <c r="E90" s="40">
        <v>10</v>
      </c>
      <c r="F90" s="35">
        <f>D90*E90</f>
        <v>30</v>
      </c>
      <c r="G90" s="47" t="s">
        <v>137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ht="21.75" customHeight="1" r="91">
      <c r="A91" s="36" t="s">
        <v>138</v>
      </c>
      <c r="B91" s="15" t="s">
        <v>139</v>
      </c>
      <c r="C91" s="14"/>
      <c r="D91" s="43">
        <v>1</v>
      </c>
      <c r="E91" s="44">
        <v>200</v>
      </c>
      <c r="F91" s="35">
        <f>D91*E91</f>
        <v>200</v>
      </c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ht="13.5" customHeight="1" r="92">
      <c r="A92" s="36" t="s">
        <v>140</v>
      </c>
      <c r="B92" s="14"/>
      <c r="C92" s="14"/>
      <c r="D92" s="39">
        <v>0</v>
      </c>
      <c r="E92" s="40">
        <v>31</v>
      </c>
      <c r="F92" s="35">
        <f>D92*E92</f>
        <v>0</v>
      </c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ht="13.5" customHeight="1" r="93">
      <c r="A93" s="36" t="s">
        <v>141</v>
      </c>
      <c r="B93" s="14"/>
      <c r="C93" s="14"/>
      <c r="D93" s="39">
        <v>0</v>
      </c>
      <c r="E93" s="40">
        <v>10</v>
      </c>
      <c r="F93" s="35">
        <f>D93*E93</f>
        <v>0</v>
      </c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ht="13.5" customHeight="1" r="94">
      <c r="A94" s="36" t="s">
        <v>142</v>
      </c>
      <c r="B94" s="14"/>
      <c r="C94" s="14"/>
      <c r="D94" s="39">
        <v>0</v>
      </c>
      <c r="E94" s="40">
        <v>150</v>
      </c>
      <c r="F94" s="35">
        <f>D94*E94</f>
        <v>0</v>
      </c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ht="13.5" customHeight="1" r="95">
      <c r="A95" s="36" t="s">
        <v>143</v>
      </c>
      <c r="B95" s="14"/>
      <c r="C95" s="14"/>
      <c r="D95" s="43">
        <v>1</v>
      </c>
      <c r="E95" s="40">
        <v>60</v>
      </c>
      <c r="F95" s="35">
        <f>D95*E95</f>
        <v>60</v>
      </c>
      <c r="G95" s="47" t="s">
        <v>105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ht="13.5" customHeight="1" r="96">
      <c r="A96" s="36" t="s">
        <v>144</v>
      </c>
      <c r="B96" s="14"/>
      <c r="C96" s="14"/>
      <c r="D96" s="39">
        <v>0</v>
      </c>
      <c r="E96" s="40">
        <v>200</v>
      </c>
      <c r="F96" s="35">
        <f>D96*E96</f>
        <v>0</v>
      </c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ht="13.5" customHeight="1" r="97">
      <c r="A97" s="36" t="s">
        <v>145</v>
      </c>
      <c r="B97" s="14"/>
      <c r="C97" s="14"/>
      <c r="D97" s="43">
        <v>1</v>
      </c>
      <c r="E97" s="40">
        <v>100</v>
      </c>
      <c r="F97" s="35">
        <f>D97*E97</f>
        <v>100</v>
      </c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ht="13.5" customHeight="1" r="98">
      <c r="A98" s="36" t="s">
        <v>146</v>
      </c>
      <c r="B98" s="14"/>
      <c r="C98" s="14"/>
      <c r="D98" s="43">
        <v>1</v>
      </c>
      <c r="E98" s="44">
        <v>100</v>
      </c>
      <c r="F98" s="35">
        <f>D98*E98</f>
        <v>100</v>
      </c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ht="13.5" customHeight="1" r="99">
      <c r="A99" s="36" t="s">
        <v>147</v>
      </c>
      <c r="B99" s="22" t="s">
        <v>148</v>
      </c>
      <c r="C99" s="59"/>
      <c r="D99" s="60">
        <v>41</v>
      </c>
      <c r="E99" s="40">
        <v>6.29</v>
      </c>
      <c r="F99" s="35">
        <f>D99*E99</f>
        <v>257.89</v>
      </c>
      <c r="G99" s="47" t="s">
        <v>149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ht="13.5" customHeight="1" r="100">
      <c r="A100" s="61" t="s">
        <v>150</v>
      </c>
      <c r="B100" s="62"/>
      <c r="C100" s="63"/>
      <c r="D100" s="64">
        <v>0</v>
      </c>
      <c r="E100" s="65">
        <v>3.85</v>
      </c>
      <c r="F100" s="35">
        <f>D100*E100</f>
        <v>0</v>
      </c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ht="13.5" customHeight="1" r="101">
      <c r="A101" s="36" t="s">
        <v>151</v>
      </c>
      <c r="B101" s="15" t="s">
        <v>152</v>
      </c>
      <c r="C101" s="14"/>
      <c r="D101" s="48">
        <v>1</v>
      </c>
      <c r="E101" s="40">
        <v>700</v>
      </c>
      <c r="F101" s="35">
        <f>D101*E101</f>
        <v>700</v>
      </c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ht="13.5" customHeight="1" r="102">
      <c r="A102" s="36" t="s">
        <v>153</v>
      </c>
      <c r="B102" s="14"/>
      <c r="C102" s="14"/>
      <c r="D102" s="37">
        <v>0</v>
      </c>
      <c r="E102" s="40"/>
      <c r="F102" s="35">
        <f>D102*E102</f>
        <v>0</v>
      </c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ht="13.5" customHeight="1" r="103">
      <c r="A103" s="36" t="s">
        <v>154</v>
      </c>
      <c r="B103" s="14" t="s">
        <v>155</v>
      </c>
      <c r="C103" s="14"/>
      <c r="D103" s="37">
        <v>0</v>
      </c>
      <c r="E103" s="40">
        <v>140</v>
      </c>
      <c r="F103" s="35">
        <f>D103*E103</f>
        <v>0</v>
      </c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ht="13.5" customHeight="1" r="104">
      <c r="A104" s="36" t="s">
        <v>156</v>
      </c>
      <c r="B104" s="14"/>
      <c r="C104" s="14"/>
      <c r="D104" s="37">
        <v>0</v>
      </c>
      <c r="E104" s="40">
        <v>70</v>
      </c>
      <c r="F104" s="35">
        <f>D104*E104</f>
        <v>0</v>
      </c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ht="13.5" customHeight="1" r="105">
      <c r="A105" s="36" t="s">
        <v>157</v>
      </c>
      <c r="B105" s="14"/>
      <c r="C105" s="14"/>
      <c r="D105" s="37">
        <v>0</v>
      </c>
      <c r="E105" s="40">
        <v>60</v>
      </c>
      <c r="F105" s="35">
        <f>D105*E105</f>
        <v>0</v>
      </c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ht="13.5" customHeight="1" r="106">
      <c r="A106" s="36" t="s">
        <v>158</v>
      </c>
      <c r="B106" s="14" t="s">
        <v>159</v>
      </c>
      <c r="C106" s="14"/>
      <c r="D106" s="37">
        <v>0</v>
      </c>
      <c r="E106" s="40">
        <v>3800</v>
      </c>
      <c r="F106" s="35">
        <f>D106*E106</f>
        <v>0</v>
      </c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ht="13.5" customHeight="1" r="107">
      <c r="A107" s="36" t="s">
        <v>160</v>
      </c>
      <c r="B107" s="14"/>
      <c r="C107" s="14"/>
      <c r="D107" s="39">
        <v>0</v>
      </c>
      <c r="E107" s="40">
        <v>0</v>
      </c>
      <c r="F107" s="35">
        <f>D107*E107</f>
        <v>0</v>
      </c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ht="13.5" customHeight="1" r="108">
      <c r="A108" s="36" t="s">
        <v>161</v>
      </c>
      <c r="B108" s="14"/>
      <c r="C108" s="14"/>
      <c r="D108" s="43">
        <v>16</v>
      </c>
      <c r="E108" s="44">
        <v>35</v>
      </c>
      <c r="F108" s="66">
        <f>D108*E108</f>
        <v>560</v>
      </c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ht="13.5" customHeight="1" r="109">
      <c r="A109" s="36" t="s">
        <v>162</v>
      </c>
      <c r="B109" s="14" t="s">
        <v>163</v>
      </c>
      <c r="C109" s="14"/>
      <c r="D109" s="43">
        <v>300</v>
      </c>
      <c r="E109" s="40">
        <v>0.35</v>
      </c>
      <c r="F109" s="66">
        <f>D109*E109</f>
        <v>105</v>
      </c>
      <c r="G109" s="47" t="s">
        <v>164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ht="13.5" customHeight="1" r="110">
      <c r="A110" s="36" t="s">
        <v>165</v>
      </c>
      <c r="B110" s="14"/>
      <c r="C110" s="14"/>
      <c r="D110" s="39">
        <v>0</v>
      </c>
      <c r="E110" s="40">
        <v>2.8</v>
      </c>
      <c r="F110" s="66">
        <f>D110*E110</f>
        <v>0</v>
      </c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ht="13.5" customHeight="1" r="111">
      <c r="A111" s="36" t="s">
        <v>166</v>
      </c>
      <c r="B111" s="67" t="s">
        <v>167</v>
      </c>
      <c r="C111" s="67"/>
      <c r="D111" s="60">
        <v>16</v>
      </c>
      <c r="E111" s="40">
        <v>0.62</v>
      </c>
      <c r="F111" s="66">
        <f>D111*E111</f>
        <v>9.92</v>
      </c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ht="13.5" customHeight="1" r="112">
      <c r="A112" s="36" t="s">
        <v>168</v>
      </c>
      <c r="B112" s="67" t="s">
        <v>167</v>
      </c>
      <c r="C112" s="67"/>
      <c r="D112" s="60">
        <v>8</v>
      </c>
      <c r="E112" s="40">
        <v>5.9</v>
      </c>
      <c r="F112" s="66">
        <f>D112*E112</f>
        <v>47.2</v>
      </c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ht="13.5" customHeight="1" r="113">
      <c r="A113" s="36" t="s">
        <v>169</v>
      </c>
      <c r="B113" s="67" t="s">
        <v>167</v>
      </c>
      <c r="C113" s="67"/>
      <c r="D113" s="60">
        <v>16</v>
      </c>
      <c r="E113" s="40">
        <v>5</v>
      </c>
      <c r="F113" s="66">
        <f>D113*E113</f>
        <v>80</v>
      </c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ht="13.5" customHeight="1" r="114">
      <c r="A114" s="68" t="s">
        <v>170</v>
      </c>
      <c r="B114" s="68" t="s">
        <v>171</v>
      </c>
      <c r="C114" s="69"/>
      <c r="D114" s="51">
        <v>1</v>
      </c>
      <c r="E114" s="70">
        <v>3000</v>
      </c>
      <c r="F114" s="66">
        <f>D114*E114</f>
        <v>3000</v>
      </c>
      <c r="G114" s="47" t="s">
        <v>105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ht="13.5" customHeight="1" r="115">
      <c r="A115" s="68" t="s">
        <v>172</v>
      </c>
      <c r="B115" s="68" t="s">
        <v>173</v>
      </c>
      <c r="C115" s="69"/>
      <c r="D115" s="51">
        <v>1</v>
      </c>
      <c r="E115" s="70">
        <v>370</v>
      </c>
      <c r="F115" s="66">
        <f>D115*E115</f>
        <v>370</v>
      </c>
      <c r="G115" s="47" t="s">
        <v>105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ht="13.5" customHeight="1" r="116">
      <c r="A116" s="71"/>
      <c r="B116" s="71"/>
      <c r="C116" s="71"/>
      <c r="D116" s="72"/>
      <c r="E116" s="73" t="s">
        <v>174</v>
      </c>
      <c r="F116" s="74">
        <f>SUM(F56:F115)</f>
        <v>26864.01</v>
      </c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ht="13.5" customHeight="1" r="117">
      <c r="A117" s="75"/>
      <c r="B117" s="75"/>
      <c r="C117" s="75"/>
      <c r="D117" s="76"/>
      <c r="E117" s="77">
        <v>0.15</v>
      </c>
      <c r="F117" s="78" t="s">
        <v>175</v>
      </c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ht="13.5" customHeight="1" r="118">
      <c r="A118" s="3"/>
      <c r="B118" s="3"/>
      <c r="C118" s="3"/>
      <c r="D118" s="3"/>
      <c r="E118" s="79" t="s">
        <v>84</v>
      </c>
      <c r="F118" s="80" t="s">
        <v>175</v>
      </c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ht="13.5" customHeight="1"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ht="61.5" customHeight="1" r="120">
      <c r="A120" s="81" t="s">
        <v>176</v>
      </c>
      <c r="B120" s="82" t="s">
        <v>177</v>
      </c>
      <c r="C120" s="83"/>
      <c r="D120" s="83"/>
      <c r="E120" s="83"/>
      <c r="F120" s="8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ht="13.5" customHeight="1"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ht="13.5" customHeight="1" r="124">
      <c r="A124" s="4"/>
      <c r="B124" s="47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ht="13.5" customHeight="1"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ht="13.5" customHeight="1"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ht="13.5" customHeight="1"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ht="13.5" customHeight="1"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ht="13.5" customHeight="1"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ht="13.5" customHeight="1"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ht="13.5" customHeight="1"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ht="13.5" customHeight="1"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ht="13.5" customHeight="1"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ht="13.5" customHeight="1"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ht="13.5" customHeight="1"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ht="13.5" customHeight="1"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ht="13.5" customHeight="1"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ht="13.5" customHeight="1"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ht="13.5" customHeight="1"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ht="13.5" customHeight="1"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ht="13.5" customHeight="1"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ht="13.5" customHeight="1"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ht="13.5" customHeight="1"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ht="13.5" customHeight="1"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ht="13.5" customHeight="1"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ht="13.5" customHeight="1"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ht="13.5" customHeight="1"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ht="13.5" customHeight="1"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ht="13.5" customHeight="1"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ht="13.5" customHeight="1"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ht="13.5" customHeight="1"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ht="13.5" customHeight="1"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ht="13.5" customHeight="1"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ht="13.5" customHeight="1"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ht="13.5" customHeight="1"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ht="13.5" customHeight="1"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ht="13.5" customHeight="1"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ht="13.5" customHeight="1"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ht="13.5" customHeight="1"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ht="13.5" customHeight="1"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ht="13.5" customHeight="1"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ht="13.5" customHeight="1"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ht="13.5" customHeight="1"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ht="13.5" customHeight="1"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ht="13.5" customHeight="1"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ht="13.5" customHeight="1"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ht="13.5" customHeight="1"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ht="13.5" customHeight="1"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ht="13.5" customHeight="1"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ht="13.5" customHeight="1"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ht="13.5" customHeight="1"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ht="13.5" customHeight="1"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ht="13.5" customHeight="1"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ht="13.5" customHeight="1"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ht="13.5" customHeight="1"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ht="13.5" customHeight="1"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ht="13.5" customHeight="1"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ht="13.5" customHeight="1"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ht="13.5" customHeight="1"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ht="13.5" customHeight="1"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ht="13.5" customHeight="1"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ht="13.5" customHeight="1"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ht="13.5" customHeight="1"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ht="13.5" customHeight="1"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ht="13.5" customHeight="1"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ht="13.5" customHeight="1"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ht="13.5" customHeight="1"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ht="13.5" customHeight="1"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ht="13.5" customHeight="1"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ht="13.5" customHeight="1"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ht="13.5" customHeight="1"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ht="13.5" customHeight="1"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ht="13.5" customHeight="1"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ht="13.5" customHeight="1"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ht="13.5" customHeight="1"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ht="13.5" customHeight="1"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ht="13.5" customHeight="1"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ht="13.5" customHeight="1"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ht="13.5" customHeight="1"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ht="13.5" customHeight="1"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ht="13.5" customHeight="1"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ht="13.5" customHeight="1"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ht="13.5" customHeight="1"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ht="13.5" customHeight="1"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ht="13.5" customHeight="1"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ht="13.5" customHeight="1"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ht="13.5" customHeight="1"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ht="13.5" customHeight="1"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ht="13.5" customHeight="1"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ht="13.5" customHeight="1"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ht="13.5" customHeight="1"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ht="13.5" customHeight="1"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ht="13.5" customHeight="1"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ht="13.5" customHeight="1"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ht="13.5" customHeight="1"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ht="13.5" customHeight="1"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ht="13.5" customHeight="1"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ht="13.5" customHeight="1"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ht="13.5" customHeight="1"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ht="13.5" customHeight="1"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ht="13.5" customHeight="1"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ht="13.5" customHeight="1"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ht="13.5" customHeight="1"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ht="13.5" customHeight="1"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ht="13.5" customHeight="1"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ht="13.5" customHeight="1"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ht="13.5" customHeight="1"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ht="13.5" customHeight="1"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ht="13.5" customHeight="1"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ht="13.5" customHeight="1"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ht="13.5" customHeight="1"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ht="13.5" customHeight="1"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ht="13.5" customHeight="1"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ht="13.5" customHeight="1"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ht="13.5" customHeight="1"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ht="13.5" customHeight="1"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ht="13.5" customHeight="1"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ht="13.5" customHeight="1"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ht="13.5" customHeight="1"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ht="13.5" customHeight="1"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ht="13.5" customHeight="1"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ht="13.5" customHeight="1"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ht="13.5" customHeight="1"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ht="13.5" customHeight="1"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ht="13.5" customHeight="1"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ht="13.5" customHeight="1"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ht="13.5" customHeight="1"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ht="13.5" customHeight="1"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ht="13.5" customHeight="1"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ht="13.5" customHeight="1"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ht="13.5" customHeight="1"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ht="13.5" customHeight="1"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ht="13.5" customHeight="1"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ht="13.5" customHeight="1"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ht="13.5" customHeight="1"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ht="13.5" customHeight="1"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ht="13.5" customHeight="1"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ht="13.5" customHeight="1"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ht="13.5" customHeight="1"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ht="13.5" customHeight="1"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ht="13.5" customHeight="1"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ht="13.5" customHeight="1"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ht="13.5" customHeight="1"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ht="13.5" customHeight="1"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ht="13.5" customHeight="1"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ht="13.5" customHeight="1"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ht="13.5" customHeight="1"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ht="13.5" customHeight="1"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ht="13.5" customHeight="1"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ht="13.5" customHeight="1"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ht="13.5" customHeight="1"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ht="13.5" customHeight="1"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ht="13.5" customHeight="1"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ht="13.5" customHeight="1"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ht="13.5" customHeight="1"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ht="13.5" customHeight="1"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ht="13.5" customHeight="1"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ht="13.5" customHeight="1"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ht="13.5" customHeight="1"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ht="13.5" customHeight="1"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ht="13.5" customHeight="1"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ht="13.5" customHeight="1"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ht="13.5" customHeight="1"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ht="13.5" customHeight="1"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ht="13.5" customHeight="1"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ht="13.5" customHeight="1"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ht="13.5" customHeight="1"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ht="13.5" customHeight="1"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ht="13.5" customHeight="1"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ht="13.5" customHeight="1"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ht="13.5" customHeight="1"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ht="13.5" customHeight="1"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ht="13.5" customHeight="1"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ht="13.5" customHeight="1"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ht="13.5" customHeight="1"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ht="13.5" customHeight="1"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ht="13.5" customHeight="1"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ht="13.5" customHeight="1"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ht="13.5" customHeight="1"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ht="13.5" customHeight="1"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ht="13.5" customHeight="1"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ht="13.5" customHeight="1"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ht="13.5" customHeight="1"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ht="13.5" customHeight="1"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ht="13.5" customHeight="1"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ht="13.5" customHeight="1"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ht="13.5" customHeight="1"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ht="13.5" customHeight="1"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ht="13.5" customHeight="1"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ht="13.5" customHeight="1"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ht="13.5" customHeight="1"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ht="13.5" customHeight="1"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ht="13.5" customHeight="1"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ht="13.5" customHeight="1"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ht="13.5" customHeight="1"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ht="13.5" customHeight="1"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ht="13.5" customHeight="1"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ht="13.5" customHeight="1"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ht="13.5" customHeight="1"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ht="13.5" customHeight="1"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ht="13.5" customHeight="1"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ht="13.5" customHeight="1"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ht="13.5" customHeight="1"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ht="13.5" customHeight="1"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ht="13.5" customHeight="1"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ht="13.5" customHeight="1"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ht="13.5" customHeight="1"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ht="13.5" customHeight="1"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ht="13.5" customHeight="1"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ht="13.5" customHeight="1"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ht="13.5" customHeight="1"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ht="13.5" customHeight="1"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ht="13.5" customHeight="1"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ht="13.5" customHeight="1"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ht="13.5" customHeight="1"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ht="13.5" customHeight="1"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ht="13.5" customHeight="1"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ht="13.5" customHeight="1"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ht="13.5" customHeight="1"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ht="13.5" customHeight="1"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ht="13.5" customHeight="1"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ht="13.5" customHeight="1"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ht="13.5" customHeight="1"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ht="13.5" customHeight="1"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ht="13.5" customHeight="1"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ht="13.5" customHeight="1"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ht="13.5" customHeight="1"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ht="13.5" customHeight="1"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ht="13.5" customHeight="1"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ht="13.5" customHeight="1"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ht="13.5" customHeight="1"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ht="13.5" customHeight="1"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ht="13.5" customHeight="1"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ht="13.5" customHeight="1"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ht="13.5" customHeight="1"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ht="13.5" customHeight="1"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ht="13.5" customHeight="1"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ht="13.5" customHeight="1"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ht="13.5" customHeight="1"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ht="13.5" customHeight="1"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ht="13.5" customHeight="1"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ht="13.5" customHeight="1"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ht="13.5" customHeight="1"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ht="13.5" customHeight="1"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ht="13.5" customHeight="1"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ht="13.5" customHeight="1"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ht="13.5" customHeight="1"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ht="13.5" customHeight="1"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ht="13.5" customHeight="1"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ht="13.5" customHeight="1"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ht="13.5" customHeight="1"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ht="13.5" customHeight="1"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ht="13.5" customHeight="1"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ht="13.5" customHeight="1"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ht="13.5" customHeight="1"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ht="13.5" customHeight="1"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ht="13.5" customHeight="1"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ht="13.5" customHeight="1"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ht="13.5" customHeight="1"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ht="13.5" customHeight="1"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ht="13.5" customHeight="1"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ht="13.5" customHeight="1"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ht="13.5" customHeight="1"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ht="13.5" customHeight="1"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ht="13.5" customHeight="1"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ht="13.5" customHeight="1"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ht="13.5" customHeight="1"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ht="13.5" customHeight="1"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ht="13.5" customHeight="1"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ht="13.5" customHeight="1"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ht="13.5" customHeight="1"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ht="13.5" customHeight="1"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ht="13.5" customHeight="1"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ht="13.5" customHeight="1"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ht="13.5" customHeight="1"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ht="13.5" customHeight="1"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ht="13.5" customHeight="1"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ht="13.5" customHeight="1"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ht="13.5" customHeight="1"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ht="13.5" customHeight="1"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ht="13.5" customHeight="1"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ht="13.5" customHeight="1"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ht="13.5" customHeight="1"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ht="13.5" customHeight="1"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ht="13.5" customHeight="1"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ht="13.5" customHeight="1"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ht="13.5" customHeight="1"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ht="13.5" customHeight="1"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ht="13.5" customHeight="1"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ht="13.5" customHeight="1"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ht="13.5" customHeight="1"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ht="13.5" customHeight="1"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ht="13.5" customHeight="1"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ht="13.5" customHeight="1"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ht="13.5" customHeight="1"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ht="13.5" customHeight="1"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ht="13.5" customHeight="1"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ht="13.5" customHeight="1"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ht="13.5" customHeight="1"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ht="13.5" customHeight="1"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ht="13.5" customHeight="1"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ht="13.5" customHeight="1"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ht="13.5" customHeight="1"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ht="13.5" customHeight="1"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ht="13.5" customHeight="1"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ht="13.5" customHeight="1"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ht="13.5" customHeight="1"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ht="13.5" customHeight="1"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ht="13.5" customHeight="1"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ht="13.5" customHeight="1"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ht="13.5" customHeight="1"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ht="13.5" customHeight="1"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ht="13.5" customHeight="1"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ht="13.5" customHeight="1"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ht="13.5" customHeight="1"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ht="13.5" customHeight="1"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ht="13.5" customHeight="1"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ht="13.5" customHeight="1"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ht="13.5" customHeight="1"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ht="13.5" customHeight="1"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ht="13.5" customHeight="1"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ht="13.5" customHeight="1"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ht="13.5" customHeight="1"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ht="13.5" customHeight="1"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ht="13.5" customHeight="1"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ht="13.5" customHeight="1"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ht="13.5" customHeight="1"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ht="13.5" customHeight="1"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ht="13.5" customHeight="1"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ht="13.5" customHeight="1"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ht="13.5" customHeight="1"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ht="13.5" customHeight="1"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ht="13.5" customHeight="1"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ht="13.5" customHeight="1"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ht="13.5" customHeight="1"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ht="13.5" customHeight="1"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ht="13.5" customHeight="1"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ht="13.5" customHeight="1"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ht="13.5" customHeight="1"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ht="13.5" customHeight="1"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ht="13.5" customHeight="1"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ht="13.5" customHeight="1"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ht="13.5" customHeight="1"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ht="13.5" customHeight="1"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ht="13.5" customHeight="1"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ht="13.5" customHeight="1"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ht="13.5" customHeight="1"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ht="13.5" customHeight="1"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ht="13.5" customHeight="1"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ht="13.5" customHeight="1"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ht="13.5" customHeight="1"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ht="13.5" customHeight="1"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ht="13.5" customHeight="1"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ht="13.5" customHeight="1"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ht="13.5" customHeight="1"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ht="13.5" customHeight="1"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ht="13.5" customHeight="1"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ht="13.5" customHeight="1"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ht="13.5" customHeight="1"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ht="13.5" customHeight="1"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ht="13.5" customHeight="1"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ht="13.5" customHeight="1"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ht="13.5" customHeight="1"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ht="13.5" customHeight="1"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ht="13.5" customHeight="1"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ht="13.5" customHeight="1"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ht="13.5" customHeight="1"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ht="13.5" customHeight="1"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ht="13.5" customHeight="1"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ht="13.5" customHeight="1"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ht="13.5" customHeight="1"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ht="13.5" customHeight="1"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ht="13.5" customHeight="1"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ht="13.5" customHeight="1"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ht="13.5" customHeight="1"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ht="13.5" customHeight="1"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ht="13.5" customHeight="1"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ht="13.5" customHeight="1"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ht="13.5" customHeight="1"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ht="13.5" customHeight="1"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ht="13.5" customHeight="1"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ht="13.5" customHeight="1"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ht="13.5" customHeight="1"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ht="13.5" customHeight="1"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ht="13.5" customHeight="1"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ht="13.5" customHeight="1"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ht="13.5" customHeight="1"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ht="13.5" customHeight="1"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ht="13.5" customHeight="1"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ht="13.5" customHeight="1"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ht="13.5" customHeight="1"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ht="13.5" customHeight="1"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ht="13.5" customHeight="1"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ht="13.5" customHeight="1"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ht="13.5" customHeight="1"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ht="13.5" customHeight="1"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ht="13.5" customHeight="1"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ht="13.5" customHeight="1"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ht="13.5" customHeight="1"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ht="13.5" customHeight="1"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ht="13.5" customHeight="1"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ht="13.5" customHeight="1"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ht="13.5" customHeight="1"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ht="13.5" customHeight="1"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ht="13.5" customHeight="1"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ht="13.5" customHeight="1"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ht="13.5" customHeight="1"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ht="13.5" customHeight="1"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ht="13.5" customHeight="1"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ht="13.5" customHeight="1"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ht="13.5" customHeight="1"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ht="13.5" customHeight="1"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ht="13.5" customHeight="1"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ht="13.5" customHeight="1"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ht="13.5" customHeight="1"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ht="13.5" customHeight="1"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ht="13.5" customHeight="1"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ht="13.5" customHeight="1"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ht="13.5" customHeight="1"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ht="13.5" customHeight="1"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ht="13.5" customHeight="1"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ht="13.5" customHeight="1"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ht="13.5" customHeight="1"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ht="13.5" customHeight="1"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ht="13.5" customHeight="1"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ht="13.5" customHeight="1"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ht="13.5" customHeight="1"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ht="13.5" customHeight="1"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ht="13.5" customHeight="1"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ht="13.5" customHeight="1"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ht="13.5" customHeight="1"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ht="13.5" customHeight="1"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ht="13.5" customHeight="1"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ht="13.5" customHeight="1"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ht="13.5" customHeight="1"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ht="13.5" customHeight="1"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ht="13.5" customHeight="1"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ht="13.5" customHeight="1"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ht="13.5" customHeight="1"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ht="13.5" customHeight="1"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ht="13.5" customHeight="1"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ht="13.5" customHeight="1"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ht="13.5" customHeight="1"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ht="13.5" customHeight="1"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ht="13.5" customHeight="1"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ht="13.5" customHeight="1"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ht="13.5" customHeight="1"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ht="13.5" customHeight="1"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ht="13.5" customHeight="1"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ht="13.5" customHeight="1"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ht="13.5" customHeight="1"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ht="13.5" customHeight="1"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ht="13.5" customHeight="1"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ht="13.5" customHeight="1"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ht="13.5" customHeight="1"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ht="13.5" customHeight="1"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ht="13.5" customHeight="1"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ht="13.5" customHeight="1"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ht="13.5" customHeight="1"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ht="13.5" customHeight="1"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ht="13.5" customHeight="1"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ht="13.5" customHeight="1"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ht="13.5" customHeight="1"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ht="13.5" customHeight="1"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ht="13.5" customHeight="1"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ht="13.5" customHeight="1"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ht="13.5" customHeight="1"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ht="13.5" customHeight="1"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ht="13.5" customHeight="1"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ht="13.5" customHeight="1"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ht="13.5" customHeight="1"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ht="13.5" customHeight="1"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ht="13.5" customHeight="1"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ht="13.5" customHeight="1"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ht="13.5" customHeight="1"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ht="13.5" customHeight="1"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ht="13.5" customHeight="1"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ht="13.5" customHeight="1"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ht="13.5" customHeight="1"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ht="13.5" customHeight="1"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ht="13.5" customHeight="1"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ht="13.5" customHeight="1"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ht="13.5" customHeight="1"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ht="13.5" customHeight="1"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ht="13.5" customHeight="1"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ht="13.5" customHeight="1"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ht="13.5" customHeight="1"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ht="13.5" customHeight="1"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ht="13.5" customHeight="1"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ht="13.5" customHeight="1"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ht="13.5" customHeight="1"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ht="13.5" customHeight="1"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ht="13.5" customHeight="1"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ht="13.5" customHeight="1"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ht="13.5" customHeight="1"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ht="13.5" customHeight="1"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ht="13.5" customHeight="1"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ht="13.5" customHeight="1"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ht="13.5" customHeight="1"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ht="13.5" customHeight="1"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ht="13.5" customHeight="1"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ht="13.5" customHeight="1"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ht="13.5" customHeight="1"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ht="13.5" customHeight="1"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ht="13.5" customHeight="1"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ht="13.5" customHeight="1"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ht="13.5" customHeight="1"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ht="13.5" customHeight="1"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ht="13.5" customHeight="1"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ht="13.5" customHeight="1"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ht="13.5" customHeight="1"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ht="13.5" customHeight="1"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ht="13.5" customHeight="1"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ht="13.5" customHeight="1"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ht="13.5" customHeight="1"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ht="13.5" customHeight="1"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ht="13.5" customHeight="1"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ht="13.5" customHeight="1"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ht="13.5" customHeight="1"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ht="13.5" customHeight="1"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ht="13.5" customHeight="1"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ht="13.5" customHeight="1"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ht="13.5" customHeight="1"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ht="13.5" customHeight="1"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ht="13.5" customHeight="1"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ht="13.5" customHeight="1"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ht="13.5" customHeight="1"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ht="13.5" customHeight="1"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ht="13.5" customHeight="1"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ht="13.5" customHeight="1"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ht="13.5" customHeight="1"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ht="13.5" customHeight="1"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ht="13.5" customHeight="1"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ht="13.5" customHeight="1"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ht="13.5" customHeight="1"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ht="13.5" customHeight="1"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ht="13.5" customHeight="1"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ht="13.5" customHeight="1"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ht="13.5" customHeight="1"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ht="13.5" customHeight="1"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ht="13.5" customHeight="1"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ht="13.5" customHeight="1"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ht="13.5" customHeight="1"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ht="13.5" customHeight="1"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ht="13.5" customHeight="1"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ht="13.5" customHeight="1"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ht="13.5" customHeight="1"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ht="13.5" customHeight="1"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ht="13.5" customHeight="1"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ht="13.5" customHeight="1"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ht="13.5" customHeight="1"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ht="13.5" customHeight="1"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ht="13.5" customHeight="1"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ht="13.5" customHeight="1"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ht="13.5" customHeight="1"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ht="13.5" customHeight="1"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ht="13.5" customHeight="1"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ht="13.5" customHeight="1"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ht="13.5" customHeight="1"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ht="13.5" customHeight="1"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ht="13.5" customHeight="1"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ht="13.5" customHeight="1"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ht="13.5" customHeight="1"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ht="13.5" customHeight="1"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ht="13.5" customHeight="1"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ht="13.5" customHeight="1"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ht="13.5" customHeight="1"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ht="13.5" customHeight="1"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ht="13.5" customHeight="1"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ht="13.5" customHeight="1"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ht="13.5" customHeight="1"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ht="13.5" customHeight="1"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ht="13.5" customHeight="1"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ht="13.5" customHeight="1"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ht="13.5" customHeight="1"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ht="13.5" customHeight="1"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ht="13.5" customHeight="1"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ht="13.5" customHeight="1"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ht="13.5" customHeight="1"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ht="13.5" customHeight="1"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ht="13.5" customHeight="1"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ht="13.5" customHeight="1"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ht="13.5" customHeight="1"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ht="13.5" customHeight="1"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ht="13.5" customHeight="1"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ht="13.5" customHeight="1"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ht="13.5" customHeight="1"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ht="13.5" customHeight="1"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ht="13.5" customHeight="1"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ht="13.5" customHeight="1"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ht="13.5" customHeight="1"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ht="13.5" customHeight="1"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ht="13.5" customHeight="1"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ht="13.5" customHeight="1"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ht="13.5" customHeight="1"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ht="13.5" customHeight="1"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ht="13.5" customHeight="1"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ht="13.5" customHeight="1"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ht="13.5" customHeight="1"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ht="13.5" customHeight="1"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ht="13.5" customHeight="1"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ht="13.5" customHeight="1"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ht="13.5" customHeight="1"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ht="13.5" customHeight="1"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ht="13.5" customHeight="1"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ht="13.5" customHeight="1"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ht="13.5" customHeight="1"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ht="13.5" customHeight="1"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ht="13.5" customHeight="1"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ht="13.5" customHeight="1"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ht="13.5" customHeight="1"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ht="13.5" customHeight="1"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ht="13.5" customHeight="1"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ht="13.5" customHeight="1"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ht="13.5" customHeight="1"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ht="13.5" customHeight="1"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ht="13.5" customHeight="1"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ht="13.5" customHeight="1"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ht="13.5" customHeight="1"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ht="13.5" customHeight="1"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ht="13.5" customHeight="1"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ht="13.5" customHeight="1"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ht="13.5" customHeight="1"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ht="13.5" customHeight="1"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ht="13.5" customHeight="1"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ht="13.5" customHeight="1"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ht="13.5" customHeight="1"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ht="13.5" customHeight="1"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ht="13.5" customHeight="1"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ht="13.5" customHeight="1"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ht="13.5" customHeight="1"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ht="13.5" customHeight="1"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ht="13.5" customHeight="1"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ht="13.5" customHeight="1"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ht="13.5" customHeight="1"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ht="13.5" customHeight="1"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ht="13.5" customHeight="1"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ht="13.5" customHeight="1"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ht="13.5" customHeight="1"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ht="13.5" customHeight="1"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ht="13.5" customHeight="1"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ht="13.5" customHeight="1"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ht="13.5" customHeight="1"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ht="13.5" customHeight="1"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ht="13.5" customHeight="1"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ht="13.5" customHeight="1"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ht="13.5" customHeight="1"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ht="13.5" customHeight="1"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ht="13.5" customHeight="1"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ht="13.5" customHeight="1"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ht="13.5" customHeight="1"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ht="13.5" customHeight="1"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ht="13.5" customHeight="1"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ht="13.5" customHeight="1"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ht="13.5" customHeight="1"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ht="13.5" customHeight="1"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ht="13.5" customHeight="1"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ht="13.5" customHeight="1"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ht="13.5" customHeight="1"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ht="13.5" customHeight="1"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ht="13.5" customHeight="1"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ht="13.5" customHeight="1"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ht="13.5" customHeight="1"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ht="13.5" customHeight="1"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ht="13.5" customHeight="1"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ht="13.5" customHeight="1"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ht="13.5" customHeight="1"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ht="13.5" customHeight="1"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ht="13.5" customHeight="1"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ht="13.5" customHeight="1"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ht="13.5" customHeight="1"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ht="13.5" customHeight="1"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ht="13.5" customHeight="1"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ht="13.5" customHeight="1"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ht="13.5" customHeight="1"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ht="13.5" customHeight="1"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ht="13.5" customHeight="1"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ht="13.5" customHeight="1"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ht="13.5" customHeight="1"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ht="13.5" customHeight="1"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ht="13.5" customHeight="1"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ht="13.5" customHeight="1"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ht="13.5" customHeight="1"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ht="13.5" customHeight="1"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ht="13.5" customHeight="1"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ht="13.5" customHeight="1"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ht="13.5" customHeight="1"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ht="13.5" customHeight="1"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ht="13.5" customHeight="1"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ht="13.5" customHeight="1"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ht="13.5" customHeight="1"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ht="13.5" customHeight="1"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ht="13.5" customHeight="1"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ht="13.5" customHeight="1"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ht="13.5" customHeight="1"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ht="13.5" customHeight="1"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ht="13.5" customHeight="1"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ht="13.5" customHeight="1"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ht="13.5" customHeight="1"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ht="13.5" customHeight="1"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ht="13.5" customHeight="1"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ht="13.5" customHeight="1"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ht="13.5" customHeight="1"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ht="13.5" customHeight="1"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ht="13.5" customHeight="1"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ht="13.5" customHeight="1"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ht="13.5" customHeight="1"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ht="13.5" customHeight="1"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ht="13.5" customHeight="1"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ht="13.5" customHeight="1"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ht="13.5" customHeight="1"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ht="13.5" customHeight="1"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ht="13.5" customHeight="1"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ht="13.5" customHeight="1"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ht="13.5" customHeight="1"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ht="13.5" customHeight="1"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ht="13.5" customHeight="1"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ht="13.5" customHeight="1"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ht="13.5" customHeight="1"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ht="13.5" customHeight="1"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ht="13.5" customHeight="1"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ht="13.5" customHeight="1"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ht="13.5" customHeight="1"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ht="13.5" customHeight="1"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ht="13.5" customHeight="1"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ht="13.5" customHeight="1"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ht="13.5" customHeight="1"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ht="13.5" customHeight="1"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ht="13.5" customHeight="1"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ht="13.5" customHeight="1"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ht="13.5" customHeight="1"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ht="13.5" customHeight="1"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ht="13.5" customHeight="1"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ht="13.5" customHeight="1"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ht="13.5" customHeight="1"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ht="13.5" customHeight="1"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ht="13.5" customHeight="1"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ht="13.5" customHeight="1"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ht="13.5" customHeight="1"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ht="13.5" customHeight="1"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ht="13.5" customHeight="1"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ht="13.5" customHeight="1"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ht="13.5" customHeight="1"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ht="13.5" customHeight="1"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ht="13.5" customHeight="1"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ht="13.5" customHeight="1"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ht="13.5" customHeight="1"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ht="13.5" customHeight="1"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ht="13.5" customHeight="1"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ht="13.5" customHeight="1"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ht="13.5" customHeight="1"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ht="13.5" customHeight="1"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ht="13.5" customHeight="1"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ht="13.5" customHeight="1"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ht="13.5" customHeight="1"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ht="13.5" customHeight="1"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ht="13.5" customHeight="1"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ht="13.5" customHeight="1"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ht="13.5" customHeight="1"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ht="13.5" customHeight="1"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ht="13.5" customHeight="1"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ht="13.5" customHeight="1"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ht="13.5" customHeight="1"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ht="13.5" customHeight="1"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ht="13.5" customHeight="1"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ht="13.5" customHeight="1"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ht="13.5" customHeight="1"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ht="13.5" customHeight="1"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ht="13.5" customHeight="1"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ht="13.5" customHeight="1"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ht="13.5" customHeight="1"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ht="13.5" customHeight="1"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ht="13.5" customHeight="1"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ht="13.5" customHeight="1"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ht="13.5" customHeight="1"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ht="13.5" customHeight="1"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ht="13.5" customHeight="1"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ht="13.5" customHeight="1"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ht="13.5" customHeight="1"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ht="13.5" customHeight="1"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ht="13.5" customHeight="1"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ht="13.5" customHeight="1"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ht="13.5" customHeight="1"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ht="13.5" customHeight="1"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ht="13.5" customHeight="1"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ht="13.5" customHeight="1"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ht="13.5" customHeight="1"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ht="13.5" customHeight="1"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ht="13.5" customHeight="1"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ht="13.5" customHeight="1"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ht="13.5" customHeight="1"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ht="13.5" customHeight="1"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ht="13.5" customHeight="1"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ht="13.5" customHeight="1"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ht="13.5" customHeight="1"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ht="13.5" customHeight="1"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ht="13.5" customHeight="1"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ht="13.5" customHeight="1"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ht="13.5" customHeight="1"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ht="13.5" customHeight="1"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ht="13.5" customHeight="1"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ht="13.5" customHeight="1"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ht="13.5" customHeight="1"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ht="13.5" customHeight="1"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ht="13.5" customHeight="1"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ht="13.5" customHeight="1"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ht="13.5" customHeight="1"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ht="13.5" customHeight="1"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ht="13.5" customHeight="1"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ht="13.5" customHeight="1"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ht="13.5" customHeight="1"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ht="13.5" customHeight="1"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ht="13.5" customHeight="1"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ht="13.5" customHeight="1"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ht="13.5" customHeight="1"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ht="13.5" customHeight="1"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ht="13.5" customHeight="1"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ht="13.5" customHeight="1"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ht="13.5" customHeight="1"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ht="13.5" customHeight="1"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ht="13.5" customHeight="1"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ht="13.5" customHeight="1"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ht="13.5" customHeight="1"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ht="13.5" customHeight="1"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ht="13.5" customHeight="1"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ht="13.5" customHeight="1"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ht="13.5" customHeight="1"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ht="13.5" customHeight="1"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ht="13.5" customHeight="1"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ht="13.5" customHeight="1"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ht="13.5" customHeight="1"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ht="13.5" customHeight="1"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ht="13.5" customHeight="1"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ht="13.5" customHeight="1"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ht="13.5" customHeight="1"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ht="13.5" customHeight="1"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ht="13.5" customHeight="1"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ht="13.5" customHeight="1"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ht="13.5" customHeight="1"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ht="13.5" customHeight="1"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ht="13.5" customHeight="1"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ht="13.5" customHeight="1"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ht="13.5" customHeight="1"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ht="13.5" customHeight="1"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ht="13.5" customHeight="1"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ht="13.5" customHeight="1"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ht="13.5" customHeight="1"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ht="13.5" customHeight="1"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ht="13.5" customHeight="1"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ht="13.5" customHeight="1"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ht="13.5" customHeight="1"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ht="13.5" customHeight="1"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ht="13.5" customHeight="1"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ht="13.5" customHeight="1"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ht="13.5" customHeight="1"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ht="13.5" customHeight="1"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ht="13.5" customHeight="1"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ht="13.5" customHeight="1"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ht="13.5" customHeight="1"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ht="13.5" customHeight="1"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ht="13.5" customHeight="1"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ht="13.5" customHeight="1"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ht="13.5" customHeight="1"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ht="13.5" customHeight="1"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ht="13.5" customHeight="1"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ht="13.5" customHeight="1"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ht="13.5" customHeight="1"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ht="13.5" customHeight="1"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ht="13.5" customHeight="1"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ht="13.5" customHeight="1"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ht="13.5" customHeight="1"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ht="13.5" customHeight="1"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ht="13.5" customHeight="1"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ht="13.5" customHeight="1"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ht="13.5" customHeight="1"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ht="13.5" customHeight="1"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ht="13.5" customHeight="1"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ht="13.5" customHeight="1"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ht="13.5" customHeight="1"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ht="13.5" customHeight="1"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ht="13.5" customHeight="1"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</sheetData>
  <mergeCells count="2">
    <mergeCell ref="A1:B1"/>
    <mergeCell ref="B120:F120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 mc:Ignorable="x14ac">
  <sheetPr>
    <outlinePr summaryBelow="0" summaryRight="0"/>
    <pageSetUpPr/>
  </sheetPr>
  <sheetViews>
    <sheetView workbookViewId="0">
      <selection pane="topLeft" activeCell="B6" sqref="B6"/>
    </sheetView>
  </sheetViews>
  <sheetFormatPr baseColWidth="8" defaultColWidth="14.43" defaultRowHeight="15"/>
  <cols>
    <col min="2" max="2" width="35.29" customWidth="1"/>
    <col min="3" max="3" width="25.14" customWidth="1"/>
    <col min="6" max="6" width="19.86" customWidth="1"/>
  </cols>
  <sheetData>
    <row r="1">
      <c r="A1" s="85" t="s">
        <v>7</v>
      </c>
      <c r="B1" s="86" t="s">
        <v>6</v>
      </c>
      <c r="C1" s="4"/>
      <c r="D1" s="87"/>
      <c r="E1" s="4"/>
      <c r="F1" s="4"/>
      <c r="G1" s="4"/>
      <c r="H1" s="4"/>
      <c r="I1" s="4"/>
      <c r="J1" s="4"/>
    </row>
    <row r="2">
      <c r="A2" s="85" t="s">
        <v>178</v>
      </c>
      <c r="B2" s="88">
        <v>45797</v>
      </c>
      <c r="C2" s="4"/>
      <c r="D2" s="87"/>
      <c r="E2" s="4"/>
      <c r="F2" s="4"/>
      <c r="G2" s="4"/>
      <c r="H2" s="4"/>
      <c r="I2" s="4"/>
      <c r="J2" s="4"/>
    </row>
    <row r="3">
      <c r="A3" s="85" t="s">
        <v>179</v>
      </c>
      <c r="B3" s="4"/>
      <c r="C3" s="4"/>
      <c r="D3" s="87"/>
      <c r="E3" s="4"/>
      <c r="F3" s="4"/>
      <c r="G3" s="4"/>
      <c r="H3" s="4"/>
      <c r="I3" s="4"/>
      <c r="J3" s="4"/>
    </row>
    <row r="4">
      <c r="A4" s="85" t="s">
        <v>180</v>
      </c>
      <c r="B4" s="86">
        <v>6</v>
      </c>
      <c r="C4" s="4" t="s">
        <v>181</v>
      </c>
      <c r="D4" s="87"/>
      <c r="E4" s="4"/>
      <c r="F4" s="4"/>
      <c r="G4" s="47" t="s">
        <v>182</v>
      </c>
      <c r="H4" s="47" t="s">
        <v>183</v>
      </c>
      <c r="I4" s="47" t="s">
        <v>184</v>
      </c>
      <c r="J4" s="4"/>
    </row>
    <row r="5">
      <c r="A5" s="85" t="s">
        <v>185</v>
      </c>
      <c r="B5" s="86">
        <v>8</v>
      </c>
      <c r="C5" s="4" t="s">
        <v>181</v>
      </c>
      <c r="D5" s="87"/>
      <c r="E5" s="4"/>
      <c r="F5" s="47">
        <v>7</v>
      </c>
      <c r="G5" s="47">
        <v>480</v>
      </c>
      <c r="H5" s="47">
        <v>96</v>
      </c>
      <c r="I5" s="89">
        <v>0.05</v>
      </c>
      <c r="J5" s="4"/>
    </row>
    <row r="6">
      <c r="A6" s="90" t="s">
        <v>186</v>
      </c>
      <c r="B6" s="91" t="s">
        <v>187</v>
      </c>
      <c r="C6" s="92"/>
      <c r="D6" s="92"/>
      <c r="E6" s="92"/>
      <c r="F6" s="93">
        <v>3</v>
      </c>
      <c r="G6" s="47">
        <v>205</v>
      </c>
      <c r="H6" s="47">
        <v>96</v>
      </c>
      <c r="I6" s="4"/>
      <c r="J6" s="4"/>
    </row>
    <row r="7">
      <c r="A7" s="4"/>
      <c r="B7" s="4"/>
      <c r="C7" s="4"/>
      <c r="D7" s="87"/>
      <c r="E7" s="4"/>
      <c r="F7" s="47"/>
      <c r="G7" s="4"/>
      <c r="H7" s="4"/>
      <c r="I7" s="4"/>
      <c r="J7" s="4"/>
    </row>
    <row r="8">
      <c r="A8" s="94" t="s">
        <v>188</v>
      </c>
      <c r="B8" s="95" t="s">
        <v>189</v>
      </c>
      <c r="C8" s="96"/>
      <c r="D8" s="97" t="s">
        <v>190</v>
      </c>
      <c r="E8" s="97" t="s">
        <v>191</v>
      </c>
      <c r="F8" s="97" t="s">
        <v>192</v>
      </c>
      <c r="G8" s="97" t="s">
        <v>193</v>
      </c>
      <c r="H8" s="4"/>
      <c r="I8" s="4"/>
      <c r="J8" s="4"/>
    </row>
    <row r="9">
      <c r="A9" s="98">
        <v>8058750190</v>
      </c>
      <c r="B9" s="99" t="s">
        <v>194</v>
      </c>
      <c r="C9" s="99" t="s">
        <v>195</v>
      </c>
      <c r="D9" s="100">
        <v>1300</v>
      </c>
      <c r="E9" s="101">
        <v>1000</v>
      </c>
      <c r="F9" s="102">
        <f>(E9+$G$5+$H$5)+(E9*$I$5)</f>
        <v>1626</v>
      </c>
      <c r="G9" s="99">
        <f>F9/D9</f>
        <v>1.25076923076923</v>
      </c>
      <c r="H9" s="47">
        <v>2</v>
      </c>
      <c r="I9" s="4"/>
      <c r="J9" s="4"/>
    </row>
    <row r="10">
      <c r="A10" s="98">
        <v>8056692190</v>
      </c>
      <c r="B10" s="99" t="s">
        <v>196</v>
      </c>
      <c r="C10" s="99" t="s">
        <v>197</v>
      </c>
      <c r="D10" s="100">
        <v>750</v>
      </c>
      <c r="E10" s="101">
        <v>400</v>
      </c>
      <c r="F10" s="102">
        <f>(E10+$G$5+$H$5)+(E10*$I$5)</f>
        <v>996</v>
      </c>
      <c r="G10" s="99">
        <f>F10/D10</f>
        <v>1.328</v>
      </c>
      <c r="H10" s="47">
        <v>2</v>
      </c>
      <c r="I10" s="4"/>
      <c r="J10" s="4"/>
    </row>
    <row r="11">
      <c r="A11" s="98">
        <v>8056811190</v>
      </c>
      <c r="B11" s="99" t="s">
        <v>198</v>
      </c>
      <c r="C11" s="99" t="s">
        <v>199</v>
      </c>
      <c r="D11" s="100">
        <v>750</v>
      </c>
      <c r="E11" s="101">
        <v>1200</v>
      </c>
      <c r="F11" s="102">
        <f>(E11+$G$5+$H$5)+(E11*$I$5)</f>
        <v>1836</v>
      </c>
      <c r="G11" s="99">
        <f>F11/D11</f>
        <v>2.448</v>
      </c>
      <c r="H11" s="47">
        <v>3</v>
      </c>
      <c r="I11" s="4"/>
      <c r="J11" s="4"/>
    </row>
    <row r="12">
      <c r="A12" s="98">
        <v>8056820190</v>
      </c>
      <c r="B12" s="99" t="s">
        <v>200</v>
      </c>
      <c r="C12" s="99" t="s">
        <v>201</v>
      </c>
      <c r="D12" s="100">
        <v>450</v>
      </c>
      <c r="E12" s="102"/>
      <c r="F12" s="102">
        <f>(E12+$G$5+$H$5)+(E12*$I$5)</f>
        <v>576</v>
      </c>
      <c r="G12" s="99"/>
      <c r="H12" s="4"/>
      <c r="I12" s="4"/>
      <c r="J12" s="4"/>
    </row>
    <row r="13">
      <c r="A13" s="98">
        <v>8056960190</v>
      </c>
      <c r="B13" s="99" t="s">
        <v>202</v>
      </c>
      <c r="C13" s="99" t="s">
        <v>203</v>
      </c>
      <c r="D13" s="100">
        <v>1050</v>
      </c>
      <c r="E13" s="101">
        <v>1400</v>
      </c>
      <c r="F13" s="102">
        <f>(E13+$G$5+$H$5)+(E13*$I$5)</f>
        <v>2046</v>
      </c>
      <c r="G13" s="99">
        <f>F13/D13</f>
        <v>1.94857142857143</v>
      </c>
      <c r="H13" s="47">
        <v>2</v>
      </c>
      <c r="I13" s="4"/>
      <c r="J13" s="4"/>
    </row>
    <row r="14">
      <c r="A14" s="98">
        <v>8056951190</v>
      </c>
      <c r="B14" s="99" t="s">
        <v>204</v>
      </c>
      <c r="C14" s="99" t="s">
        <v>205</v>
      </c>
      <c r="D14" s="100">
        <v>1000</v>
      </c>
      <c r="E14" s="101">
        <v>1400</v>
      </c>
      <c r="F14" s="102">
        <f>(E14+$G$5+$H$5)+(E14*$I$5)</f>
        <v>2046</v>
      </c>
      <c r="G14" s="99">
        <f>F14/D14</f>
        <v>2.046</v>
      </c>
      <c r="H14" s="47">
        <v>2</v>
      </c>
      <c r="I14" s="4"/>
      <c r="J14" s="4"/>
    </row>
    <row r="15">
      <c r="A15" s="98">
        <v>8057427190</v>
      </c>
      <c r="B15" s="99" t="s">
        <v>206</v>
      </c>
      <c r="C15" s="99" t="s">
        <v>207</v>
      </c>
      <c r="D15" s="100">
        <v>1500</v>
      </c>
      <c r="E15" s="101">
        <v>100</v>
      </c>
      <c r="F15" s="102">
        <f>(E15+$G$5+$H$5)+(E15*$I$5)</f>
        <v>681</v>
      </c>
      <c r="G15" s="99">
        <f>F15/D15</f>
        <v>0.454</v>
      </c>
      <c r="H15" s="47">
        <v>2</v>
      </c>
      <c r="I15" s="47" t="s">
        <v>208</v>
      </c>
      <c r="J15" s="4"/>
    </row>
    <row r="16">
      <c r="A16" s="98">
        <v>8057443190</v>
      </c>
      <c r="B16" s="99" t="s">
        <v>209</v>
      </c>
      <c r="C16" s="99" t="s">
        <v>210</v>
      </c>
      <c r="D16" s="100">
        <v>2600</v>
      </c>
      <c r="E16" s="101">
        <v>8000</v>
      </c>
      <c r="F16" s="102">
        <f>(E16+$G$5+$H$5)+(E16*$I$5)</f>
        <v>8976</v>
      </c>
      <c r="G16" s="99">
        <f>F16/D16</f>
        <v>3.45230769230769</v>
      </c>
      <c r="H16" s="47">
        <v>4</v>
      </c>
      <c r="I16" s="4"/>
      <c r="J16" s="4"/>
    </row>
    <row r="17">
      <c r="A17" s="98">
        <v>8105561190</v>
      </c>
      <c r="B17" s="99" t="s">
        <v>211</v>
      </c>
      <c r="C17" s="99" t="s">
        <v>212</v>
      </c>
      <c r="D17" s="100">
        <v>1050</v>
      </c>
      <c r="E17" s="102"/>
      <c r="F17" s="102">
        <f>(E17+$G$5+$H$5)+(E17*$I$5)</f>
        <v>576</v>
      </c>
      <c r="G17" s="99"/>
      <c r="H17" s="4"/>
      <c r="I17" s="4"/>
      <c r="J17" s="4"/>
    </row>
    <row r="18">
      <c r="A18" s="98">
        <v>8105570190</v>
      </c>
      <c r="B18" s="99" t="s">
        <v>213</v>
      </c>
      <c r="C18" s="99" t="s">
        <v>214</v>
      </c>
      <c r="D18" s="100">
        <v>1050</v>
      </c>
      <c r="E18" s="102"/>
      <c r="F18" s="102">
        <f>(E18+$G$5+$H$5)+(E18*$I$5)</f>
        <v>576</v>
      </c>
      <c r="G18" s="99"/>
      <c r="H18" s="4"/>
      <c r="I18" s="4"/>
      <c r="J18" s="4"/>
    </row>
    <row r="19">
      <c r="A19" s="98">
        <v>8057460190</v>
      </c>
      <c r="B19" s="99" t="s">
        <v>215</v>
      </c>
      <c r="C19" s="99" t="s">
        <v>216</v>
      </c>
      <c r="D19" s="100">
        <v>500</v>
      </c>
      <c r="E19" s="103">
        <v>100</v>
      </c>
      <c r="F19" s="102">
        <f>(E19+$G$5+$H$5)+(E19*$I$5)</f>
        <v>681</v>
      </c>
      <c r="G19" s="99">
        <f>F19/D19</f>
        <v>1.362</v>
      </c>
      <c r="H19" s="47">
        <v>2</v>
      </c>
      <c r="I19" s="47" t="s">
        <v>208</v>
      </c>
      <c r="J19" s="4"/>
    </row>
    <row r="20">
      <c r="A20" s="98">
        <v>8101442190</v>
      </c>
      <c r="B20" s="99" t="s">
        <v>217</v>
      </c>
      <c r="C20" s="99" t="s">
        <v>218</v>
      </c>
      <c r="D20" s="100">
        <v>560</v>
      </c>
      <c r="E20" s="102"/>
      <c r="F20" s="102">
        <f>(E20+$G$5+$H$5)+(E20*$I$5)</f>
        <v>576</v>
      </c>
      <c r="G20" s="99"/>
      <c r="H20" s="4"/>
      <c r="I20" s="4"/>
      <c r="J20" s="4"/>
    </row>
    <row r="21">
      <c r="A21" s="98">
        <v>8056757190</v>
      </c>
      <c r="B21" s="99" t="s">
        <v>219</v>
      </c>
      <c r="C21" s="99" t="s">
        <v>220</v>
      </c>
      <c r="D21" s="100">
        <v>1100</v>
      </c>
      <c r="E21" s="101">
        <v>1200</v>
      </c>
      <c r="F21" s="102">
        <f>(E21+$G$5+$H$5)+(E21*$I$5)</f>
        <v>1836</v>
      </c>
      <c r="G21" s="99">
        <f>F21/D21</f>
        <v>1.66909090909091</v>
      </c>
      <c r="H21" s="47">
        <v>2</v>
      </c>
      <c r="I21" s="4"/>
      <c r="J21" s="4"/>
    </row>
    <row r="22">
      <c r="A22" s="98">
        <v>8058610190</v>
      </c>
      <c r="B22" s="99" t="s">
        <v>221</v>
      </c>
      <c r="C22" s="99" t="s">
        <v>222</v>
      </c>
      <c r="D22" s="100">
        <v>750</v>
      </c>
      <c r="E22" s="101">
        <v>100</v>
      </c>
      <c r="F22" s="102">
        <f>(E22+$G$5+$H$5)+(E22*$I$5)</f>
        <v>681</v>
      </c>
      <c r="G22" s="99">
        <f>F22/D22</f>
        <v>0.908</v>
      </c>
      <c r="H22" s="47">
        <v>2</v>
      </c>
      <c r="I22" s="47" t="s">
        <v>208</v>
      </c>
      <c r="J22" s="4"/>
    </row>
    <row r="23">
      <c r="A23" s="98">
        <v>8057796190</v>
      </c>
      <c r="B23" s="99" t="s">
        <v>223</v>
      </c>
      <c r="C23" s="99" t="s">
        <v>224</v>
      </c>
      <c r="D23" s="100">
        <v>400</v>
      </c>
      <c r="E23" s="101">
        <v>1000</v>
      </c>
      <c r="F23" s="102">
        <f>(E23+$G$5+$H$5)+(E23*$I$5)</f>
        <v>1626</v>
      </c>
      <c r="G23" s="99">
        <f>F23/D23</f>
        <v>4.065</v>
      </c>
      <c r="H23" s="47">
        <v>4</v>
      </c>
      <c r="I23" s="4"/>
      <c r="J23" s="4"/>
    </row>
    <row r="24">
      <c r="A24" s="98">
        <v>8057800190</v>
      </c>
      <c r="B24" s="99" t="s">
        <v>225</v>
      </c>
      <c r="C24" s="99" t="s">
        <v>226</v>
      </c>
      <c r="D24" s="100">
        <v>3300</v>
      </c>
      <c r="E24" s="101">
        <v>15000</v>
      </c>
      <c r="F24" s="102">
        <f>(E24+$G$5+$H$5)+(E24*$I$5)</f>
        <v>16326</v>
      </c>
      <c r="G24" s="99">
        <f>F24/D24</f>
        <v>4.94727272727273</v>
      </c>
      <c r="H24" s="47">
        <v>5</v>
      </c>
      <c r="I24" s="4"/>
      <c r="J24" s="4"/>
    </row>
    <row r="25">
      <c r="A25" s="98">
        <v>8057931190</v>
      </c>
      <c r="B25" s="99" t="s">
        <v>227</v>
      </c>
      <c r="C25" s="99" t="s">
        <v>228</v>
      </c>
      <c r="D25" s="100">
        <v>700</v>
      </c>
      <c r="E25" s="101">
        <v>100</v>
      </c>
      <c r="F25" s="102">
        <f>(E25+$G$5+$H$5)+(E25*$I$5)</f>
        <v>681</v>
      </c>
      <c r="G25" s="99">
        <f>F25/D25</f>
        <v>0.972857142857143</v>
      </c>
      <c r="H25" s="47">
        <v>2</v>
      </c>
      <c r="I25" s="47" t="s">
        <v>208</v>
      </c>
      <c r="J25" s="4"/>
    </row>
    <row r="26">
      <c r="A26" s="98">
        <v>8057940190</v>
      </c>
      <c r="B26" s="99" t="s">
        <v>229</v>
      </c>
      <c r="C26" s="99" t="s">
        <v>230</v>
      </c>
      <c r="D26" s="100">
        <v>100</v>
      </c>
      <c r="E26" s="102"/>
      <c r="F26" s="102">
        <f>(E26+$G$5+$H$5)+(E26*$I$5)</f>
        <v>576</v>
      </c>
      <c r="G26" s="99"/>
      <c r="H26" s="4"/>
      <c r="I26" s="4"/>
      <c r="J26" s="4"/>
    </row>
    <row r="27">
      <c r="A27" s="98">
        <v>8057958190</v>
      </c>
      <c r="B27" s="99" t="s">
        <v>231</v>
      </c>
      <c r="C27" s="99" t="s">
        <v>232</v>
      </c>
      <c r="D27" s="100">
        <v>850</v>
      </c>
      <c r="E27" s="101">
        <v>400</v>
      </c>
      <c r="F27" s="102">
        <f>(E27+$G$5+$H$5)+(E27*$I$5)</f>
        <v>996</v>
      </c>
      <c r="G27" s="99">
        <f>F27/D27</f>
        <v>1.17176470588235</v>
      </c>
      <c r="H27" s="47">
        <v>2</v>
      </c>
      <c r="I27" s="4"/>
      <c r="J27" s="4"/>
    </row>
    <row r="28">
      <c r="A28" s="98">
        <v>8057982190</v>
      </c>
      <c r="B28" s="99" t="s">
        <v>233</v>
      </c>
      <c r="C28" s="99" t="s">
        <v>234</v>
      </c>
      <c r="D28" s="100">
        <v>200</v>
      </c>
      <c r="E28" s="101">
        <v>1500</v>
      </c>
      <c r="F28" s="102">
        <f>(E28+$G$5+$H$5)+(E28*$I$5)</f>
        <v>2151</v>
      </c>
      <c r="G28" s="99">
        <f>F28/D28</f>
        <v>10.755</v>
      </c>
      <c r="H28" s="47">
        <v>11</v>
      </c>
      <c r="I28" s="47"/>
      <c r="J28" s="4"/>
    </row>
    <row r="29">
      <c r="A29" s="98">
        <v>8058016190</v>
      </c>
      <c r="B29" s="99" t="s">
        <v>235</v>
      </c>
      <c r="C29" s="99" t="s">
        <v>236</v>
      </c>
      <c r="D29" s="100">
        <v>690</v>
      </c>
      <c r="E29" s="102"/>
      <c r="F29" s="102">
        <f>(E29+$G$5+$H$5)+(E29*$I$5)</f>
        <v>576</v>
      </c>
      <c r="G29" s="99"/>
      <c r="H29" s="4"/>
      <c r="I29" s="4"/>
      <c r="J29" s="4"/>
    </row>
    <row r="30">
      <c r="A30" s="98">
        <v>8104697190</v>
      </c>
      <c r="B30" s="99" t="s">
        <v>237</v>
      </c>
      <c r="C30" s="99" t="s">
        <v>238</v>
      </c>
      <c r="D30" s="100">
        <v>800</v>
      </c>
      <c r="E30" s="101">
        <v>2500</v>
      </c>
      <c r="F30" s="102">
        <f>(E30+$G$5+$H$5)+(E30*$I$5)</f>
        <v>3201</v>
      </c>
      <c r="G30" s="99">
        <f>F30/D30</f>
        <v>4.00125</v>
      </c>
      <c r="H30" s="47">
        <v>4</v>
      </c>
      <c r="I30" s="4"/>
      <c r="J30" s="4"/>
    </row>
    <row r="31">
      <c r="A31" s="98">
        <v>8104719190</v>
      </c>
      <c r="B31" s="99" t="s">
        <v>239</v>
      </c>
      <c r="C31" s="99" t="s">
        <v>240</v>
      </c>
      <c r="D31" s="100">
        <v>800</v>
      </c>
      <c r="E31" s="51">
        <v>2500</v>
      </c>
      <c r="F31" s="102">
        <f>(E31+$G$5+$H$5)+(E31*$I$5)</f>
        <v>3201</v>
      </c>
      <c r="G31" s="99">
        <f>F31/D31</f>
        <v>4.00125</v>
      </c>
      <c r="H31" s="47">
        <v>4</v>
      </c>
      <c r="I31" s="4"/>
      <c r="J31" s="4"/>
    </row>
    <row r="32">
      <c r="A32" s="98">
        <v>8056773190</v>
      </c>
      <c r="B32" s="99" t="s">
        <v>241</v>
      </c>
      <c r="C32" s="99" t="s">
        <v>241</v>
      </c>
      <c r="D32" s="100">
        <v>450</v>
      </c>
      <c r="E32" s="104"/>
      <c r="F32" s="102">
        <f>(E32+$G$5+$H$5)+(E32*$I$5)</f>
        <v>576</v>
      </c>
      <c r="G32" s="99"/>
      <c r="H32" s="4"/>
      <c r="I32" s="4"/>
      <c r="J32" s="4"/>
    </row>
    <row r="33">
      <c r="A33" s="98">
        <v>8056838190</v>
      </c>
      <c r="B33" s="99" t="s">
        <v>242</v>
      </c>
      <c r="C33" s="99" t="s">
        <v>242</v>
      </c>
      <c r="D33" s="100">
        <v>500</v>
      </c>
      <c r="E33" s="58"/>
      <c r="F33" s="102">
        <f>(E33+$G$5+$H$5)+(E33*$I$5)</f>
        <v>576</v>
      </c>
      <c r="G33" s="99"/>
      <c r="H33" s="4"/>
      <c r="I33" s="4"/>
      <c r="J33" s="4"/>
    </row>
    <row r="34">
      <c r="A34" s="98">
        <v>8058687190</v>
      </c>
      <c r="B34" s="99" t="s">
        <v>243</v>
      </c>
      <c r="C34" s="99" t="s">
        <v>244</v>
      </c>
      <c r="D34" s="100">
        <v>1000</v>
      </c>
      <c r="E34" s="101">
        <v>8000</v>
      </c>
      <c r="F34" s="102">
        <f>(E34+$G$5+$H$5)+(E34*$I$5)</f>
        <v>8976</v>
      </c>
      <c r="G34" s="99">
        <f>F34/D34</f>
        <v>8.976</v>
      </c>
      <c r="H34" s="47">
        <v>9</v>
      </c>
      <c r="I34" s="4"/>
      <c r="J34" s="4"/>
    </row>
    <row r="35">
      <c r="A35" s="98">
        <v>8058806190</v>
      </c>
      <c r="B35" s="99" t="s">
        <v>245</v>
      </c>
      <c r="C35" s="99" t="s">
        <v>246</v>
      </c>
      <c r="D35" s="100">
        <v>600</v>
      </c>
      <c r="E35" s="101">
        <v>17000</v>
      </c>
      <c r="F35" s="102">
        <f>(E35+$G$5+$H$5)+(E35*$I$5)</f>
        <v>18426</v>
      </c>
      <c r="G35" s="99">
        <f>F35/D35</f>
        <v>30.71</v>
      </c>
      <c r="H35" s="47">
        <v>31</v>
      </c>
      <c r="I35" s="4"/>
      <c r="J35" s="4"/>
    </row>
    <row r="36">
      <c r="A36" s="98">
        <v>8106053190</v>
      </c>
      <c r="B36" s="99" t="s">
        <v>247</v>
      </c>
      <c r="C36" s="99" t="s">
        <v>248</v>
      </c>
      <c r="D36" s="100">
        <v>300</v>
      </c>
      <c r="E36" s="102"/>
      <c r="F36" s="102">
        <f>(E36+$G$5+$H$5)+(E36*$I$5)</f>
        <v>576</v>
      </c>
      <c r="G36" s="99"/>
      <c r="H36" s="4"/>
      <c r="I36" s="4"/>
      <c r="J36" s="4"/>
    </row>
    <row r="37">
      <c r="A37" s="98">
        <v>8056714190</v>
      </c>
      <c r="B37" s="99" t="s">
        <v>249</v>
      </c>
      <c r="C37" s="99" t="s">
        <v>250</v>
      </c>
      <c r="D37" s="100">
        <v>500</v>
      </c>
      <c r="E37" s="102"/>
      <c r="F37" s="102">
        <f>(E37+$G$5+$H$5)+(E37*$I$5)</f>
        <v>576</v>
      </c>
      <c r="G37" s="99"/>
      <c r="H37" s="4"/>
      <c r="I37" s="4"/>
      <c r="J37" s="4"/>
    </row>
    <row r="38">
      <c r="A38" s="98">
        <v>8058652190</v>
      </c>
      <c r="B38" s="99" t="s">
        <v>251</v>
      </c>
      <c r="C38" s="99" t="s">
        <v>252</v>
      </c>
      <c r="D38" s="100">
        <v>1050</v>
      </c>
      <c r="E38" s="101">
        <v>400</v>
      </c>
      <c r="F38" s="102">
        <f>(E38+$G$5+$H$5)+(E38*$I$5)</f>
        <v>996</v>
      </c>
      <c r="G38" s="99">
        <f>F38/D38</f>
        <v>0.948571428571429</v>
      </c>
      <c r="H38" s="47">
        <v>2</v>
      </c>
      <c r="I38" s="47" t="s">
        <v>208</v>
      </c>
      <c r="J38" s="4"/>
    </row>
    <row r="39">
      <c r="A39" s="98">
        <v>8057524190</v>
      </c>
      <c r="B39" s="99" t="s">
        <v>253</v>
      </c>
      <c r="C39" s="99" t="s">
        <v>254</v>
      </c>
      <c r="D39" s="100">
        <v>600</v>
      </c>
      <c r="E39" s="102"/>
      <c r="F39" s="102">
        <f>(E39+$G$5+$H$5)+(E39*$I$5)</f>
        <v>576</v>
      </c>
      <c r="G39" s="99"/>
      <c r="H39" s="4"/>
      <c r="I39" s="4"/>
      <c r="J39" s="4"/>
    </row>
    <row r="40">
      <c r="A40" s="98">
        <v>8057532190</v>
      </c>
      <c r="B40" s="99" t="s">
        <v>255</v>
      </c>
      <c r="C40" s="99" t="s">
        <v>256</v>
      </c>
      <c r="D40" s="100">
        <v>2500</v>
      </c>
      <c r="E40" s="101">
        <v>12000</v>
      </c>
      <c r="F40" s="102">
        <f>(E40+$G$5+$H$5)+(E40*$I$5)</f>
        <v>13176</v>
      </c>
      <c r="G40" s="99">
        <f>F40/D40</f>
        <v>5.2704</v>
      </c>
      <c r="H40" s="47">
        <v>6</v>
      </c>
      <c r="I40" s="4"/>
      <c r="J40" s="4"/>
    </row>
    <row r="41">
      <c r="A41" s="98">
        <v>8057877190</v>
      </c>
      <c r="B41" s="99" t="s">
        <v>257</v>
      </c>
      <c r="C41" s="99" t="s">
        <v>258</v>
      </c>
      <c r="D41" s="100">
        <v>700</v>
      </c>
      <c r="E41" s="101">
        <v>4000</v>
      </c>
      <c r="F41" s="102">
        <f>(E41+$G$5+$H$5)+(E41*$I$5)</f>
        <v>4776</v>
      </c>
      <c r="G41" s="99">
        <f>F41/D41</f>
        <v>6.82285714285714</v>
      </c>
      <c r="H41" s="47">
        <v>7</v>
      </c>
      <c r="I41" s="4"/>
      <c r="J41" s="4"/>
    </row>
    <row r="42">
      <c r="A42" s="98">
        <v>8057966190</v>
      </c>
      <c r="B42" s="99" t="s">
        <v>259</v>
      </c>
      <c r="C42" s="99" t="s">
        <v>260</v>
      </c>
      <c r="D42" s="100">
        <v>600</v>
      </c>
      <c r="E42" s="102"/>
      <c r="F42" s="102">
        <f>(E42+$G$5+$H$5)+(E42*$I$5)</f>
        <v>576</v>
      </c>
      <c r="G42" s="99"/>
      <c r="H42" s="4"/>
      <c r="I42" s="4"/>
      <c r="J42" s="4"/>
    </row>
    <row r="43">
      <c r="A43" s="98">
        <v>8105448190</v>
      </c>
      <c r="B43" s="99" t="s">
        <v>261</v>
      </c>
      <c r="C43" s="99" t="s">
        <v>262</v>
      </c>
      <c r="D43" s="100">
        <v>250</v>
      </c>
      <c r="E43" s="102"/>
      <c r="F43" s="102">
        <f>(E43+$G$5+$H$5)+(E43*$I$5)</f>
        <v>576</v>
      </c>
      <c r="G43" s="99"/>
      <c r="H43" s="4"/>
      <c r="I43" s="4"/>
      <c r="J43" s="4"/>
    </row>
    <row r="44">
      <c r="A44" s="98">
        <v>8105464190</v>
      </c>
      <c r="B44" s="99" t="s">
        <v>263</v>
      </c>
      <c r="C44" s="99" t="s">
        <v>264</v>
      </c>
      <c r="D44" s="100">
        <v>250</v>
      </c>
      <c r="E44" s="102"/>
      <c r="F44" s="102">
        <f>(E44+$G$5+$H$5)+(E44*$I$5)</f>
        <v>576</v>
      </c>
      <c r="G44" s="99"/>
      <c r="H44" s="4"/>
      <c r="I44" s="4"/>
      <c r="J44" s="4"/>
    </row>
    <row r="45">
      <c r="A45" s="98">
        <v>8063516190</v>
      </c>
      <c r="B45" s="99" t="s">
        <v>265</v>
      </c>
      <c r="C45" s="99" t="s">
        <v>266</v>
      </c>
      <c r="D45" s="100">
        <v>14500</v>
      </c>
      <c r="E45" s="102"/>
      <c r="F45" s="102">
        <f>(E45+$G$5+$H$5)+(E45*$I$5)</f>
        <v>576</v>
      </c>
      <c r="G45" s="99"/>
      <c r="H45" s="4"/>
      <c r="I45" s="4"/>
      <c r="J45" s="4"/>
    </row>
    <row r="46">
      <c r="A46" s="98">
        <v>8057486190</v>
      </c>
      <c r="B46" s="99" t="s">
        <v>267</v>
      </c>
      <c r="C46" s="99" t="s">
        <v>268</v>
      </c>
      <c r="D46" s="100">
        <v>150</v>
      </c>
      <c r="E46" s="101">
        <v>100</v>
      </c>
      <c r="F46" s="102">
        <f>(E46+$G$5+$H$5)+(E46*$I$5)</f>
        <v>681</v>
      </c>
      <c r="G46" s="99">
        <f>F46/D46</f>
        <v>4.54</v>
      </c>
      <c r="H46" s="47">
        <v>4</v>
      </c>
      <c r="I46" s="4"/>
      <c r="J46" s="4"/>
    </row>
    <row r="47">
      <c r="A47" s="98">
        <v>8056722190</v>
      </c>
      <c r="B47" s="99" t="s">
        <v>269</v>
      </c>
      <c r="C47" s="99" t="s">
        <v>270</v>
      </c>
      <c r="D47" s="100">
        <v>500</v>
      </c>
      <c r="E47" s="102"/>
      <c r="F47" s="102">
        <f>(E47+$G$5+$H$5)+(E47*$I$5)</f>
        <v>576</v>
      </c>
      <c r="G47" s="99"/>
      <c r="H47" s="4"/>
      <c r="I47" s="4"/>
      <c r="J47" s="4"/>
    </row>
    <row r="48">
      <c r="A48" s="98">
        <v>8058679190</v>
      </c>
      <c r="B48" s="99" t="s">
        <v>271</v>
      </c>
      <c r="C48" s="99" t="s">
        <v>272</v>
      </c>
      <c r="D48" s="100">
        <v>650</v>
      </c>
      <c r="E48" s="101">
        <v>100</v>
      </c>
      <c r="F48" s="102">
        <f>(E48+$G$5+$H$5)+(E48*$I$5)</f>
        <v>681</v>
      </c>
      <c r="G48" s="99">
        <f>F48/D48</f>
        <v>1.04769230769231</v>
      </c>
      <c r="H48" s="47">
        <v>2</v>
      </c>
      <c r="I48" s="4"/>
      <c r="J48" s="4"/>
    </row>
    <row r="49">
      <c r="A49" s="98">
        <v>8057915190</v>
      </c>
      <c r="B49" s="99" t="s">
        <v>273</v>
      </c>
      <c r="C49" s="99" t="s">
        <v>274</v>
      </c>
      <c r="D49" s="100">
        <v>300</v>
      </c>
      <c r="E49" s="102"/>
      <c r="F49" s="102">
        <f>(E49+$G$5+$H$5)+(E49*$I$5)</f>
        <v>576</v>
      </c>
      <c r="G49" s="99"/>
      <c r="H49" s="4"/>
      <c r="I49" s="4"/>
      <c r="J49" s="4"/>
    </row>
    <row r="50">
      <c r="A50" s="98">
        <v>8105472190</v>
      </c>
      <c r="B50" s="99" t="s">
        <v>275</v>
      </c>
      <c r="C50" s="99" t="s">
        <v>276</v>
      </c>
      <c r="D50" s="100">
        <v>200</v>
      </c>
      <c r="E50" s="102"/>
      <c r="F50" s="102">
        <f>(E50+$G$5+$H$5)+(E50*$I$5)</f>
        <v>576</v>
      </c>
      <c r="G50" s="99"/>
      <c r="H50" s="4"/>
      <c r="I50" s="4"/>
      <c r="J50" s="4"/>
    </row>
    <row r="51">
      <c r="A51" s="98">
        <v>8105553190</v>
      </c>
      <c r="B51" s="99" t="s">
        <v>277</v>
      </c>
      <c r="C51" s="99" t="s">
        <v>278</v>
      </c>
      <c r="D51" s="100">
        <v>200</v>
      </c>
      <c r="E51" s="102"/>
      <c r="F51" s="102">
        <f>(E51+$G$5+$H$5)+(E51*$I$5)</f>
        <v>576</v>
      </c>
      <c r="G51" s="99"/>
      <c r="H51" s="4"/>
      <c r="I51" s="4"/>
      <c r="J51" s="4"/>
    </row>
    <row r="52">
      <c r="A52" s="98">
        <v>8252645190</v>
      </c>
      <c r="B52" s="99" t="s">
        <v>279</v>
      </c>
      <c r="C52" s="99" t="s">
        <v>280</v>
      </c>
      <c r="D52" s="100">
        <v>200</v>
      </c>
      <c r="E52" s="102"/>
      <c r="F52" s="102">
        <f>(E52+$G$5+$H$5)+(E52*$I$5)</f>
        <v>576</v>
      </c>
      <c r="G52" s="99"/>
      <c r="H52" s="4"/>
      <c r="I52" s="4"/>
      <c r="J52" s="4"/>
    </row>
    <row r="53">
      <c r="A53" s="98">
        <v>8106070190</v>
      </c>
      <c r="B53" s="99" t="s">
        <v>281</v>
      </c>
      <c r="C53" s="99" t="s">
        <v>282</v>
      </c>
      <c r="D53" s="100">
        <v>150</v>
      </c>
      <c r="E53" s="102"/>
      <c r="F53" s="102">
        <f>(E53+$G$5+$H$5)+(E53*$I$5)</f>
        <v>576</v>
      </c>
      <c r="G53" s="99"/>
      <c r="H53" s="4"/>
      <c r="I53" s="4"/>
      <c r="J53" s="4"/>
    </row>
    <row r="54">
      <c r="A54" s="98">
        <v>8106061190</v>
      </c>
      <c r="B54" s="99" t="s">
        <v>283</v>
      </c>
      <c r="C54" s="99" t="s">
        <v>284</v>
      </c>
      <c r="D54" s="100">
        <v>150</v>
      </c>
      <c r="E54" s="102"/>
      <c r="F54" s="102">
        <f>(E54+$G$5+$H$5)+(E54*$I$5)</f>
        <v>576</v>
      </c>
      <c r="G54" s="99"/>
      <c r="H54" s="4"/>
      <c r="I54" s="4"/>
      <c r="J54" s="4"/>
    </row>
    <row r="55">
      <c r="A55" s="98">
        <v>8058776190</v>
      </c>
      <c r="B55" s="99" t="s">
        <v>285</v>
      </c>
      <c r="C55" s="99" t="s">
        <v>286</v>
      </c>
      <c r="D55" s="100">
        <v>100</v>
      </c>
      <c r="E55" s="101">
        <v>100</v>
      </c>
      <c r="F55" s="102">
        <f>(E55+$G$5+$H$5)+(E55*$I$5)</f>
        <v>681</v>
      </c>
      <c r="G55" s="99">
        <f>F55/D55</f>
        <v>6.81</v>
      </c>
      <c r="H55" s="47">
        <v>3</v>
      </c>
      <c r="I55" s="4"/>
      <c r="J55" s="4"/>
    </row>
    <row r="56">
      <c r="A56" s="98">
        <v>8057591190</v>
      </c>
      <c r="B56" s="99" t="s">
        <v>287</v>
      </c>
      <c r="C56" s="99" t="s">
        <v>288</v>
      </c>
      <c r="D56" s="100">
        <v>500</v>
      </c>
      <c r="E56" s="101">
        <v>6000</v>
      </c>
      <c r="F56" s="102">
        <f>(E56+$G$5+$H$5)+(E56*$I$5)</f>
        <v>6876</v>
      </c>
      <c r="G56" s="99">
        <f>F56/D56</f>
        <v>13.752</v>
      </c>
      <c r="H56" s="47">
        <v>14</v>
      </c>
      <c r="I56" s="4"/>
      <c r="J56" s="4"/>
    </row>
    <row r="57">
      <c r="A57" s="98">
        <v>8105545190</v>
      </c>
      <c r="B57" s="99" t="s">
        <v>289</v>
      </c>
      <c r="C57" s="99" t="s">
        <v>290</v>
      </c>
      <c r="D57" s="100">
        <v>150</v>
      </c>
      <c r="E57" s="102"/>
      <c r="F57" s="102">
        <f>(E57+$G$5+$H$5)+(E57*$I$5)</f>
        <v>576</v>
      </c>
      <c r="G57" s="99"/>
      <c r="H57" s="4"/>
      <c r="I57" s="4"/>
      <c r="J57" s="4"/>
    </row>
    <row r="58">
      <c r="A58" s="98">
        <v>8106045190</v>
      </c>
      <c r="B58" s="99" t="s">
        <v>291</v>
      </c>
      <c r="C58" s="99" t="s">
        <v>292</v>
      </c>
      <c r="D58" s="100">
        <v>200</v>
      </c>
      <c r="E58" s="102"/>
      <c r="F58" s="102">
        <f>(E58+$G$5+$H$5)+(E58*$I$5)</f>
        <v>576</v>
      </c>
      <c r="G58" s="99"/>
      <c r="H58" s="4"/>
      <c r="I58" s="4"/>
      <c r="J58" s="4"/>
    </row>
    <row r="59">
      <c r="A59" s="98">
        <v>8105537190</v>
      </c>
      <c r="B59" s="99" t="s">
        <v>293</v>
      </c>
      <c r="C59" s="99" t="s">
        <v>294</v>
      </c>
      <c r="D59" s="100">
        <v>150</v>
      </c>
      <c r="E59" s="102"/>
      <c r="F59" s="102">
        <f>(E59+$G$5+$H$5)+(E59*$I$5)</f>
        <v>576</v>
      </c>
      <c r="G59" s="99"/>
      <c r="H59" s="4"/>
      <c r="I59" s="4"/>
      <c r="J59" s="4"/>
    </row>
    <row r="60">
      <c r="A60" s="98">
        <v>8106088190</v>
      </c>
      <c r="B60" s="99" t="s">
        <v>295</v>
      </c>
      <c r="C60" s="99" t="s">
        <v>296</v>
      </c>
      <c r="D60" s="100">
        <v>100</v>
      </c>
      <c r="E60" s="102"/>
      <c r="F60" s="102">
        <f>(E60+$G$5+$H$5)+(E60*$I$5)</f>
        <v>576</v>
      </c>
      <c r="G60" s="99"/>
      <c r="H60" s="4"/>
      <c r="I60" s="4"/>
      <c r="J60" s="4"/>
    </row>
    <row r="61">
      <c r="A61" s="98">
        <v>8106096190</v>
      </c>
      <c r="B61" s="99" t="s">
        <v>297</v>
      </c>
      <c r="C61" s="99" t="s">
        <v>298</v>
      </c>
      <c r="D61" s="100">
        <v>100</v>
      </c>
      <c r="E61" s="102"/>
      <c r="F61" s="102">
        <f>(E61+$G$5+$H$5)+(E61*$I$5)</f>
        <v>576</v>
      </c>
      <c r="G61" s="99"/>
      <c r="H61" s="4"/>
      <c r="I61" s="4"/>
      <c r="J61" s="4"/>
    </row>
    <row r="62">
      <c r="A62" s="98">
        <v>8101396190</v>
      </c>
      <c r="B62" s="99" t="s">
        <v>299</v>
      </c>
      <c r="C62" s="99" t="s">
        <v>300</v>
      </c>
      <c r="D62" s="100">
        <v>200</v>
      </c>
      <c r="E62" s="102"/>
      <c r="F62" s="102">
        <f>(E62+$G$5+$H$5)+(E62*$I$5)</f>
        <v>576</v>
      </c>
      <c r="G62" s="99"/>
      <c r="H62" s="4"/>
      <c r="I62" s="4"/>
      <c r="J62" s="4"/>
    </row>
    <row r="63">
      <c r="A63" s="98">
        <v>8100276190</v>
      </c>
      <c r="B63" s="99" t="s">
        <v>301</v>
      </c>
      <c r="C63" s="99" t="s">
        <v>302</v>
      </c>
      <c r="D63" s="100">
        <v>100</v>
      </c>
      <c r="E63" s="102"/>
      <c r="F63" s="102">
        <f>(E63+$G$5+$H$5)+(E63*$I$5)</f>
        <v>576</v>
      </c>
      <c r="G63" s="99"/>
      <c r="H63" s="4"/>
      <c r="I63" s="4"/>
      <c r="J63" s="4"/>
    </row>
    <row r="64">
      <c r="A64" s="98">
        <v>8058733190</v>
      </c>
      <c r="B64" s="99" t="s">
        <v>303</v>
      </c>
      <c r="C64" s="99" t="s">
        <v>304</v>
      </c>
      <c r="D64" s="100">
        <v>500</v>
      </c>
      <c r="E64" s="101">
        <v>100</v>
      </c>
      <c r="F64" s="102">
        <f>(E64+$G$5+$H$5)+(E64*$I$5)</f>
        <v>681</v>
      </c>
      <c r="G64" s="99">
        <f>F64/D64</f>
        <v>1.362</v>
      </c>
      <c r="H64" s="47">
        <v>2</v>
      </c>
      <c r="I64" s="4"/>
      <c r="J64" s="4"/>
    </row>
    <row r="65">
      <c r="A65" s="98">
        <v>8057648190</v>
      </c>
      <c r="B65" s="99" t="s">
        <v>305</v>
      </c>
      <c r="C65" s="99" t="s">
        <v>306</v>
      </c>
      <c r="D65" s="100">
        <v>400</v>
      </c>
      <c r="E65" s="102"/>
      <c r="F65" s="102">
        <f>(E65+$G$5+$H$5)+(E65*$I$5)</f>
        <v>576</v>
      </c>
      <c r="G65" s="99"/>
      <c r="H65" s="4"/>
      <c r="I65" s="4"/>
      <c r="J65" s="4"/>
    </row>
    <row r="66">
      <c r="A66" s="98">
        <v>8057923190</v>
      </c>
      <c r="B66" s="99" t="s">
        <v>307</v>
      </c>
      <c r="C66" s="99" t="s">
        <v>308</v>
      </c>
      <c r="D66" s="100">
        <v>300</v>
      </c>
      <c r="E66" s="102"/>
      <c r="F66" s="102">
        <f>(E66+$G$5+$H$5)+(E66*$I$5)</f>
        <v>576</v>
      </c>
      <c r="G66" s="99"/>
      <c r="H66" s="4"/>
      <c r="I66" s="4"/>
      <c r="J66" s="4"/>
    </row>
    <row r="67">
      <c r="A67" s="98">
        <v>8057915190</v>
      </c>
      <c r="B67" s="99" t="s">
        <v>309</v>
      </c>
      <c r="C67" s="99" t="s">
        <v>274</v>
      </c>
      <c r="D67" s="100">
        <v>300</v>
      </c>
      <c r="E67" s="102"/>
      <c r="F67" s="102">
        <f>(E67+$G$5+$H$5)+(E67*$I$5)</f>
        <v>576</v>
      </c>
      <c r="G67" s="99"/>
      <c r="H67" s="4"/>
      <c r="I67" s="4"/>
      <c r="J67" s="4"/>
    </row>
    <row r="68">
      <c r="A68" s="98">
        <v>8057885190</v>
      </c>
      <c r="B68" s="99" t="s">
        <v>310</v>
      </c>
      <c r="C68" s="99" t="s">
        <v>311</v>
      </c>
      <c r="D68" s="100">
        <v>300</v>
      </c>
      <c r="E68" s="102"/>
      <c r="F68" s="102">
        <f>(E68+$G$5+$H$5)+(E68*$I$5)</f>
        <v>576</v>
      </c>
      <c r="G68" s="99"/>
      <c r="H68" s="4"/>
      <c r="I68" s="4"/>
      <c r="J68" s="4"/>
    </row>
    <row r="69">
      <c r="A69" s="98">
        <v>8056668190</v>
      </c>
      <c r="B69" s="99" t="s">
        <v>312</v>
      </c>
      <c r="C69" s="99" t="s">
        <v>313</v>
      </c>
      <c r="D69" s="100">
        <v>500</v>
      </c>
      <c r="E69" s="101"/>
      <c r="F69" s="102">
        <f>(E69+$G$5+$H$5)+(E69*$I$5)</f>
        <v>576</v>
      </c>
      <c r="G69" s="99"/>
      <c r="H69" s="47"/>
      <c r="I69" s="4"/>
      <c r="J69" s="4"/>
    </row>
    <row r="70">
      <c r="A70" s="98">
        <v>8445699190</v>
      </c>
      <c r="B70" s="99" t="s">
        <v>314</v>
      </c>
      <c r="C70" s="99" t="s">
        <v>315</v>
      </c>
      <c r="D70" s="100">
        <v>200</v>
      </c>
      <c r="E70" s="101">
        <v>1000</v>
      </c>
      <c r="F70" s="102">
        <f>(E70+$G$5+$H$5)+(E70*$I$5)</f>
        <v>1626</v>
      </c>
      <c r="G70" s="99">
        <f>F70/D70</f>
        <v>8.13</v>
      </c>
      <c r="H70" s="47">
        <v>8</v>
      </c>
      <c r="I70" s="4"/>
      <c r="J70" s="4"/>
    </row>
    <row r="71">
      <c r="A71" s="98">
        <v>8105626190</v>
      </c>
      <c r="B71" s="99" t="s">
        <v>316</v>
      </c>
      <c r="C71" s="99" t="s">
        <v>317</v>
      </c>
      <c r="D71" s="100">
        <v>100</v>
      </c>
      <c r="E71" s="102"/>
      <c r="F71" s="102">
        <f>(E71+$G$5+$H$5)+(E71*$I$5)</f>
        <v>576</v>
      </c>
      <c r="G71" s="99"/>
      <c r="H71" s="4"/>
      <c r="I71" s="4"/>
      <c r="J71" s="4"/>
    </row>
    <row r="72">
      <c r="A72" s="98">
        <v>8105529190</v>
      </c>
      <c r="B72" s="99" t="s">
        <v>318</v>
      </c>
      <c r="C72" s="99" t="s">
        <v>319</v>
      </c>
      <c r="D72" s="100">
        <v>150</v>
      </c>
      <c r="E72" s="102"/>
      <c r="F72" s="102">
        <f>(E72+$G$5+$H$5)+(E72*$I$5)</f>
        <v>576</v>
      </c>
      <c r="G72" s="99"/>
      <c r="H72" s="4"/>
      <c r="I72" s="4"/>
      <c r="J72" s="4"/>
    </row>
    <row r="73">
      <c r="A73" s="98">
        <v>8106126190</v>
      </c>
      <c r="B73" s="99" t="s">
        <v>320</v>
      </c>
      <c r="C73" s="99" t="s">
        <v>321</v>
      </c>
      <c r="D73" s="100">
        <v>150</v>
      </c>
      <c r="E73" s="102"/>
      <c r="F73" s="102">
        <f>(E73+$G$5+$H$5)+(E73*$I$5)</f>
        <v>576</v>
      </c>
      <c r="G73" s="99"/>
      <c r="H73" s="4"/>
      <c r="I73" s="4"/>
      <c r="J73" s="4"/>
    </row>
    <row r="74">
      <c r="A74" s="98">
        <v>8105596190</v>
      </c>
      <c r="B74" s="99" t="s">
        <v>322</v>
      </c>
      <c r="C74" s="99" t="s">
        <v>323</v>
      </c>
      <c r="D74" s="100">
        <v>250</v>
      </c>
      <c r="E74" s="102"/>
      <c r="F74" s="102">
        <f>(E74+$G$5+$H$5)+(E74*$I$5)</f>
        <v>576</v>
      </c>
      <c r="G74" s="99"/>
      <c r="H74" s="4"/>
      <c r="I74" s="4"/>
      <c r="J74" s="4"/>
    </row>
    <row r="75">
      <c r="A75" s="98">
        <v>8057826190</v>
      </c>
      <c r="B75" s="99" t="s">
        <v>324</v>
      </c>
      <c r="C75" s="99" t="s">
        <v>325</v>
      </c>
      <c r="D75" s="100">
        <v>100</v>
      </c>
      <c r="E75" s="102"/>
      <c r="F75" s="102">
        <f>(E75+$G$5+$H$5)+(E75*$I$5)</f>
        <v>576</v>
      </c>
      <c r="G75" s="99"/>
      <c r="H75" s="4"/>
      <c r="I75" s="4"/>
      <c r="J75" s="4"/>
    </row>
    <row r="76">
      <c r="A76" s="98">
        <v>8057494190</v>
      </c>
      <c r="B76" s="99" t="s">
        <v>326</v>
      </c>
      <c r="C76" s="99" t="s">
        <v>327</v>
      </c>
      <c r="D76" s="100">
        <v>250</v>
      </c>
      <c r="E76" s="102"/>
      <c r="F76" s="102">
        <f>(E76+$G$5+$H$5)+(E76*$I$5)</f>
        <v>576</v>
      </c>
      <c r="G76" s="99"/>
      <c r="H76" s="4"/>
      <c r="I76" s="4"/>
      <c r="J76" s="4"/>
    </row>
    <row r="77">
      <c r="A77" s="98">
        <v>8058024190</v>
      </c>
      <c r="B77" s="99" t="s">
        <v>328</v>
      </c>
      <c r="C77" s="99" t="s">
        <v>329</v>
      </c>
      <c r="D77" s="100">
        <v>300</v>
      </c>
      <c r="E77" s="102"/>
      <c r="F77" s="102">
        <f>(E77+$G$5+$H$5)+(E77*$I$5)</f>
        <v>576</v>
      </c>
      <c r="G77" s="99"/>
      <c r="H77" s="4"/>
      <c r="I77" s="4"/>
      <c r="J77" s="4"/>
    </row>
    <row r="78">
      <c r="A78" s="98">
        <v>8057630190</v>
      </c>
      <c r="B78" s="99" t="s">
        <v>330</v>
      </c>
      <c r="C78" s="99" t="s">
        <v>331</v>
      </c>
      <c r="D78" s="100">
        <v>850</v>
      </c>
      <c r="E78" s="102"/>
      <c r="F78" s="102">
        <f>(E78+$G$5+$H$5)+(E78*$I$5)</f>
        <v>576</v>
      </c>
      <c r="G78" s="99"/>
      <c r="H78" s="4"/>
      <c r="I78" s="4"/>
      <c r="J78" s="4"/>
    </row>
    <row r="79">
      <c r="A79" s="98">
        <v>8445672190</v>
      </c>
      <c r="B79" s="99" t="s">
        <v>332</v>
      </c>
      <c r="C79" s="99" t="s">
        <v>333</v>
      </c>
      <c r="D79" s="100">
        <v>150</v>
      </c>
      <c r="E79" s="102"/>
      <c r="F79" s="102">
        <f>(E79+$G$5+$H$5)+(E79*$I$5)</f>
        <v>576</v>
      </c>
      <c r="G79" s="99"/>
      <c r="H79" s="4"/>
      <c r="I79" s="4"/>
      <c r="J79" s="4"/>
    </row>
    <row r="80">
      <c r="A80" s="98">
        <v>8105677190</v>
      </c>
      <c r="B80" s="99" t="s">
        <v>334</v>
      </c>
      <c r="C80" s="99" t="s">
        <v>335</v>
      </c>
      <c r="D80" s="100">
        <v>550</v>
      </c>
      <c r="E80" s="102"/>
      <c r="F80" s="102">
        <f>(E80+$G$5+$H$5)+(E80*$I$5)</f>
        <v>576</v>
      </c>
      <c r="G80" s="99"/>
      <c r="H80" s="4"/>
      <c r="I80" s="4"/>
      <c r="J80" s="4"/>
    </row>
    <row r="81">
      <c r="A81" s="98">
        <v>8252629190</v>
      </c>
      <c r="B81" s="99" t="s">
        <v>336</v>
      </c>
      <c r="C81" s="99" t="s">
        <v>337</v>
      </c>
      <c r="D81" s="100">
        <v>200</v>
      </c>
      <c r="E81" s="102"/>
      <c r="F81" s="102">
        <f>(E81+$G$5+$H$5)+(E81*$I$5)</f>
        <v>576</v>
      </c>
      <c r="G81" s="99"/>
      <c r="H81" s="4"/>
      <c r="I81" s="4"/>
      <c r="J81" s="4"/>
    </row>
    <row r="82">
      <c r="A82" s="98">
        <v>8058628190</v>
      </c>
      <c r="B82" s="99" t="s">
        <v>338</v>
      </c>
      <c r="C82" s="99" t="s">
        <v>339</v>
      </c>
      <c r="D82" s="100">
        <v>400</v>
      </c>
      <c r="E82" s="102"/>
      <c r="F82" s="102">
        <f>(E82+$G$5+$H$5)+(E82*$I$5)</f>
        <v>576</v>
      </c>
      <c r="G82" s="99"/>
      <c r="H82" s="4"/>
      <c r="I82" s="4"/>
      <c r="J82" s="4"/>
    </row>
    <row r="83">
      <c r="A83" s="98">
        <v>8445567190</v>
      </c>
      <c r="B83" s="99" t="s">
        <v>340</v>
      </c>
      <c r="C83" s="99" t="s">
        <v>341</v>
      </c>
      <c r="D83" s="100">
        <v>100</v>
      </c>
      <c r="E83" s="102"/>
      <c r="F83" s="102">
        <f>(E83+$G$5+$H$5)+(E83*$I$5)</f>
        <v>576</v>
      </c>
      <c r="G83" s="99"/>
      <c r="H83" s="4"/>
      <c r="I83" s="4"/>
      <c r="J83" s="4"/>
    </row>
    <row r="84">
      <c r="A84" s="98">
        <v>8058580190</v>
      </c>
      <c r="B84" s="99" t="s">
        <v>342</v>
      </c>
      <c r="C84" s="99" t="s">
        <v>343</v>
      </c>
      <c r="D84" s="100">
        <v>200</v>
      </c>
      <c r="E84" s="102"/>
      <c r="F84" s="102">
        <f>(E84+$G$5+$H$5)+(E84*$I$5)</f>
        <v>576</v>
      </c>
      <c r="G84" s="99"/>
      <c r="H84" s="4"/>
      <c r="I84" s="4"/>
      <c r="J84" s="4"/>
    </row>
    <row r="85">
      <c r="A85" s="98">
        <v>8057435190</v>
      </c>
      <c r="B85" s="99" t="s">
        <v>344</v>
      </c>
      <c r="C85" s="99" t="s">
        <v>345</v>
      </c>
      <c r="D85" s="100">
        <v>500</v>
      </c>
      <c r="E85" s="102"/>
      <c r="F85" s="102">
        <f>(E85+$G$5+$H$5)+(E85*$I$5)</f>
        <v>576</v>
      </c>
      <c r="G85" s="99"/>
      <c r="H85" s="4"/>
      <c r="I85" s="4"/>
      <c r="J85" s="4"/>
    </row>
    <row r="86">
      <c r="A86" s="98">
        <v>8445575190</v>
      </c>
      <c r="B86" s="99" t="s">
        <v>346</v>
      </c>
      <c r="C86" s="99" t="s">
        <v>347</v>
      </c>
      <c r="D86" s="100">
        <v>200</v>
      </c>
      <c r="E86" s="102"/>
      <c r="F86" s="102">
        <f>(E86+$G$5+$H$5)+(E86*$I$5)</f>
        <v>576</v>
      </c>
      <c r="G86" s="99"/>
      <c r="H86" s="4"/>
      <c r="I86" s="4"/>
      <c r="J86" s="4"/>
    </row>
    <row r="87">
      <c r="A87" s="98">
        <v>8058849190</v>
      </c>
      <c r="B87" s="99" t="s">
        <v>348</v>
      </c>
      <c r="C87" s="99" t="s">
        <v>349</v>
      </c>
      <c r="D87" s="100">
        <v>200</v>
      </c>
      <c r="E87" s="102"/>
      <c r="F87" s="102">
        <f>(E87+$G$5+$H$5)+(E87*$I$5)</f>
        <v>576</v>
      </c>
      <c r="G87" s="99"/>
      <c r="H87" s="4"/>
      <c r="I87" s="4"/>
      <c r="J87" s="4"/>
    </row>
    <row r="88">
      <c r="A88" s="105" t="s">
        <v>350</v>
      </c>
      <c r="B88" s="99"/>
      <c r="C88" s="99"/>
      <c r="D88" s="106"/>
      <c r="E88" s="102"/>
      <c r="F88" s="102"/>
      <c r="G88" s="99"/>
      <c r="H88" s="4"/>
      <c r="I88" s="4"/>
      <c r="J88" s="4"/>
    </row>
    <row r="89">
      <c r="A89" s="98">
        <v>10759350190</v>
      </c>
      <c r="B89" s="99" t="s">
        <v>351</v>
      </c>
      <c r="C89" s="99" t="s">
        <v>351</v>
      </c>
      <c r="D89" s="100" t="s">
        <v>352</v>
      </c>
      <c r="E89" s="102"/>
      <c r="F89" s="102"/>
      <c r="G89" s="107">
        <v>1</v>
      </c>
      <c r="H89" s="4"/>
      <c r="I89" s="4"/>
      <c r="J89" s="4"/>
    </row>
    <row r="90">
      <c r="A90" s="98">
        <v>3121313122</v>
      </c>
      <c r="B90" s="99" t="s">
        <v>353</v>
      </c>
      <c r="C90" s="99" t="s">
        <v>353</v>
      </c>
      <c r="D90" s="100" t="s">
        <v>354</v>
      </c>
      <c r="E90" s="102"/>
      <c r="F90" s="102"/>
      <c r="G90" s="107">
        <v>3</v>
      </c>
      <c r="H90" s="4"/>
      <c r="I90" s="4"/>
      <c r="J90" s="4"/>
    </row>
    <row r="91">
      <c r="A91" s="98">
        <v>3121291122</v>
      </c>
      <c r="B91" s="99" t="s">
        <v>355</v>
      </c>
      <c r="C91" s="99" t="s">
        <v>355</v>
      </c>
      <c r="D91" s="100" t="s">
        <v>354</v>
      </c>
      <c r="E91" s="102"/>
      <c r="F91" s="102"/>
      <c r="G91" s="107">
        <v>3</v>
      </c>
      <c r="H91" s="4"/>
      <c r="I91" s="4"/>
      <c r="J91" s="4"/>
    </row>
    <row r="92">
      <c r="A92" s="98">
        <v>12172623122</v>
      </c>
      <c r="B92" s="99" t="s">
        <v>356</v>
      </c>
      <c r="C92" s="99" t="s">
        <v>357</v>
      </c>
      <c r="D92" s="100" t="s">
        <v>358</v>
      </c>
      <c r="E92" s="102"/>
      <c r="F92" s="102"/>
      <c r="G92" s="107">
        <v>4</v>
      </c>
      <c r="H92" s="4"/>
      <c r="I92" s="4"/>
      <c r="J92" s="4"/>
    </row>
    <row r="93">
      <c r="A93" s="98">
        <v>11447394216</v>
      </c>
      <c r="B93" s="99" t="s">
        <v>359</v>
      </c>
      <c r="C93" s="99" t="s">
        <v>360</v>
      </c>
      <c r="D93" s="100" t="s">
        <v>358</v>
      </c>
      <c r="E93" s="102"/>
      <c r="F93" s="102"/>
      <c r="G93" s="107">
        <v>3</v>
      </c>
      <c r="H93" s="4"/>
      <c r="I93" s="4"/>
      <c r="J93" s="4"/>
    </row>
    <row r="94">
      <c r="A94" s="98">
        <v>3121305122</v>
      </c>
      <c r="B94" s="99" t="s">
        <v>361</v>
      </c>
      <c r="C94" s="99" t="s">
        <v>362</v>
      </c>
      <c r="D94" s="100" t="s">
        <v>363</v>
      </c>
      <c r="E94" s="102"/>
      <c r="F94" s="102"/>
      <c r="G94" s="107">
        <v>2</v>
      </c>
      <c r="H94" s="4"/>
      <c r="I94" s="4"/>
      <c r="J94" s="4"/>
    </row>
    <row r="95">
      <c r="A95" s="98">
        <v>3121313122</v>
      </c>
      <c r="B95" s="99" t="s">
        <v>353</v>
      </c>
      <c r="C95" s="99" t="s">
        <v>353</v>
      </c>
      <c r="D95" s="100" t="s">
        <v>354</v>
      </c>
      <c r="E95" s="102"/>
      <c r="F95" s="102"/>
      <c r="G95" s="99"/>
      <c r="H95" s="4"/>
      <c r="I95" s="4"/>
      <c r="J95" s="4"/>
    </row>
    <row r="96">
      <c r="A96" s="98">
        <v>3121291122</v>
      </c>
      <c r="B96" s="99" t="s">
        <v>355</v>
      </c>
      <c r="C96" s="99" t="s">
        <v>355</v>
      </c>
      <c r="D96" s="100" t="s">
        <v>354</v>
      </c>
      <c r="E96" s="102"/>
      <c r="F96" s="102"/>
      <c r="G96" s="99"/>
      <c r="H96" s="4"/>
      <c r="I96" s="4"/>
      <c r="J96" s="4"/>
    </row>
    <row r="97">
      <c r="A97" s="98">
        <v>3555941190</v>
      </c>
      <c r="B97" s="99" t="s">
        <v>364</v>
      </c>
      <c r="C97" s="99" t="s">
        <v>364</v>
      </c>
      <c r="D97" s="100" t="s">
        <v>358</v>
      </c>
      <c r="E97" s="102"/>
      <c r="F97" s="102"/>
      <c r="G97" s="99"/>
      <c r="H97" s="4"/>
      <c r="I97" s="4"/>
      <c r="J97" s="4"/>
    </row>
    <row r="98">
      <c r="A98" s="98">
        <v>6533850190</v>
      </c>
      <c r="B98" s="99" t="s">
        <v>365</v>
      </c>
      <c r="C98" s="99" t="s">
        <v>365</v>
      </c>
      <c r="D98" s="100" t="s">
        <v>358</v>
      </c>
      <c r="E98" s="102"/>
      <c r="F98" s="102"/>
      <c r="G98" s="99"/>
      <c r="H98" s="4"/>
      <c r="I98" s="4"/>
      <c r="J98" s="4"/>
    </row>
    <row r="99">
      <c r="A99" s="98">
        <v>12146401216</v>
      </c>
      <c r="B99" s="99" t="s">
        <v>366</v>
      </c>
      <c r="C99" s="99" t="s">
        <v>366</v>
      </c>
      <c r="D99" s="100" t="s">
        <v>367</v>
      </c>
      <c r="E99" s="102"/>
      <c r="F99" s="102"/>
      <c r="G99" s="107">
        <v>2</v>
      </c>
      <c r="H99" s="4"/>
      <c r="I99" s="4"/>
      <c r="J99" s="4"/>
    </row>
    <row r="100">
      <c r="A100" s="98">
        <v>11355279216</v>
      </c>
      <c r="B100" s="99" t="s">
        <v>368</v>
      </c>
      <c r="C100" s="99" t="s">
        <v>368</v>
      </c>
      <c r="D100" s="100" t="s">
        <v>363</v>
      </c>
      <c r="E100" s="102"/>
      <c r="F100" s="102"/>
      <c r="G100" s="107">
        <v>2</v>
      </c>
      <c r="H100" s="4"/>
      <c r="I100" s="4"/>
      <c r="J100" s="4"/>
    </row>
    <row r="101">
      <c r="A101" s="98">
        <v>5117003190</v>
      </c>
      <c r="B101" s="99" t="s">
        <v>369</v>
      </c>
      <c r="C101" s="99" t="s">
        <v>369</v>
      </c>
      <c r="D101" s="100" t="s">
        <v>370</v>
      </c>
      <c r="E101" s="102"/>
      <c r="F101" s="102"/>
      <c r="G101" s="99"/>
      <c r="H101" s="4"/>
      <c r="I101" s="4"/>
      <c r="J101" s="4"/>
    </row>
    <row r="102">
      <c r="A102" s="98">
        <v>5117216190</v>
      </c>
      <c r="B102" s="99" t="s">
        <v>371</v>
      </c>
      <c r="C102" s="99" t="s">
        <v>371</v>
      </c>
      <c r="D102" s="100" t="s">
        <v>370</v>
      </c>
      <c r="E102" s="102"/>
      <c r="F102" s="102"/>
      <c r="G102" s="99"/>
      <c r="H102" s="4"/>
      <c r="I102" s="4"/>
      <c r="J102" s="4"/>
    </row>
    <row r="103">
      <c r="A103" s="98">
        <v>5117208922</v>
      </c>
      <c r="B103" s="99" t="s">
        <v>372</v>
      </c>
      <c r="C103" s="99" t="s">
        <v>372</v>
      </c>
      <c r="D103" s="100" t="s">
        <v>370</v>
      </c>
      <c r="E103" s="102"/>
      <c r="F103" s="102"/>
      <c r="G103" s="99"/>
      <c r="H103" s="4"/>
      <c r="I103" s="4"/>
      <c r="J103" s="4"/>
    </row>
    <row r="104">
      <c r="A104" s="98">
        <v>5117291922</v>
      </c>
      <c r="B104" s="99" t="s">
        <v>373</v>
      </c>
      <c r="C104" s="99" t="s">
        <v>373</v>
      </c>
      <c r="D104" s="100" t="s">
        <v>370</v>
      </c>
      <c r="E104" s="102"/>
      <c r="F104" s="102"/>
      <c r="G104" s="99"/>
      <c r="H104" s="4"/>
      <c r="I104" s="4"/>
      <c r="J104" s="4"/>
    </row>
    <row r="105">
      <c r="A105" s="98">
        <v>20766321322</v>
      </c>
      <c r="B105" s="99" t="s">
        <v>374</v>
      </c>
      <c r="C105" s="99" t="s">
        <v>374</v>
      </c>
      <c r="D105" s="100" t="s">
        <v>375</v>
      </c>
      <c r="E105" s="99"/>
      <c r="F105" s="102"/>
      <c r="G105" s="99"/>
      <c r="H105" s="4"/>
      <c r="I105" s="4"/>
      <c r="J105" s="4"/>
    </row>
    <row r="106">
      <c r="A106" s="98">
        <v>5947626190</v>
      </c>
      <c r="B106" s="99" t="s">
        <v>376</v>
      </c>
      <c r="C106" s="99" t="s">
        <v>376</v>
      </c>
      <c r="D106" s="100" t="s">
        <v>377</v>
      </c>
      <c r="E106" s="102"/>
      <c r="F106" s="99"/>
      <c r="G106" s="107">
        <v>6</v>
      </c>
      <c r="H106" s="4"/>
      <c r="I106" s="4"/>
      <c r="J106" s="4"/>
    </row>
    <row r="107">
      <c r="A107" s="98">
        <v>5947774190</v>
      </c>
      <c r="B107" s="99" t="s">
        <v>378</v>
      </c>
      <c r="C107" s="99" t="s">
        <v>378</v>
      </c>
      <c r="D107" s="100" t="s">
        <v>379</v>
      </c>
      <c r="E107" s="102"/>
      <c r="F107" s="99"/>
      <c r="G107" s="107">
        <v>6</v>
      </c>
      <c r="H107" s="4"/>
      <c r="I107" s="4"/>
      <c r="J107" s="4"/>
    </row>
    <row r="108">
      <c r="A108" s="98">
        <v>4528417190</v>
      </c>
      <c r="B108" s="99" t="s">
        <v>380</v>
      </c>
      <c r="C108" s="99" t="s">
        <v>380</v>
      </c>
      <c r="D108" s="100" t="s">
        <v>381</v>
      </c>
      <c r="E108" s="99"/>
      <c r="F108" s="99"/>
      <c r="G108" s="107">
        <v>2</v>
      </c>
      <c r="H108" s="4"/>
      <c r="I108" s="4"/>
      <c r="J108" s="4"/>
    </row>
    <row r="109">
      <c r="A109" s="98">
        <v>5479207190</v>
      </c>
      <c r="B109" s="99" t="s">
        <v>382</v>
      </c>
      <c r="C109" s="99" t="s">
        <v>382</v>
      </c>
      <c r="D109" s="100" t="s">
        <v>383</v>
      </c>
      <c r="E109" s="102"/>
      <c r="F109" s="99"/>
      <c r="G109" s="107">
        <v>3</v>
      </c>
      <c r="H109" s="4"/>
      <c r="I109" s="4"/>
      <c r="J109" s="4"/>
    </row>
    <row r="110">
      <c r="A110" s="98">
        <v>5912504190</v>
      </c>
      <c r="B110" s="99" t="s">
        <v>384</v>
      </c>
      <c r="C110" s="99" t="s">
        <v>384</v>
      </c>
      <c r="D110" s="100" t="s">
        <v>383</v>
      </c>
      <c r="E110" s="102"/>
      <c r="F110" s="99"/>
      <c r="G110" s="107">
        <v>3</v>
      </c>
      <c r="H110" s="4"/>
      <c r="I110" s="4"/>
      <c r="J110" s="4"/>
    </row>
    <row r="111">
      <c r="A111" s="98">
        <v>5050901190</v>
      </c>
      <c r="B111" s="99" t="s">
        <v>385</v>
      </c>
      <c r="C111" s="99"/>
      <c r="D111" s="100" t="s">
        <v>386</v>
      </c>
      <c r="E111" s="102"/>
      <c r="F111" s="99"/>
      <c r="G111" s="99"/>
      <c r="H111" s="4"/>
      <c r="I111" s="4"/>
      <c r="J111" s="4"/>
    </row>
    <row r="112">
      <c r="A112" s="98">
        <v>5050936190</v>
      </c>
      <c r="B112" s="99" t="s">
        <v>387</v>
      </c>
      <c r="C112" s="99"/>
      <c r="D112" s="100" t="s">
        <v>388</v>
      </c>
      <c r="E112" s="102"/>
      <c r="F112" s="99"/>
      <c r="G112" s="99"/>
      <c r="H112" s="4"/>
      <c r="I112" s="4"/>
      <c r="J112" s="4"/>
    </row>
    <row r="113">
      <c r="A113" s="98">
        <v>8047545190</v>
      </c>
      <c r="B113" s="99" t="s">
        <v>389</v>
      </c>
      <c r="C113" s="99"/>
      <c r="D113" s="100" t="s">
        <v>390</v>
      </c>
      <c r="E113" s="102"/>
      <c r="F113" s="99"/>
      <c r="G113" s="99"/>
      <c r="H113" s="4"/>
      <c r="I113" s="4"/>
      <c r="J113" s="4"/>
    </row>
    <row r="114">
      <c r="A114" s="98">
        <v>8362785190</v>
      </c>
      <c r="B114" s="99" t="s">
        <v>391</v>
      </c>
      <c r="C114" s="99"/>
      <c r="D114" s="100" t="s">
        <v>388</v>
      </c>
      <c r="E114" s="102"/>
      <c r="F114" s="99"/>
      <c r="G114" s="99"/>
      <c r="H114" s="4"/>
      <c r="I114" s="4"/>
      <c r="J114" s="4"/>
    </row>
    <row r="115">
      <c r="A115" s="98">
        <v>5852641190</v>
      </c>
      <c r="B115" s="99" t="s">
        <v>392</v>
      </c>
      <c r="C115" s="99"/>
      <c r="D115" s="100" t="s">
        <v>363</v>
      </c>
      <c r="E115" s="102"/>
      <c r="F115" s="99"/>
      <c r="G115" s="99"/>
      <c r="H115" s="4"/>
      <c r="I115" s="4"/>
      <c r="J115" s="4"/>
    </row>
    <row r="116">
      <c r="A116" s="98">
        <v>5852650190</v>
      </c>
      <c r="B116" s="99" t="s">
        <v>393</v>
      </c>
      <c r="C116" s="99"/>
      <c r="D116" s="100" t="s">
        <v>388</v>
      </c>
      <c r="E116" s="102"/>
      <c r="F116" s="99"/>
      <c r="G116" s="99"/>
      <c r="H116" s="4"/>
      <c r="I116" s="4"/>
      <c r="J116" s="4"/>
    </row>
    <row r="117">
      <c r="A117" s="98">
        <v>4975901190</v>
      </c>
      <c r="B117" s="99" t="s">
        <v>394</v>
      </c>
      <c r="C117" s="99"/>
      <c r="D117" s="100" t="s">
        <v>383</v>
      </c>
      <c r="E117" s="102"/>
      <c r="F117" s="102"/>
      <c r="G117" s="99"/>
      <c r="H117" s="4"/>
      <c r="I117" s="4"/>
      <c r="J117" s="4"/>
    </row>
    <row r="118">
      <c r="A118" s="98">
        <v>6729371190</v>
      </c>
      <c r="B118" s="99" t="s">
        <v>395</v>
      </c>
      <c r="C118" s="99"/>
      <c r="D118" s="100" t="s">
        <v>396</v>
      </c>
      <c r="E118" s="102"/>
      <c r="F118" s="102"/>
      <c r="G118" s="99"/>
      <c r="H118" s="4"/>
      <c r="I118" s="4"/>
      <c r="J118" s="4"/>
    </row>
    <row r="119">
      <c r="A119" s="98">
        <v>5385504190</v>
      </c>
      <c r="B119" s="99" t="s">
        <v>397</v>
      </c>
      <c r="C119" s="99"/>
      <c r="D119" s="100" t="s">
        <v>398</v>
      </c>
      <c r="E119" s="102"/>
      <c r="F119" s="102"/>
      <c r="G119" s="99"/>
      <c r="H119" s="4"/>
      <c r="I119" s="4"/>
      <c r="J119" s="4"/>
    </row>
    <row r="120">
      <c r="A120" s="98">
        <v>5142423190</v>
      </c>
      <c r="B120" s="99" t="s">
        <v>399</v>
      </c>
      <c r="C120" s="99"/>
      <c r="D120" s="100" t="s">
        <v>400</v>
      </c>
      <c r="E120" s="102"/>
      <c r="F120" s="102"/>
      <c r="G120" s="99"/>
      <c r="H120" s="4"/>
      <c r="I120" s="4"/>
      <c r="J120" s="4"/>
    </row>
    <row r="121">
      <c r="A121" s="98">
        <v>20751995190</v>
      </c>
      <c r="B121" s="99" t="s">
        <v>401</v>
      </c>
      <c r="C121" s="99" t="s">
        <v>402</v>
      </c>
      <c r="D121" s="100" t="s">
        <v>403</v>
      </c>
      <c r="E121" s="102"/>
      <c r="F121" s="102"/>
      <c r="G121" s="99"/>
      <c r="H121" s="4"/>
      <c r="I121" s="4"/>
      <c r="J121" s="4"/>
    </row>
    <row r="122">
      <c r="A122" s="98">
        <v>20752401190</v>
      </c>
      <c r="B122" s="99" t="s">
        <v>404</v>
      </c>
      <c r="C122" s="99" t="s">
        <v>405</v>
      </c>
      <c r="D122" s="100" t="s">
        <v>406</v>
      </c>
      <c r="E122" s="102"/>
      <c r="F122" s="102"/>
      <c r="G122" s="99"/>
      <c r="H122" s="4"/>
      <c r="I122" s="4"/>
      <c r="J122" s="4"/>
    </row>
    <row r="123">
      <c r="A123" s="98">
        <v>20753009190</v>
      </c>
      <c r="B123" s="99" t="s">
        <v>407</v>
      </c>
      <c r="C123" s="99" t="s">
        <v>408</v>
      </c>
      <c r="D123" s="100" t="s">
        <v>406</v>
      </c>
      <c r="E123" s="102"/>
      <c r="F123" s="102"/>
      <c r="G123" s="99"/>
      <c r="H123" s="4"/>
      <c r="I123" s="4"/>
      <c r="J123" s="4"/>
    </row>
    <row r="124">
      <c r="A124" s="98">
        <v>11098993122</v>
      </c>
      <c r="B124" s="99" t="s">
        <v>409</v>
      </c>
      <c r="C124" s="99" t="s">
        <v>410</v>
      </c>
      <c r="D124" s="100" t="s">
        <v>358</v>
      </c>
      <c r="E124" s="102"/>
      <c r="F124" s="102"/>
      <c r="G124" s="99"/>
      <c r="H124" s="4"/>
      <c r="I124" s="4"/>
      <c r="J124" s="4"/>
    </row>
    <row r="125">
      <c r="A125" s="98">
        <v>11098985122</v>
      </c>
      <c r="B125" s="99" t="s">
        <v>411</v>
      </c>
      <c r="C125" s="99"/>
      <c r="D125" s="100" t="s">
        <v>358</v>
      </c>
      <c r="E125" s="102"/>
      <c r="F125" s="102"/>
      <c r="G125" s="99"/>
      <c r="H125" s="4"/>
      <c r="I125" s="4"/>
      <c r="J125" s="4"/>
    </row>
    <row r="126">
      <c r="A126" s="98">
        <v>11174118122</v>
      </c>
      <c r="B126" s="99" t="s">
        <v>412</v>
      </c>
      <c r="C126" s="99"/>
      <c r="D126" s="100" t="s">
        <v>358</v>
      </c>
      <c r="E126" s="102"/>
      <c r="F126" s="102"/>
      <c r="G126" s="99"/>
      <c r="H126" s="4"/>
      <c r="I126" s="4"/>
      <c r="J126" s="4"/>
    </row>
    <row r="127">
      <c r="A127" s="98">
        <v>4580044190</v>
      </c>
      <c r="B127" s="99" t="s">
        <v>413</v>
      </c>
      <c r="C127" s="99"/>
      <c r="D127" s="100" t="s">
        <v>358</v>
      </c>
      <c r="E127" s="102"/>
      <c r="F127" s="102"/>
      <c r="G127" s="99"/>
      <c r="H127" s="4"/>
      <c r="I127" s="4"/>
      <c r="J127" s="4"/>
    </row>
    <row r="128">
      <c r="A128" s="98">
        <v>11730835216</v>
      </c>
      <c r="B128" s="99" t="s">
        <v>414</v>
      </c>
      <c r="C128" s="99"/>
      <c r="D128" s="100" t="s">
        <v>400</v>
      </c>
      <c r="E128" s="102"/>
      <c r="F128" s="102"/>
      <c r="G128" s="99"/>
      <c r="H128" s="4"/>
      <c r="I128" s="4"/>
      <c r="J128" s="4"/>
    </row>
    <row r="129">
      <c r="A129" s="98">
        <v>12172828322</v>
      </c>
      <c r="B129" s="99" t="s">
        <v>415</v>
      </c>
      <c r="C129" s="99"/>
      <c r="D129" s="100" t="s">
        <v>363</v>
      </c>
      <c r="E129" s="102"/>
      <c r="F129" s="102"/>
      <c r="G129" s="99"/>
      <c r="H129" s="4"/>
      <c r="I129" s="4"/>
      <c r="J129" s="4"/>
    </row>
    <row r="130">
      <c r="A130" s="98">
        <v>3005496122</v>
      </c>
      <c r="B130" s="99" t="s">
        <v>416</v>
      </c>
      <c r="C130" s="99"/>
      <c r="D130" s="100" t="s">
        <v>417</v>
      </c>
      <c r="E130" s="102"/>
      <c r="F130" s="102"/>
      <c r="G130" s="99"/>
      <c r="H130" s="4"/>
      <c r="I130" s="4"/>
      <c r="J130" s="4"/>
    </row>
    <row r="131">
      <c r="A131" s="98">
        <v>3375790190</v>
      </c>
      <c r="B131" s="99" t="s">
        <v>418</v>
      </c>
      <c r="C131" s="99"/>
      <c r="D131" s="100" t="s">
        <v>419</v>
      </c>
      <c r="E131" s="102"/>
      <c r="F131" s="102"/>
      <c r="G131" s="99"/>
      <c r="H131" s="4"/>
      <c r="I131" s="4"/>
      <c r="J131" s="4"/>
    </row>
    <row r="132">
      <c r="A132" s="98">
        <v>4521536190</v>
      </c>
      <c r="B132" s="99" t="s">
        <v>420</v>
      </c>
      <c r="C132" s="99"/>
      <c r="D132" s="100" t="s">
        <v>421</v>
      </c>
      <c r="E132" s="102"/>
      <c r="F132" s="102"/>
      <c r="G132" s="99"/>
      <c r="H132" s="4"/>
      <c r="I132" s="4"/>
      <c r="J132" s="4"/>
    </row>
    <row r="133">
      <c r="A133" s="108" t="s">
        <v>422</v>
      </c>
      <c r="B133" s="109"/>
      <c r="C133" s="109"/>
      <c r="D133" s="110" t="s">
        <v>423</v>
      </c>
      <c r="E133" s="111"/>
      <c r="F133" s="111"/>
      <c r="G133" s="109"/>
      <c r="H133" s="4"/>
      <c r="I133" s="4"/>
      <c r="J133" s="4"/>
    </row>
    <row r="134">
      <c r="A134" s="98">
        <v>7700814001</v>
      </c>
      <c r="B134" s="99" t="s">
        <v>424</v>
      </c>
      <c r="C134" s="99" t="s">
        <v>425</v>
      </c>
      <c r="D134" s="100"/>
      <c r="E134" s="102"/>
      <c r="F134" s="102"/>
      <c r="G134" s="102"/>
      <c r="H134" s="4"/>
      <c r="I134" s="4"/>
      <c r="J134" s="4"/>
    </row>
    <row r="135">
      <c r="A135" s="98">
        <v>8063311190</v>
      </c>
      <c r="B135" s="99" t="s">
        <v>426</v>
      </c>
      <c r="C135" s="99" t="s">
        <v>427</v>
      </c>
      <c r="D135" s="100"/>
      <c r="E135" s="102"/>
      <c r="F135" s="102"/>
      <c r="G135" s="102"/>
      <c r="H135" s="4"/>
      <c r="I135" s="4"/>
      <c r="J135" s="4"/>
    </row>
    <row r="136">
      <c r="A136" s="98">
        <v>8063001190</v>
      </c>
      <c r="B136" s="99" t="s">
        <v>428</v>
      </c>
      <c r="C136" s="99" t="s">
        <v>427</v>
      </c>
      <c r="D136" s="100"/>
      <c r="E136" s="102"/>
      <c r="F136" s="102"/>
      <c r="G136" s="102"/>
      <c r="H136" s="4"/>
      <c r="I136" s="4"/>
      <c r="J136" s="4"/>
    </row>
    <row r="137">
      <c r="A137" s="98">
        <v>20757144322</v>
      </c>
      <c r="B137" s="99" t="s">
        <v>429</v>
      </c>
      <c r="C137" s="99" t="s">
        <v>427</v>
      </c>
      <c r="D137" s="100">
        <v>25</v>
      </c>
      <c r="E137" s="102"/>
      <c r="F137" s="102"/>
      <c r="G137" s="102"/>
      <c r="H137" s="4"/>
      <c r="I137" s="4"/>
      <c r="J137" s="4"/>
    </row>
    <row r="138">
      <c r="A138" s="98">
        <v>8063354190</v>
      </c>
      <c r="B138" s="99" t="s">
        <v>430</v>
      </c>
      <c r="C138" s="99" t="s">
        <v>427</v>
      </c>
      <c r="D138" s="100">
        <v>40</v>
      </c>
      <c r="E138" s="102"/>
      <c r="F138" s="102"/>
      <c r="G138" s="101">
        <v>24</v>
      </c>
      <c r="H138" s="4"/>
      <c r="I138" s="4"/>
      <c r="J138" s="4"/>
    </row>
    <row r="139">
      <c r="A139" s="98">
        <v>8063451190</v>
      </c>
      <c r="B139" s="99" t="s">
        <v>431</v>
      </c>
      <c r="C139" s="99" t="s">
        <v>427</v>
      </c>
      <c r="D139" s="100">
        <v>120</v>
      </c>
      <c r="E139" s="102"/>
      <c r="F139" s="102"/>
      <c r="G139" s="101">
        <v>20</v>
      </c>
      <c r="H139" s="4"/>
      <c r="I139" s="4"/>
      <c r="J139" s="4"/>
    </row>
    <row r="140">
      <c r="A140" s="98">
        <v>8063494190</v>
      </c>
      <c r="B140" s="99" t="s">
        <v>432</v>
      </c>
      <c r="C140" s="99" t="s">
        <v>427</v>
      </c>
      <c r="D140" s="100">
        <v>123</v>
      </c>
      <c r="E140" s="102"/>
      <c r="F140" s="102"/>
      <c r="G140" s="101">
        <v>8</v>
      </c>
      <c r="H140" s="4"/>
      <c r="I140" s="4"/>
      <c r="J140" s="4"/>
    </row>
    <row r="141">
      <c r="A141" s="98">
        <v>8063478190</v>
      </c>
      <c r="B141" s="99" t="s">
        <v>433</v>
      </c>
      <c r="C141" s="99" t="s">
        <v>427</v>
      </c>
      <c r="D141" s="100">
        <v>123</v>
      </c>
      <c r="E141" s="102"/>
      <c r="F141" s="102"/>
      <c r="G141" s="101">
        <v>3</v>
      </c>
      <c r="H141" s="4"/>
      <c r="I141" s="4"/>
      <c r="J141" s="4"/>
    </row>
    <row r="142">
      <c r="A142" s="98">
        <v>8302723190</v>
      </c>
      <c r="B142" s="99" t="s">
        <v>434</v>
      </c>
      <c r="C142" s="99" t="s">
        <v>435</v>
      </c>
      <c r="D142" s="100" t="s">
        <v>436</v>
      </c>
      <c r="E142" s="102"/>
      <c r="F142" s="102"/>
      <c r="G142" s="101">
        <v>2</v>
      </c>
      <c r="H142" s="4"/>
      <c r="I142" s="4"/>
      <c r="J142" s="4"/>
    </row>
    <row r="143">
      <c r="A143" s="98">
        <v>8463093190</v>
      </c>
      <c r="B143" s="99" t="s">
        <v>437</v>
      </c>
      <c r="C143" s="99" t="s">
        <v>427</v>
      </c>
      <c r="D143" s="100">
        <v>50</v>
      </c>
      <c r="E143" s="102"/>
      <c r="F143" s="102"/>
      <c r="G143" s="101">
        <v>8</v>
      </c>
      <c r="H143" s="4"/>
      <c r="I143" s="4"/>
      <c r="J143" s="4"/>
    </row>
    <row r="144">
      <c r="A144" s="98">
        <v>8302545190</v>
      </c>
      <c r="B144" s="99" t="s">
        <v>438</v>
      </c>
      <c r="C144" s="99" t="s">
        <v>435</v>
      </c>
      <c r="D144" s="100" t="s">
        <v>436</v>
      </c>
      <c r="E144" s="102"/>
      <c r="F144" s="102"/>
      <c r="G144" s="101">
        <v>12</v>
      </c>
      <c r="H144" s="4"/>
      <c r="I144" s="4"/>
      <c r="J144" s="4"/>
    </row>
    <row r="145">
      <c r="A145" s="98">
        <v>4444191001</v>
      </c>
      <c r="B145" s="99" t="s">
        <v>439</v>
      </c>
      <c r="C145" s="112"/>
      <c r="D145" s="100">
        <v>250</v>
      </c>
      <c r="E145" s="102"/>
      <c r="F145" s="102"/>
      <c r="G145" s="113">
        <v>16</v>
      </c>
      <c r="H145" s="4"/>
      <c r="I145" s="4"/>
      <c r="J145" s="4"/>
    </row>
    <row r="146">
      <c r="A146" s="98">
        <v>10394246001</v>
      </c>
      <c r="B146" s="99" t="s">
        <v>440</v>
      </c>
      <c r="C146" s="112"/>
      <c r="D146" s="100">
        <v>5000</v>
      </c>
      <c r="E146" s="102"/>
      <c r="F146" s="112"/>
      <c r="G146" s="114"/>
      <c r="H146" s="4"/>
      <c r="I146" s="4"/>
      <c r="J146" s="4"/>
    </row>
    <row r="147">
      <c r="A147" s="98">
        <v>8463107190</v>
      </c>
      <c r="B147" s="99" t="s">
        <v>441</v>
      </c>
      <c r="C147" s="99" t="s">
        <v>427</v>
      </c>
      <c r="D147" s="100">
        <v>50</v>
      </c>
      <c r="E147" s="102"/>
      <c r="F147" s="102"/>
      <c r="G147" s="101">
        <v>8</v>
      </c>
      <c r="H147" s="4"/>
      <c r="I147" s="4"/>
      <c r="J147" s="4"/>
    </row>
    <row r="148">
      <c r="A148" s="98">
        <v>11488457122</v>
      </c>
      <c r="B148" s="99" t="s">
        <v>442</v>
      </c>
      <c r="C148" s="99"/>
      <c r="D148" s="100" t="s">
        <v>443</v>
      </c>
      <c r="E148" s="102"/>
      <c r="F148" s="102"/>
      <c r="G148" s="102"/>
      <c r="H148" s="4"/>
      <c r="I148" s="4"/>
      <c r="J148" s="4"/>
    </row>
    <row r="149">
      <c r="A149" s="98">
        <v>8059322190</v>
      </c>
      <c r="B149" s="99" t="s">
        <v>444</v>
      </c>
      <c r="C149" s="99" t="s">
        <v>445</v>
      </c>
      <c r="D149" s="100" t="s">
        <v>446</v>
      </c>
      <c r="E149" s="102"/>
      <c r="F149" s="102"/>
      <c r="G149" s="99"/>
      <c r="H149" s="4"/>
      <c r="I149" s="4"/>
      <c r="J149" s="4"/>
    </row>
    <row r="150">
      <c r="A150" s="98">
        <v>8062986190</v>
      </c>
      <c r="B150" s="99" t="s">
        <v>447</v>
      </c>
      <c r="C150" s="99" t="s">
        <v>448</v>
      </c>
      <c r="D150" s="100"/>
      <c r="E150" s="102"/>
      <c r="F150" s="102"/>
      <c r="G150" s="99"/>
      <c r="H150" s="4"/>
      <c r="I150" s="4"/>
      <c r="J150" s="4"/>
    </row>
    <row r="151">
      <c r="A151" s="98">
        <v>5870020001</v>
      </c>
      <c r="B151" s="99" t="s">
        <v>449</v>
      </c>
      <c r="C151" s="112"/>
      <c r="D151" s="100" t="s">
        <v>450</v>
      </c>
      <c r="E151" s="102"/>
      <c r="F151" s="102"/>
      <c r="G151" s="102"/>
      <c r="H151" s="4"/>
      <c r="I151" s="4"/>
      <c r="J151" s="4"/>
    </row>
    <row r="152">
      <c r="A152" s="98">
        <v>4419987001</v>
      </c>
      <c r="B152" s="99" t="s">
        <v>451</v>
      </c>
      <c r="C152" s="112"/>
      <c r="D152" s="100" t="s">
        <v>452</v>
      </c>
      <c r="E152" s="102"/>
      <c r="F152" s="102"/>
      <c r="G152" s="102"/>
      <c r="H152" s="4"/>
      <c r="I152" s="4"/>
      <c r="J152" s="4"/>
    </row>
    <row r="153">
      <c r="A153" s="98">
        <v>4740955001</v>
      </c>
      <c r="B153" s="99" t="s">
        <v>453</v>
      </c>
      <c r="C153" s="112"/>
      <c r="D153" s="100">
        <v>2000</v>
      </c>
      <c r="E153" s="112"/>
      <c r="F153" s="112"/>
      <c r="G153" s="115">
        <v>1</v>
      </c>
      <c r="H153" s="4"/>
      <c r="I153" s="4"/>
      <c r="J153" s="4"/>
    </row>
    <row r="154">
      <c r="A154" s="98">
        <v>4813707001</v>
      </c>
      <c r="B154" s="99" t="s">
        <v>454</v>
      </c>
      <c r="C154" s="116"/>
      <c r="D154" s="106"/>
      <c r="E154" s="116"/>
      <c r="F154" s="116"/>
      <c r="G154" s="107">
        <v>9</v>
      </c>
      <c r="H154" s="4"/>
      <c r="I154" s="4"/>
      <c r="J154" s="4"/>
    </row>
    <row r="155">
      <c r="A155" s="117">
        <v>9033408001</v>
      </c>
      <c r="B155" s="107" t="s">
        <v>455</v>
      </c>
      <c r="C155" s="103" t="s">
        <v>456</v>
      </c>
      <c r="D155" s="106"/>
      <c r="E155" s="116"/>
      <c r="F155" s="116"/>
      <c r="G155" s="107">
        <v>3</v>
      </c>
      <c r="H155" s="4"/>
      <c r="I155" s="4"/>
      <c r="J155" s="4"/>
    </row>
    <row r="156">
      <c r="A156" s="118" t="s">
        <v>457</v>
      </c>
      <c r="B156" s="109"/>
      <c r="C156" s="109"/>
      <c r="D156" s="109"/>
      <c r="E156" s="111"/>
      <c r="F156" s="111"/>
      <c r="G156" s="119"/>
      <c r="H156" s="4"/>
      <c r="I156" s="4"/>
      <c r="J156" s="4"/>
    </row>
    <row r="157">
      <c r="A157" s="98">
        <v>11183974216</v>
      </c>
      <c r="B157" s="99" t="s">
        <v>458</v>
      </c>
      <c r="C157" s="99" t="s">
        <v>459</v>
      </c>
      <c r="D157" s="100" t="s">
        <v>460</v>
      </c>
      <c r="E157" s="102"/>
      <c r="F157" s="102"/>
      <c r="G157" s="101">
        <v>0</v>
      </c>
      <c r="H157" s="4"/>
      <c r="I157" s="4"/>
      <c r="J157" s="4"/>
    </row>
    <row r="158">
      <c r="A158" s="98">
        <v>11183982216</v>
      </c>
      <c r="B158" s="99" t="s">
        <v>461</v>
      </c>
      <c r="C158" s="99" t="s">
        <v>459</v>
      </c>
      <c r="D158" s="100" t="s">
        <v>460</v>
      </c>
      <c r="E158" s="102"/>
      <c r="F158" s="102"/>
      <c r="G158" s="101">
        <v>0</v>
      </c>
      <c r="H158" s="4"/>
      <c r="I158" s="4"/>
      <c r="J158" s="4"/>
    </row>
    <row r="159">
      <c r="A159" s="98">
        <v>11298500316</v>
      </c>
      <c r="B159" s="99" t="s">
        <v>462</v>
      </c>
      <c r="C159" s="99" t="s">
        <v>463</v>
      </c>
      <c r="D159" s="100" t="s">
        <v>464</v>
      </c>
      <c r="E159" s="102"/>
      <c r="F159" s="102"/>
      <c r="G159" s="101">
        <v>0</v>
      </c>
      <c r="H159" s="4"/>
      <c r="I159" s="4"/>
      <c r="J159" s="4"/>
    </row>
    <row r="160">
      <c r="A160" s="98">
        <v>4663632190</v>
      </c>
      <c r="B160" s="99" t="s">
        <v>465</v>
      </c>
      <c r="C160" s="99" t="s">
        <v>466</v>
      </c>
      <c r="D160" s="100" t="s">
        <v>467</v>
      </c>
      <c r="E160" s="102"/>
      <c r="F160" s="102"/>
      <c r="G160" s="101">
        <v>0</v>
      </c>
      <c r="H160" s="4"/>
      <c r="I160" s="4"/>
      <c r="J160" s="4"/>
    </row>
    <row r="161">
      <c r="A161" s="98">
        <v>20763071122</v>
      </c>
      <c r="B161" s="99" t="s">
        <v>468</v>
      </c>
      <c r="C161" s="99" t="s">
        <v>469</v>
      </c>
      <c r="D161" s="100" t="s">
        <v>470</v>
      </c>
      <c r="E161" s="102"/>
      <c r="F161" s="99"/>
      <c r="G161" s="101">
        <v>0</v>
      </c>
      <c r="H161" s="4"/>
      <c r="I161" s="4"/>
      <c r="J161" s="4"/>
    </row>
    <row r="162">
      <c r="A162" s="98">
        <v>4880480190</v>
      </c>
      <c r="B162" s="99" t="s">
        <v>471</v>
      </c>
      <c r="C162" s="99" t="s">
        <v>435</v>
      </c>
      <c r="D162" s="100" t="s">
        <v>436</v>
      </c>
      <c r="E162" s="102"/>
      <c r="F162" s="102"/>
      <c r="G162" s="101">
        <v>10</v>
      </c>
      <c r="H162" s="4"/>
      <c r="I162" s="4"/>
      <c r="J162" s="4"/>
    </row>
    <row r="163">
      <c r="A163" s="98">
        <v>4880455190</v>
      </c>
      <c r="B163" s="99" t="s">
        <v>472</v>
      </c>
      <c r="C163" s="99" t="s">
        <v>435</v>
      </c>
      <c r="D163" s="100" t="s">
        <v>436</v>
      </c>
      <c r="E163" s="102"/>
      <c r="F163" s="102"/>
      <c r="G163" s="101">
        <v>14</v>
      </c>
      <c r="H163" s="4"/>
      <c r="I163" s="4"/>
      <c r="J163" s="4"/>
    </row>
    <row r="164">
      <c r="A164" s="98">
        <v>8392013190</v>
      </c>
      <c r="B164" s="99" t="s">
        <v>473</v>
      </c>
      <c r="C164" s="99" t="s">
        <v>474</v>
      </c>
      <c r="D164" s="100" t="s">
        <v>436</v>
      </c>
      <c r="E164" s="102"/>
      <c r="F164" s="102"/>
      <c r="G164" s="102"/>
      <c r="H164" s="4"/>
      <c r="I164" s="4"/>
      <c r="J164" s="4"/>
    </row>
    <row r="165">
      <c r="A165" s="98">
        <v>10820652216</v>
      </c>
      <c r="B165" s="99" t="s">
        <v>475</v>
      </c>
      <c r="C165" s="99" t="s">
        <v>476</v>
      </c>
      <c r="D165" s="100">
        <v>500</v>
      </c>
      <c r="E165" s="102"/>
      <c r="F165" s="102"/>
      <c r="G165" s="101">
        <v>15</v>
      </c>
      <c r="H165" s="4"/>
      <c r="I165" s="4"/>
      <c r="J165" s="4"/>
    </row>
    <row r="166">
      <c r="A166" s="98">
        <v>3149501001</v>
      </c>
      <c r="B166" s="99" t="s">
        <v>477</v>
      </c>
      <c r="C166" s="99" t="s">
        <v>478</v>
      </c>
      <c r="D166" s="100"/>
      <c r="E166" s="102"/>
      <c r="F166" s="102"/>
      <c r="G166" s="102"/>
      <c r="H166" s="4"/>
      <c r="I166" s="4"/>
      <c r="J166" s="4"/>
    </row>
    <row r="167">
      <c r="A167" s="98">
        <v>10825468001</v>
      </c>
      <c r="B167" s="99" t="s">
        <v>479</v>
      </c>
      <c r="C167" s="99"/>
      <c r="D167" s="100"/>
      <c r="E167" s="102"/>
      <c r="F167" s="102"/>
      <c r="G167" s="102"/>
      <c r="H167" s="4"/>
      <c r="I167" s="4"/>
      <c r="J167" s="4"/>
    </row>
    <row r="168">
      <c r="A168" s="98">
        <v>10825441001</v>
      </c>
      <c r="B168" s="99" t="s">
        <v>480</v>
      </c>
      <c r="C168" s="99"/>
      <c r="D168" s="100"/>
      <c r="E168" s="102"/>
      <c r="F168" s="102"/>
      <c r="G168" s="102"/>
      <c r="H168" s="4"/>
      <c r="I168" s="4"/>
      <c r="J168" s="4"/>
    </row>
    <row r="169">
      <c r="A169" s="98">
        <v>3246353001</v>
      </c>
      <c r="B169" s="99" t="s">
        <v>481</v>
      </c>
      <c r="C169" s="99"/>
      <c r="D169" s="100"/>
      <c r="E169" s="102"/>
      <c r="F169" s="102"/>
      <c r="G169" s="102"/>
      <c r="H169" s="4"/>
      <c r="I169" s="4"/>
      <c r="J169" s="4"/>
    </row>
    <row r="170">
      <c r="A170" s="4"/>
      <c r="B170" s="4"/>
      <c r="C170" s="4"/>
      <c r="D170" s="87"/>
      <c r="E170" s="120"/>
      <c r="F170" s="120"/>
      <c r="G170" s="4"/>
      <c r="H170" s="4"/>
      <c r="I170" s="4"/>
      <c r="J170" s="4"/>
    </row>
    <row r="171">
      <c r="A171" s="4"/>
      <c r="B171" s="4"/>
      <c r="C171" s="4"/>
      <c r="D171" s="87"/>
      <c r="E171" s="120"/>
      <c r="F171" s="120"/>
      <c r="G171" s="4"/>
      <c r="H171" s="4"/>
      <c r="I171" s="4"/>
      <c r="J171" s="4"/>
    </row>
    <row r="172">
      <c r="A172" s="4"/>
      <c r="B172" s="4"/>
      <c r="C172" s="4"/>
      <c r="D172" s="87"/>
      <c r="E172" s="120"/>
      <c r="F172" s="120"/>
      <c r="G172" s="4"/>
      <c r="H172" s="4"/>
      <c r="I172" s="4"/>
      <c r="J172" s="4"/>
    </row>
    <row r="173">
      <c r="A173" s="4"/>
      <c r="B173" s="4"/>
      <c r="C173" s="4"/>
      <c r="D173" s="87"/>
      <c r="E173" s="120"/>
      <c r="F173" s="120"/>
      <c r="G173" s="4"/>
      <c r="H173" s="4"/>
      <c r="I173" s="4"/>
      <c r="J173" s="4"/>
    </row>
    <row r="174">
      <c r="A174" s="4"/>
      <c r="B174" s="4"/>
      <c r="C174" s="4"/>
      <c r="D174" s="87"/>
      <c r="E174" s="120"/>
      <c r="F174" s="120"/>
      <c r="G174" s="4"/>
      <c r="H174" s="4"/>
      <c r="I174" s="4"/>
      <c r="J174" s="4"/>
    </row>
    <row r="175">
      <c r="A175" s="4"/>
      <c r="B175" s="4"/>
      <c r="C175" s="4"/>
      <c r="D175" s="87"/>
      <c r="E175" s="120"/>
      <c r="F175" s="120"/>
      <c r="G175" s="4"/>
      <c r="H175" s="4"/>
      <c r="I175" s="4"/>
      <c r="J175" s="4"/>
    </row>
    <row r="176">
      <c r="A176" s="4"/>
      <c r="B176" s="4"/>
      <c r="C176" s="4"/>
      <c r="D176" s="87"/>
      <c r="E176" s="120"/>
      <c r="F176" s="120"/>
      <c r="G176" s="4"/>
      <c r="H176" s="4"/>
      <c r="I176" s="4"/>
      <c r="J176" s="4"/>
    </row>
    <row r="177">
      <c r="A177" s="4"/>
      <c r="B177" s="4"/>
      <c r="C177" s="4"/>
      <c r="D177" s="87"/>
      <c r="E177" s="120"/>
      <c r="F177" s="120"/>
      <c r="G177" s="4"/>
      <c r="H177" s="4"/>
      <c r="I177" s="4"/>
      <c r="J177" s="4"/>
    </row>
    <row r="178">
      <c r="A178" s="4"/>
      <c r="B178" s="4"/>
      <c r="C178" s="4"/>
      <c r="D178" s="87"/>
      <c r="E178" s="120"/>
      <c r="F178" s="120"/>
      <c r="G178" s="4"/>
      <c r="H178" s="4"/>
      <c r="I178" s="4"/>
      <c r="J178" s="4"/>
    </row>
    <row r="179">
      <c r="A179" s="4"/>
      <c r="B179" s="4"/>
      <c r="C179" s="4"/>
      <c r="D179" s="87"/>
      <c r="E179" s="120"/>
      <c r="F179" s="120"/>
      <c r="G179" s="4"/>
      <c r="H179" s="4"/>
      <c r="I179" s="4"/>
      <c r="J179" s="4"/>
    </row>
    <row r="180">
      <c r="A180" s="4"/>
      <c r="B180" s="4"/>
      <c r="C180" s="4"/>
      <c r="D180" s="87"/>
      <c r="E180" s="120"/>
      <c r="F180" s="120"/>
      <c r="G180" s="4"/>
      <c r="H180" s="4"/>
      <c r="I180" s="4"/>
      <c r="J180" s="4"/>
    </row>
    <row r="181">
      <c r="A181" s="4"/>
      <c r="B181" s="4"/>
      <c r="C181" s="4"/>
      <c r="D181" s="87"/>
      <c r="E181" s="120"/>
      <c r="F181" s="120"/>
      <c r="G181" s="4"/>
      <c r="H181" s="4"/>
      <c r="I181" s="4"/>
      <c r="J181" s="4"/>
    </row>
  </sheetData>
  <mergeCells count="1">
    <mergeCell ref="B8:C8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 mc:Ignorable="x14ac">
  <sheetPr>
    <pageSetUpPr/>
  </sheetPr>
  <sheetViews>
    <sheetView workbookViewId="0">
      <selection pane="topLeft" activeCell="C10" sqref="C10"/>
    </sheetView>
  </sheetViews>
  <sheetFormatPr baseColWidth="8" defaultColWidth="14.43" defaultRowHeight="15"/>
  <cols>
    <col min="1" max="1" width="14.29" customWidth="1"/>
    <col min="2" max="2" width="25.14" customWidth="1"/>
    <col min="3" max="3" width="10.71" customWidth="1"/>
    <col min="4" max="4" width="20.71" customWidth="1"/>
    <col min="5" max="5" width="18.29" customWidth="1"/>
    <col min="6" max="6" width="17.43" customWidth="1"/>
    <col min="7" max="26" width="10.71" customWidth="1"/>
  </cols>
  <sheetData>
    <row r="1">
      <c r="A1" s="85" t="s">
        <v>7</v>
      </c>
      <c r="B1" s="86" t="s">
        <v>6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85" t="s">
        <v>178</v>
      </c>
      <c r="B2" s="87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85" t="s">
        <v>179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85" t="s">
        <v>180</v>
      </c>
      <c r="B4" s="87"/>
      <c r="C4" s="4" t="s">
        <v>181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85" t="s">
        <v>185</v>
      </c>
      <c r="B5" s="87"/>
      <c r="C5" s="4" t="s">
        <v>181</v>
      </c>
      <c r="D5" s="4"/>
      <c r="E5" s="4"/>
      <c r="F5" s="47" t="s">
        <v>482</v>
      </c>
      <c r="G5" s="47" t="s">
        <v>483</v>
      </c>
      <c r="H5" s="47" t="s">
        <v>484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90" t="s">
        <v>186</v>
      </c>
      <c r="B6" s="91" t="s">
        <v>776</v>
      </c>
      <c r="C6" s="92"/>
      <c r="D6" s="92"/>
      <c r="E6" s="93" t="s">
        <v>486</v>
      </c>
      <c r="F6" s="93">
        <v>480</v>
      </c>
      <c r="G6" s="47">
        <v>46</v>
      </c>
      <c r="H6" s="89">
        <v>0.06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ht="11.25" customHeight="1" r="7">
      <c r="A7" s="4"/>
      <c r="B7" s="4"/>
      <c r="C7" s="4"/>
      <c r="D7" s="4"/>
      <c r="E7" s="121" t="s">
        <v>487</v>
      </c>
      <c r="F7" s="47">
        <v>206</v>
      </c>
      <c r="G7" s="47">
        <v>46</v>
      </c>
      <c r="H7" s="89">
        <v>0.03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ht="21" customHeight="1" r="8">
      <c r="A8" s="4"/>
      <c r="B8" s="4"/>
      <c r="C8" s="4"/>
      <c r="D8" s="4"/>
      <c r="E8" s="47" t="s">
        <v>488</v>
      </c>
      <c r="F8" s="47">
        <v>140</v>
      </c>
      <c r="G8" s="47">
        <v>46</v>
      </c>
      <c r="H8" s="89">
        <v>0.03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ht="11.25" customHeight="1" r="9">
      <c r="A9" s="122" t="s">
        <v>189</v>
      </c>
      <c r="B9" s="123" t="s">
        <v>188</v>
      </c>
      <c r="C9" s="123" t="s">
        <v>190</v>
      </c>
      <c r="D9" s="123" t="s">
        <v>777</v>
      </c>
      <c r="E9" s="123" t="s">
        <v>192</v>
      </c>
      <c r="F9" s="123" t="s">
        <v>193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ht="11.25" customHeight="1" r="10">
      <c r="A10" s="124">
        <v>8443432190</v>
      </c>
      <c r="B10" s="125" t="s">
        <v>489</v>
      </c>
      <c r="C10" s="126">
        <v>300</v>
      </c>
      <c r="D10" s="127">
        <v>1200</v>
      </c>
      <c r="E10" s="125">
        <f>(D10+$F$6+$G$6)+(D10*H6)</f>
        <v>1798</v>
      </c>
      <c r="F10" s="125">
        <f>E10/C10</f>
        <v>5.99333333333333</v>
      </c>
      <c r="G10" s="47">
        <v>6</v>
      </c>
      <c r="H10" s="4"/>
      <c r="I10" s="47" t="s">
        <v>490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ht="11.25" customHeight="1" r="11">
      <c r="A11" s="98">
        <v>9007733190</v>
      </c>
      <c r="B11" s="99" t="s">
        <v>491</v>
      </c>
      <c r="C11" s="102">
        <v>300</v>
      </c>
      <c r="D11" s="128">
        <v>200</v>
      </c>
      <c r="E11" s="125">
        <f>(D11+$F$7+$G$7)+(D11*$H$6)</f>
        <v>464</v>
      </c>
      <c r="F11" s="125">
        <f>E11/C11</f>
        <v>1.54666666666667</v>
      </c>
      <c r="G11" s="47">
        <v>2</v>
      </c>
      <c r="H11" s="4"/>
      <c r="I11" s="47" t="s">
        <v>490</v>
      </c>
      <c r="J11" s="47" t="s">
        <v>492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ht="11.25" customHeight="1" r="12">
      <c r="A12" s="98">
        <v>9007784190</v>
      </c>
      <c r="B12" s="99" t="s">
        <v>493</v>
      </c>
      <c r="C12" s="102">
        <v>300</v>
      </c>
      <c r="D12" s="107">
        <v>200</v>
      </c>
      <c r="E12" s="125">
        <f>(D12+$F$7+$G$7)+(D12*$H$6)</f>
        <v>464</v>
      </c>
      <c r="F12" s="125">
        <f>E12/C12</f>
        <v>1.54666666666667</v>
      </c>
      <c r="G12" s="47">
        <v>2</v>
      </c>
      <c r="H12" s="4"/>
      <c r="I12" s="47" t="s">
        <v>490</v>
      </c>
      <c r="J12" s="47" t="s">
        <v>492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ht="11.25" customHeight="1" r="13">
      <c r="A13" s="98">
        <v>9005811190</v>
      </c>
      <c r="B13" s="99" t="s">
        <v>494</v>
      </c>
      <c r="C13" s="102">
        <v>300</v>
      </c>
      <c r="D13" s="107">
        <v>400</v>
      </c>
      <c r="E13" s="125">
        <f>(D13+$F$7+$G$7)+(D13*$H$6)</f>
        <v>676</v>
      </c>
      <c r="F13" s="125">
        <f>E13/C13</f>
        <v>2.25333333333333</v>
      </c>
      <c r="G13" s="47">
        <v>3</v>
      </c>
      <c r="H13" s="4"/>
      <c r="I13" s="47" t="s">
        <v>490</v>
      </c>
      <c r="J13" s="47">
        <v>10220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ht="11.25" customHeight="1" r="14">
      <c r="A14" s="98">
        <v>9043284190</v>
      </c>
      <c r="B14" s="99" t="s">
        <v>495</v>
      </c>
      <c r="C14" s="102">
        <v>300</v>
      </c>
      <c r="D14" s="128">
        <v>600</v>
      </c>
      <c r="E14" s="125">
        <f>(D14+$F$7+$G$7)+(D14*$H$6)</f>
        <v>888</v>
      </c>
      <c r="F14" s="125">
        <f>E14/C14</f>
        <v>2.96</v>
      </c>
      <c r="G14" s="47">
        <v>4</v>
      </c>
      <c r="H14" s="4"/>
      <c r="I14" s="47" t="s">
        <v>490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ht="11.25" customHeight="1" r="15">
      <c r="A15" s="98">
        <v>7028105190</v>
      </c>
      <c r="B15" s="99" t="s">
        <v>496</v>
      </c>
      <c r="C15" s="102">
        <v>100</v>
      </c>
      <c r="D15" s="99"/>
      <c r="E15" s="125"/>
      <c r="F15" s="125">
        <f>E15/C15</f>
        <v>0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ht="11.25" customHeight="1" r="16">
      <c r="A16" s="98">
        <v>8906564190</v>
      </c>
      <c r="B16" s="99" t="s">
        <v>497</v>
      </c>
      <c r="C16" s="102">
        <v>300</v>
      </c>
      <c r="D16" s="107">
        <v>100</v>
      </c>
      <c r="E16" s="125">
        <f>(D16+$F$7+$G$7)+(D16*$H$6)</f>
        <v>358</v>
      </c>
      <c r="F16" s="125">
        <f>E16/C16</f>
        <v>1.19333333333333</v>
      </c>
      <c r="G16" s="47">
        <v>2</v>
      </c>
      <c r="H16" s="85"/>
      <c r="I16" s="47" t="s">
        <v>490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ht="11.25" customHeight="1" r="17">
      <c r="A17" s="98">
        <v>7026935190</v>
      </c>
      <c r="B17" s="99" t="s">
        <v>498</v>
      </c>
      <c r="C17" s="101">
        <v>300</v>
      </c>
      <c r="D17" s="107">
        <v>100</v>
      </c>
      <c r="E17" s="125">
        <f>(D17+$F$7+$G$7)+(D17*$H$6)</f>
        <v>358</v>
      </c>
      <c r="F17" s="125">
        <f>E17/C17</f>
        <v>1.19333333333333</v>
      </c>
      <c r="G17" s="47">
        <v>2</v>
      </c>
      <c r="H17" s="4"/>
      <c r="I17" s="47" t="s">
        <v>499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ht="11.25" customHeight="1" r="18">
      <c r="A18" s="98">
        <v>9005021190</v>
      </c>
      <c r="B18" s="99" t="s">
        <v>500</v>
      </c>
      <c r="C18" s="102">
        <v>300</v>
      </c>
      <c r="D18" s="107">
        <v>100</v>
      </c>
      <c r="E18" s="125">
        <f>(D18+$F$7+$G$7)+(D18*$H$6)</f>
        <v>358</v>
      </c>
      <c r="F18" s="125">
        <f>E18/C18</f>
        <v>1.19333333333333</v>
      </c>
      <c r="G18" s="47">
        <v>2</v>
      </c>
      <c r="H18" s="4"/>
      <c r="I18" s="47" t="s">
        <v>499</v>
      </c>
      <c r="J18" s="4">
        <f>SUM(E10:E115)</f>
        <v>20252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ht="11.25" customHeight="1" r="19">
      <c r="A19" s="98">
        <v>8496633190</v>
      </c>
      <c r="B19" s="99" t="s">
        <v>501</v>
      </c>
      <c r="C19" s="102">
        <v>100</v>
      </c>
      <c r="D19" s="99"/>
      <c r="E19" s="125"/>
      <c r="F19" s="125">
        <f>E19/C19</f>
        <v>0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ht="11.25" customHeight="1" r="20">
      <c r="A20" s="98">
        <v>7027575190</v>
      </c>
      <c r="B20" s="99" t="s">
        <v>502</v>
      </c>
      <c r="C20" s="102">
        <v>300</v>
      </c>
      <c r="D20" s="128">
        <v>100</v>
      </c>
      <c r="E20" s="125">
        <f>(D20+$F$7+$G$7)+(D20*$H$6)</f>
        <v>358</v>
      </c>
      <c r="F20" s="125">
        <f>E20/C20</f>
        <v>1.19333333333333</v>
      </c>
      <c r="G20" s="47">
        <v>2</v>
      </c>
      <c r="H20" s="4"/>
      <c r="I20" s="47" t="s">
        <v>490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ht="11.25" customHeight="1" r="21">
      <c r="A21" s="98">
        <v>8932387190</v>
      </c>
      <c r="B21" s="99" t="s">
        <v>503</v>
      </c>
      <c r="C21" s="102">
        <v>300</v>
      </c>
      <c r="D21" s="107">
        <v>100</v>
      </c>
      <c r="E21" s="125">
        <f>(D21+$F$7+$G$7)+(D21*$H$6)</f>
        <v>358</v>
      </c>
      <c r="F21" s="125">
        <f>E21/C21</f>
        <v>1.19333333333333</v>
      </c>
      <c r="G21" s="47">
        <v>2</v>
      </c>
      <c r="H21" s="4"/>
      <c r="I21" s="47" t="s">
        <v>490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ht="11.25" customHeight="1" r="22">
      <c r="A22" s="98">
        <v>7027249190</v>
      </c>
      <c r="B22" s="99" t="s">
        <v>504</v>
      </c>
      <c r="C22" s="102">
        <v>300</v>
      </c>
      <c r="D22" s="128">
        <v>100</v>
      </c>
      <c r="E22" s="125">
        <f>(D22+$F$7+$G$7)+(D22*$H$6)</f>
        <v>358</v>
      </c>
      <c r="F22" s="125">
        <f>E22/C22</f>
        <v>1.19333333333333</v>
      </c>
      <c r="G22" s="47">
        <v>2</v>
      </c>
      <c r="H22" s="4"/>
      <c r="I22" s="47" t="s">
        <v>490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ht="11.25" customHeight="1" r="23">
      <c r="A23" s="98">
        <v>7027699190</v>
      </c>
      <c r="B23" s="99" t="s">
        <v>505</v>
      </c>
      <c r="C23" s="102">
        <v>300</v>
      </c>
      <c r="D23" s="107">
        <v>100</v>
      </c>
      <c r="E23" s="125">
        <f>(D23+$F$7+$G$7)+(D23*$H$6)</f>
        <v>358</v>
      </c>
      <c r="F23" s="125">
        <f>E23/C23</f>
        <v>1.19333333333333</v>
      </c>
      <c r="G23" s="47">
        <v>2</v>
      </c>
      <c r="H23" s="4"/>
      <c r="I23" s="47" t="s">
        <v>490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ht="11.25" customHeight="1" r="24">
      <c r="A24" s="98">
        <v>7027737190</v>
      </c>
      <c r="B24" s="99" t="s">
        <v>506</v>
      </c>
      <c r="C24" s="102">
        <v>300</v>
      </c>
      <c r="D24" s="128">
        <v>100</v>
      </c>
      <c r="E24" s="125">
        <f>(D24+$F$7+$G$7)+(D24*$H$6)</f>
        <v>358</v>
      </c>
      <c r="F24" s="125">
        <f>E24/C24</f>
        <v>1.19333333333333</v>
      </c>
      <c r="G24" s="47">
        <v>2</v>
      </c>
      <c r="H24" s="4"/>
      <c r="I24" s="47" t="s">
        <v>490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ht="11.25" customHeight="1" r="25">
      <c r="A25" s="98">
        <v>8946370190</v>
      </c>
      <c r="B25" s="99" t="s">
        <v>507</v>
      </c>
      <c r="C25" s="102">
        <v>300</v>
      </c>
      <c r="D25" s="128">
        <v>100</v>
      </c>
      <c r="E25" s="125">
        <f>(D25+$F$7+$G$7)+(D25*$H$6)</f>
        <v>358</v>
      </c>
      <c r="F25" s="125">
        <f>E25/C25</f>
        <v>1.19333333333333</v>
      </c>
      <c r="G25" s="47">
        <v>2</v>
      </c>
      <c r="H25" s="4"/>
      <c r="I25" s="47" t="s">
        <v>490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ht="11.25" customHeight="1" r="26">
      <c r="A26" s="98">
        <v>7258496190</v>
      </c>
      <c r="B26" s="99" t="s">
        <v>508</v>
      </c>
      <c r="C26" s="102">
        <v>300</v>
      </c>
      <c r="D26" s="99"/>
      <c r="E26" s="125"/>
      <c r="F26" s="125">
        <f>E26/C26</f>
        <v>0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ht="11.25" customHeight="1" r="27">
      <c r="A27" s="98">
        <v>7027192190</v>
      </c>
      <c r="B27" s="99" t="s">
        <v>509</v>
      </c>
      <c r="C27" s="102">
        <v>100</v>
      </c>
      <c r="D27" s="99"/>
      <c r="E27" s="125"/>
      <c r="F27" s="125">
        <f>E27/C27</f>
        <v>0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ht="11.25" customHeight="1" r="28">
      <c r="A28" s="98">
        <v>7251025190</v>
      </c>
      <c r="B28" s="99" t="s">
        <v>510</v>
      </c>
      <c r="C28" s="102">
        <v>300</v>
      </c>
      <c r="D28" s="107">
        <v>300</v>
      </c>
      <c r="E28" s="125">
        <f>(D28+$F$7+$G$7)+(D28*$H$6)</f>
        <v>570</v>
      </c>
      <c r="F28" s="125">
        <f>E28/C28</f>
        <v>1.9</v>
      </c>
      <c r="G28" s="47">
        <v>2</v>
      </c>
      <c r="H28" s="4"/>
      <c r="I28" s="47" t="s">
        <v>499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ht="11.25" customHeight="1" r="29">
      <c r="A29" s="98">
        <v>8890595190</v>
      </c>
      <c r="B29" s="99" t="s">
        <v>511</v>
      </c>
      <c r="C29" s="102">
        <v>100</v>
      </c>
      <c r="D29" s="99"/>
      <c r="E29" s="125"/>
      <c r="F29" s="125">
        <f>E29/C29</f>
        <v>0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ht="11.25" customHeight="1" r="30">
      <c r="A30" s="98">
        <v>8860319190</v>
      </c>
      <c r="B30" s="99" t="s">
        <v>512</v>
      </c>
      <c r="C30" s="102">
        <v>100</v>
      </c>
      <c r="D30" s="99"/>
      <c r="E30" s="125"/>
      <c r="F30" s="125">
        <f>E30/C30</f>
        <v>0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ht="11.25" customHeight="1" r="31">
      <c r="A31" s="98">
        <v>8860181190</v>
      </c>
      <c r="B31" s="99" t="s">
        <v>513</v>
      </c>
      <c r="C31" s="102">
        <v>100</v>
      </c>
      <c r="D31" s="99"/>
      <c r="E31" s="125"/>
      <c r="F31" s="125">
        <f>E31/C31</f>
        <v>0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ht="11.25" customHeight="1" r="32">
      <c r="A32" s="98">
        <v>7679840190</v>
      </c>
      <c r="B32" s="99" t="s">
        <v>514</v>
      </c>
      <c r="C32" s="102">
        <v>100</v>
      </c>
      <c r="D32" s="99"/>
      <c r="E32" s="125"/>
      <c r="F32" s="125">
        <f>E32/C32</f>
        <v>0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ht="11.25" customHeight="1" r="33">
      <c r="A33" s="98">
        <v>7027648190</v>
      </c>
      <c r="B33" s="99" t="s">
        <v>515</v>
      </c>
      <c r="C33" s="102">
        <v>100</v>
      </c>
      <c r="D33" s="99"/>
      <c r="E33" s="125"/>
      <c r="F33" s="125">
        <f>E33/C33</f>
        <v>0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ht="11.25" customHeight="1" r="34">
      <c r="A34" s="98">
        <v>7027818190</v>
      </c>
      <c r="B34" s="99" t="s">
        <v>516</v>
      </c>
      <c r="C34" s="102">
        <v>100</v>
      </c>
      <c r="D34" s="99"/>
      <c r="E34" s="125"/>
      <c r="F34" s="125">
        <f>E34/C34</f>
        <v>0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ht="11.25" customHeight="1" r="35">
      <c r="A35" s="98">
        <v>7027168190</v>
      </c>
      <c r="B35" s="99" t="s">
        <v>517</v>
      </c>
      <c r="C35" s="102">
        <v>100</v>
      </c>
      <c r="D35" s="100"/>
      <c r="E35" s="125"/>
      <c r="F35" s="125">
        <f>E35/C35</f>
        <v>0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ht="11.25" customHeight="1" r="36">
      <c r="A36" s="98">
        <v>7027559190</v>
      </c>
      <c r="B36" s="99" t="s">
        <v>518</v>
      </c>
      <c r="C36" s="102">
        <v>100</v>
      </c>
      <c r="D36" s="128">
        <v>100</v>
      </c>
      <c r="E36" s="125">
        <f>(D36+$F$7+$G$7)+(D36*$H$6)</f>
        <v>358</v>
      </c>
      <c r="F36" s="125">
        <f>E36/C36</f>
        <v>3.58</v>
      </c>
      <c r="G36" s="47">
        <v>4</v>
      </c>
      <c r="H36" s="4"/>
      <c r="I36" s="47" t="s">
        <v>519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ht="11.25" customHeight="1" r="37">
      <c r="A37" s="98">
        <v>7027150190</v>
      </c>
      <c r="B37" s="99" t="s">
        <v>520</v>
      </c>
      <c r="C37" s="102">
        <v>300</v>
      </c>
      <c r="D37" s="107">
        <v>100</v>
      </c>
      <c r="E37" s="125">
        <f>(D37+$F$7+$G$7)+(D37*$H$6)</f>
        <v>358</v>
      </c>
      <c r="F37" s="125">
        <f>E37/C37</f>
        <v>1.19333333333333</v>
      </c>
      <c r="G37" s="47">
        <v>2</v>
      </c>
      <c r="H37" s="4"/>
      <c r="I37" s="47" t="s">
        <v>490</v>
      </c>
      <c r="J37" s="47" t="s">
        <v>492</v>
      </c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ht="11.25" customHeight="1" r="38">
      <c r="A38" s="98">
        <v>7682808190</v>
      </c>
      <c r="B38" s="99" t="s">
        <v>521</v>
      </c>
      <c r="C38" s="102">
        <v>300</v>
      </c>
      <c r="D38" s="99"/>
      <c r="E38" s="125"/>
      <c r="F38" s="125">
        <f>E38/C38</f>
        <v>0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ht="11.25" customHeight="1" r="39">
      <c r="A39" s="98">
        <v>8946728190</v>
      </c>
      <c r="B39" s="99" t="s">
        <v>522</v>
      </c>
      <c r="C39" s="102">
        <v>100</v>
      </c>
      <c r="D39" s="99"/>
      <c r="E39" s="125"/>
      <c r="F39" s="125">
        <f>E39/C39</f>
        <v>0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ht="11.25" customHeight="1" r="40">
      <c r="A40" s="98">
        <v>7027486190</v>
      </c>
      <c r="B40" s="99" t="s">
        <v>523</v>
      </c>
      <c r="C40" s="102">
        <v>100</v>
      </c>
      <c r="D40" s="129"/>
      <c r="E40" s="125"/>
      <c r="F40" s="125">
        <f>E40/C40</f>
        <v>0</v>
      </c>
      <c r="G40" s="4"/>
      <c r="H40" s="4"/>
      <c r="I40" s="4"/>
      <c r="J40" s="4"/>
      <c r="K40" s="4"/>
      <c r="L40" s="4"/>
      <c r="M40" s="85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ht="11.25" customHeight="1" r="41">
      <c r="A41" s="98">
        <v>8819378190</v>
      </c>
      <c r="B41" s="99" t="s">
        <v>524</v>
      </c>
      <c r="C41" s="102">
        <v>100</v>
      </c>
      <c r="D41" s="99"/>
      <c r="E41" s="125"/>
      <c r="F41" s="125">
        <f>E41/C41</f>
        <v>0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ht="11.25" customHeight="1" r="42">
      <c r="A42" s="98">
        <v>8818916190</v>
      </c>
      <c r="B42" s="99" t="s">
        <v>525</v>
      </c>
      <c r="C42" s="102">
        <v>100</v>
      </c>
      <c r="D42" s="99"/>
      <c r="E42" s="125"/>
      <c r="F42" s="125">
        <f>E42/C42</f>
        <v>0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ht="11.25" customHeight="1" r="43">
      <c r="A43" s="98">
        <v>8791732190</v>
      </c>
      <c r="B43" s="99" t="s">
        <v>526</v>
      </c>
      <c r="C43" s="102">
        <v>300</v>
      </c>
      <c r="D43" s="107">
        <v>400</v>
      </c>
      <c r="E43" s="125">
        <f>(D43+$F$7+$G$7)+(D43*$H$6)</f>
        <v>676</v>
      </c>
      <c r="F43" s="125">
        <f>E43/C43</f>
        <v>2.25333333333333</v>
      </c>
      <c r="G43" s="47">
        <v>3</v>
      </c>
      <c r="H43" s="4"/>
      <c r="I43" s="47" t="s">
        <v>527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ht="11.25" customHeight="1" r="44">
      <c r="A44" s="98">
        <v>8828610190</v>
      </c>
      <c r="B44" s="99" t="s">
        <v>528</v>
      </c>
      <c r="C44" s="102">
        <v>300</v>
      </c>
      <c r="D44" s="107">
        <v>200</v>
      </c>
      <c r="E44" s="125">
        <f>(D44+$F$7+$G$7)+(D44*$H$6)</f>
        <v>464</v>
      </c>
      <c r="F44" s="125">
        <f>E44/C44</f>
        <v>1.54666666666667</v>
      </c>
      <c r="G44" s="47">
        <v>2</v>
      </c>
      <c r="H44" s="4"/>
      <c r="I44" s="47" t="s">
        <v>527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ht="11.25" customHeight="1" r="45">
      <c r="A45" s="98">
        <v>9015124190</v>
      </c>
      <c r="B45" s="99" t="s">
        <v>529</v>
      </c>
      <c r="C45" s="102">
        <v>300</v>
      </c>
      <c r="D45" s="107">
        <v>100</v>
      </c>
      <c r="E45" s="125">
        <f>(D45+$F$7+$G$7)+(D45*$H$6)</f>
        <v>358</v>
      </c>
      <c r="F45" s="125">
        <f>E45/C45</f>
        <v>1.19333333333333</v>
      </c>
      <c r="G45" s="47">
        <v>2</v>
      </c>
      <c r="H45" s="4"/>
      <c r="I45" s="47" t="s">
        <v>527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ht="11.25" customHeight="1" r="46">
      <c r="A46" s="130" t="s">
        <v>530</v>
      </c>
      <c r="B46" s="131" t="s">
        <v>531</v>
      </c>
      <c r="C46" s="102">
        <v>300</v>
      </c>
      <c r="D46" s="107">
        <v>100</v>
      </c>
      <c r="E46" s="125">
        <f>(D46+$F$7+$G$7)+(D46*$H$6)</f>
        <v>358</v>
      </c>
      <c r="F46" s="125">
        <f>E46/C46</f>
        <v>1.19333333333333</v>
      </c>
      <c r="G46" s="47">
        <v>2</v>
      </c>
      <c r="H46" s="4"/>
      <c r="I46" s="47" t="s">
        <v>527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ht="11.25" customHeight="1" r="47">
      <c r="A47" s="130" t="s">
        <v>532</v>
      </c>
      <c r="B47" s="131" t="s">
        <v>533</v>
      </c>
      <c r="C47" s="102">
        <v>300</v>
      </c>
      <c r="D47" s="107">
        <v>100</v>
      </c>
      <c r="E47" s="125">
        <f>(D47+$F$7+$G$7)+(D47*$H$6)</f>
        <v>358</v>
      </c>
      <c r="F47" s="125">
        <f>E47/C47</f>
        <v>1.19333333333333</v>
      </c>
      <c r="G47" s="47">
        <v>2</v>
      </c>
      <c r="H47" s="4"/>
      <c r="I47" s="47" t="s">
        <v>527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ht="11.25" customHeight="1" r="48">
      <c r="A48" s="98">
        <v>7027001190</v>
      </c>
      <c r="B48" s="99" t="s">
        <v>534</v>
      </c>
      <c r="C48" s="102">
        <v>300</v>
      </c>
      <c r="D48" s="107">
        <v>100</v>
      </c>
      <c r="E48" s="125">
        <f>(D48+$F$7+$G$7)+(D48*$H$6)</f>
        <v>358</v>
      </c>
      <c r="F48" s="125">
        <f>E48/C48</f>
        <v>1.19333333333333</v>
      </c>
      <c r="G48" s="47">
        <v>2</v>
      </c>
      <c r="H48" s="4"/>
      <c r="I48" s="47" t="s">
        <v>527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ht="11.25" customHeight="1" r="49">
      <c r="A49" s="98">
        <v>7027028190</v>
      </c>
      <c r="B49" s="99" t="s">
        <v>535</v>
      </c>
      <c r="C49" s="102">
        <v>300</v>
      </c>
      <c r="D49" s="107">
        <v>100</v>
      </c>
      <c r="E49" s="125">
        <f>(D49+$F$7+$G$7)+(D49*$H$6)</f>
        <v>358</v>
      </c>
      <c r="F49" s="125">
        <f>E49/C49</f>
        <v>1.19333333333333</v>
      </c>
      <c r="G49" s="47">
        <v>2</v>
      </c>
      <c r="H49" s="4"/>
      <c r="I49" s="47" t="s">
        <v>527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ht="11.25" customHeight="1" r="50">
      <c r="A50" s="98">
        <v>7299966190</v>
      </c>
      <c r="B50" s="99" t="s">
        <v>536</v>
      </c>
      <c r="C50" s="102">
        <v>300</v>
      </c>
      <c r="D50" s="107">
        <v>100</v>
      </c>
      <c r="E50" s="125">
        <f>(D50+$F$7+$G$7)+(D50*$H$6)</f>
        <v>358</v>
      </c>
      <c r="F50" s="125">
        <f>E50/C50</f>
        <v>1.19333333333333</v>
      </c>
      <c r="G50" s="47">
        <v>2</v>
      </c>
      <c r="H50" s="4"/>
      <c r="I50" s="47" t="s">
        <v>527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ht="11.25" customHeight="1" r="51">
      <c r="A51" s="98">
        <v>9005706190</v>
      </c>
      <c r="B51" s="99" t="s">
        <v>537</v>
      </c>
      <c r="C51" s="102">
        <v>300</v>
      </c>
      <c r="D51" s="107">
        <v>100</v>
      </c>
      <c r="E51" s="125">
        <f>(D51+$F$7+$G$7)+(D51*$H$6)</f>
        <v>358</v>
      </c>
      <c r="F51" s="125">
        <f>E51/C51</f>
        <v>1.19333333333333</v>
      </c>
      <c r="G51" s="47">
        <v>2</v>
      </c>
      <c r="H51" s="4"/>
      <c r="I51" s="47" t="s">
        <v>527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ht="11.25" customHeight="1" r="52">
      <c r="A52" s="98">
        <v>7299982190</v>
      </c>
      <c r="B52" s="99" t="s">
        <v>538</v>
      </c>
      <c r="C52" s="102">
        <v>300</v>
      </c>
      <c r="D52" s="99"/>
      <c r="E52" s="125"/>
      <c r="F52" s="125">
        <f>E52/C52</f>
        <v>0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ht="11.25" customHeight="1" r="53">
      <c r="A53" s="98">
        <v>8817324190</v>
      </c>
      <c r="B53" s="99" t="s">
        <v>539</v>
      </c>
      <c r="C53" s="102">
        <v>100</v>
      </c>
      <c r="D53" s="99"/>
      <c r="E53" s="125"/>
      <c r="F53" s="125">
        <f>E53/C53</f>
        <v>0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ht="11.25" customHeight="1" r="54">
      <c r="A54" s="98">
        <v>7027478190</v>
      </c>
      <c r="B54" s="99" t="s">
        <v>540</v>
      </c>
      <c r="C54" s="102">
        <v>100</v>
      </c>
      <c r="D54" s="99"/>
      <c r="E54" s="125"/>
      <c r="F54" s="125">
        <f>E54/C54</f>
        <v>0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ht="11.25" customHeight="1" r="55">
      <c r="A55" s="98">
        <v>9015043190</v>
      </c>
      <c r="B55" s="99" t="s">
        <v>541</v>
      </c>
      <c r="C55" s="102">
        <v>300</v>
      </c>
      <c r="D55" s="99"/>
      <c r="E55" s="125"/>
      <c r="F55" s="125">
        <f>E55/C55</f>
        <v>0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ht="11.25" customHeight="1" r="56">
      <c r="A56" s="98">
        <v>9007695190</v>
      </c>
      <c r="B56" s="99" t="s">
        <v>542</v>
      </c>
      <c r="C56" s="102">
        <v>100</v>
      </c>
      <c r="D56" s="99"/>
      <c r="E56" s="125"/>
      <c r="F56" s="125">
        <f>E56/C56</f>
        <v>0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ht="11.25" customHeight="1" r="57">
      <c r="A57" s="98">
        <v>7028253190</v>
      </c>
      <c r="B57" s="99" t="s">
        <v>543</v>
      </c>
      <c r="C57" s="102">
        <v>100</v>
      </c>
      <c r="D57" s="99"/>
      <c r="E57" s="125"/>
      <c r="F57" s="125">
        <f>E57/C57</f>
        <v>0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ht="11.25" customHeight="1" r="58">
      <c r="A58" s="98">
        <v>7027214190</v>
      </c>
      <c r="B58" s="99" t="s">
        <v>544</v>
      </c>
      <c r="C58" s="102">
        <v>100</v>
      </c>
      <c r="D58" s="99"/>
      <c r="E58" s="125"/>
      <c r="F58" s="125">
        <f>E58/C58</f>
        <v>0</v>
      </c>
      <c r="G58" s="4"/>
      <c r="H58" s="4"/>
      <c r="I58" s="4"/>
      <c r="J58" s="4"/>
      <c r="K58" s="4"/>
      <c r="L58" s="4"/>
      <c r="M58" s="4"/>
      <c r="N58" s="85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ht="11.25" customHeight="1" r="59">
      <c r="A59" s="98">
        <v>7027087190</v>
      </c>
      <c r="B59" s="99" t="s">
        <v>545</v>
      </c>
      <c r="C59" s="102">
        <v>100</v>
      </c>
      <c r="D59" s="99"/>
      <c r="E59" s="125"/>
      <c r="F59" s="125">
        <f>E59/C59</f>
        <v>0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ht="11.25" customHeight="1" r="60">
      <c r="A60" s="98">
        <v>7027583190</v>
      </c>
      <c r="B60" s="99" t="s">
        <v>546</v>
      </c>
      <c r="C60" s="102">
        <v>100</v>
      </c>
      <c r="D60" s="99"/>
      <c r="E60" s="125"/>
      <c r="F60" s="125">
        <f>E60/C60</f>
        <v>0</v>
      </c>
      <c r="G60" s="4"/>
      <c r="H60" s="4"/>
      <c r="I60" s="4"/>
      <c r="J60" s="4"/>
      <c r="K60" s="4"/>
      <c r="L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ht="11.25" customHeight="1" r="61">
      <c r="A61" s="98">
        <v>8946809190</v>
      </c>
      <c r="B61" s="99" t="s">
        <v>547</v>
      </c>
      <c r="C61" s="102">
        <v>100</v>
      </c>
      <c r="D61" s="99"/>
      <c r="E61" s="125"/>
      <c r="F61" s="125">
        <f>E61/C61</f>
        <v>0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ht="11.25" customHeight="1" r="62">
      <c r="A62" s="98">
        <v>9315357190</v>
      </c>
      <c r="B62" s="99" t="s">
        <v>548</v>
      </c>
      <c r="C62" s="102">
        <v>300</v>
      </c>
      <c r="D62" s="99"/>
      <c r="E62" s="125"/>
      <c r="F62" s="125">
        <f>E62/C62</f>
        <v>0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ht="11.25" customHeight="1" r="63">
      <c r="A63" s="98">
        <v>7028059190</v>
      </c>
      <c r="B63" s="99" t="s">
        <v>549</v>
      </c>
      <c r="C63" s="102">
        <v>300</v>
      </c>
      <c r="D63" s="107">
        <v>400</v>
      </c>
      <c r="E63" s="125">
        <f>(D63+$F$7+$G$7)+(D63*$H$6)</f>
        <v>676</v>
      </c>
      <c r="F63" s="125">
        <f>E63/C63</f>
        <v>2.25333333333333</v>
      </c>
      <c r="G63" s="47">
        <v>3</v>
      </c>
      <c r="H63" s="4"/>
      <c r="I63" s="47" t="s">
        <v>550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ht="11.25" customHeight="1" r="64">
      <c r="A64" s="98">
        <v>9315284190</v>
      </c>
      <c r="B64" s="99" t="s">
        <v>551</v>
      </c>
      <c r="C64" s="102">
        <v>300</v>
      </c>
      <c r="D64" s="107">
        <v>100</v>
      </c>
      <c r="E64" s="125">
        <f>(D64+$F$7+$G$7)+(D64*$H$6)</f>
        <v>358</v>
      </c>
      <c r="F64" s="125">
        <f>E64/C64</f>
        <v>1.19333333333333</v>
      </c>
      <c r="G64" s="47">
        <v>3</v>
      </c>
      <c r="H64" s="4"/>
      <c r="I64" s="47" t="s">
        <v>552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ht="11.25" customHeight="1" r="65">
      <c r="A65" s="98">
        <v>9005676190</v>
      </c>
      <c r="B65" s="99" t="s">
        <v>553</v>
      </c>
      <c r="C65" s="102">
        <v>100</v>
      </c>
      <c r="D65" s="99"/>
      <c r="E65" s="125"/>
      <c r="F65" s="125">
        <f>E65/C65</f>
        <v>0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ht="11.25" customHeight="1" r="66">
      <c r="A66" s="98">
        <v>9015612190</v>
      </c>
      <c r="B66" s="99" t="s">
        <v>554</v>
      </c>
      <c r="C66" s="102">
        <v>100</v>
      </c>
      <c r="D66" s="107">
        <v>100</v>
      </c>
      <c r="E66" s="125">
        <f>(D66+$F$7+$G$7)+(D66*$H$6)</f>
        <v>358</v>
      </c>
      <c r="F66" s="125">
        <f>E66/C66</f>
        <v>3.58</v>
      </c>
      <c r="G66" s="47">
        <v>3</v>
      </c>
      <c r="H66" s="4"/>
      <c r="I66" s="47" t="s">
        <v>519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ht="11.25" customHeight="1" r="67">
      <c r="A67" s="98">
        <v>7027273190</v>
      </c>
      <c r="B67" s="99" t="s">
        <v>555</v>
      </c>
      <c r="C67" s="102">
        <v>300</v>
      </c>
      <c r="D67" s="107">
        <v>100</v>
      </c>
      <c r="E67" s="125">
        <f>(D67+$F$7+$G$7)+(D67*$H$6)</f>
        <v>358</v>
      </c>
      <c r="F67" s="125">
        <f>E67/C67</f>
        <v>1.19333333333333</v>
      </c>
      <c r="G67" s="47">
        <v>2</v>
      </c>
      <c r="H67" s="4"/>
      <c r="I67" s="47" t="s">
        <v>527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ht="11.25" customHeight="1" r="68">
      <c r="A68" s="98">
        <v>7027290190</v>
      </c>
      <c r="B68" s="99" t="s">
        <v>556</v>
      </c>
      <c r="C68" s="102">
        <v>300</v>
      </c>
      <c r="D68" s="100"/>
      <c r="E68" s="125"/>
      <c r="F68" s="125">
        <f>E68/C68</f>
        <v>0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ht="11.25" customHeight="1" r="69">
      <c r="A69" s="98">
        <v>7028121190</v>
      </c>
      <c r="B69" s="99" t="s">
        <v>557</v>
      </c>
      <c r="C69" s="102">
        <v>300</v>
      </c>
      <c r="D69" s="100"/>
      <c r="E69" s="125"/>
      <c r="F69" s="125">
        <f>E69/C69</f>
        <v>0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ht="11.25" customHeight="1" r="70">
      <c r="A70" s="98">
        <v>7713258190</v>
      </c>
      <c r="B70" s="99" t="s">
        <v>558</v>
      </c>
      <c r="C70" s="102">
        <v>300</v>
      </c>
      <c r="D70" s="99"/>
      <c r="E70" s="125"/>
      <c r="F70" s="125">
        <f>E70/C70</f>
        <v>0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ht="11.25" customHeight="1" r="71">
      <c r="A71" s="98">
        <v>7027516190</v>
      </c>
      <c r="B71" s="99" t="s">
        <v>559</v>
      </c>
      <c r="C71" s="102">
        <v>100</v>
      </c>
      <c r="D71" s="128">
        <v>100</v>
      </c>
      <c r="E71" s="125">
        <f>(D71+$F$7+$G$7)+(D71*$H$6)</f>
        <v>358</v>
      </c>
      <c r="F71" s="125">
        <f>E71/C71</f>
        <v>3.58</v>
      </c>
      <c r="G71" s="47">
        <v>4</v>
      </c>
      <c r="H71" s="4"/>
      <c r="I71" s="47" t="s">
        <v>490</v>
      </c>
      <c r="J71" s="4"/>
      <c r="K71" s="4"/>
      <c r="L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ht="11.25" customHeight="1" r="72">
      <c r="A72" s="98">
        <v>7251068190</v>
      </c>
      <c r="B72" s="99" t="s">
        <v>560</v>
      </c>
      <c r="C72" s="102">
        <v>300</v>
      </c>
      <c r="D72" s="107">
        <v>100</v>
      </c>
      <c r="E72" s="125">
        <f>(D72+$F$7+$G$7)+(D72*$H$6)</f>
        <v>358</v>
      </c>
      <c r="F72" s="125">
        <f>E72/C72</f>
        <v>1.19333333333333</v>
      </c>
      <c r="G72" s="47">
        <v>2</v>
      </c>
      <c r="H72" s="4"/>
      <c r="I72" s="47" t="s">
        <v>561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ht="11.25" customHeight="1" r="73">
      <c r="A73" s="98">
        <v>9005765190</v>
      </c>
      <c r="B73" s="99" t="s">
        <v>562</v>
      </c>
      <c r="C73" s="102">
        <v>100</v>
      </c>
      <c r="D73" s="99"/>
      <c r="E73" s="125"/>
      <c r="F73" s="125">
        <f>E73/C73</f>
        <v>0</v>
      </c>
      <c r="G73" s="47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ht="11.25" customHeight="1" r="74">
      <c r="A74" s="98">
        <v>7027940190</v>
      </c>
      <c r="B74" s="99" t="s">
        <v>563</v>
      </c>
      <c r="C74" s="102">
        <v>100</v>
      </c>
      <c r="D74" s="99"/>
      <c r="E74" s="125"/>
      <c r="F74" s="125">
        <f>E74/C74</f>
        <v>0</v>
      </c>
      <c r="G74" s="47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ht="11.25" customHeight="1" r="75">
      <c r="A75" s="98">
        <v>9005781190</v>
      </c>
      <c r="B75" s="99" t="s">
        <v>564</v>
      </c>
      <c r="C75" s="102">
        <v>100</v>
      </c>
      <c r="D75" s="99"/>
      <c r="E75" s="125"/>
      <c r="F75" s="125">
        <f>E75/C75</f>
        <v>0</v>
      </c>
      <c r="G75" s="47"/>
      <c r="H75" s="47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ht="11.25" customHeight="1" r="76">
      <c r="A76" s="98">
        <v>7027591190</v>
      </c>
      <c r="B76" s="99" t="s">
        <v>565</v>
      </c>
      <c r="C76" s="102">
        <v>100</v>
      </c>
      <c r="D76" s="99"/>
      <c r="E76" s="125"/>
      <c r="F76" s="125">
        <f>E76/C76</f>
        <v>0</v>
      </c>
      <c r="G76" s="47"/>
      <c r="H76" s="4"/>
      <c r="I76" s="4"/>
      <c r="J76" s="4"/>
      <c r="K76" s="4"/>
      <c r="L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ht="11.25" customHeight="1" r="77">
      <c r="A77" s="98">
        <v>7251670190</v>
      </c>
      <c r="B77" s="99" t="s">
        <v>566</v>
      </c>
      <c r="C77" s="102">
        <v>100</v>
      </c>
      <c r="D77" s="99"/>
      <c r="E77" s="125"/>
      <c r="F77" s="125">
        <f>E77/C77</f>
        <v>0</v>
      </c>
      <c r="G77" s="47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ht="11.25" customHeight="1" r="78">
      <c r="A78" s="98">
        <v>9318747190</v>
      </c>
      <c r="B78" s="99" t="s">
        <v>567</v>
      </c>
      <c r="C78" s="102">
        <v>300</v>
      </c>
      <c r="D78" s="107">
        <v>100</v>
      </c>
      <c r="E78" s="125">
        <f>(D78+$F$7+$G$7)+(D78*$H$6)</f>
        <v>358</v>
      </c>
      <c r="F78" s="125">
        <f>E78/C78</f>
        <v>1.19333333333333</v>
      </c>
      <c r="G78" s="47">
        <v>3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ht="11.25" customHeight="1" r="79">
      <c r="A79" s="98">
        <v>9038086190</v>
      </c>
      <c r="B79" s="99" t="s">
        <v>568</v>
      </c>
      <c r="C79" s="102">
        <v>300</v>
      </c>
      <c r="D79" s="99"/>
      <c r="E79" s="125"/>
      <c r="F79" s="125">
        <f>E79/C79</f>
        <v>0</v>
      </c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ht="11.25" customHeight="1" r="80">
      <c r="A80" s="98">
        <v>7475918190</v>
      </c>
      <c r="B80" s="99" t="s">
        <v>569</v>
      </c>
      <c r="C80" s="102">
        <v>100</v>
      </c>
      <c r="D80" s="107">
        <v>100</v>
      </c>
      <c r="E80" s="125">
        <f>(D80+$F$7+$G$7)+(D80*$H$6)</f>
        <v>358</v>
      </c>
      <c r="F80" s="125">
        <f>E80/C80</f>
        <v>3.58</v>
      </c>
      <c r="G80" s="47">
        <v>4</v>
      </c>
      <c r="H80" s="4"/>
      <c r="I80" s="47" t="s">
        <v>570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ht="11.25" customHeight="1" r="81">
      <c r="A81" s="98">
        <v>7574720190</v>
      </c>
      <c r="B81" s="99" t="s">
        <v>571</v>
      </c>
      <c r="C81" s="102">
        <v>100</v>
      </c>
      <c r="D81" s="99"/>
      <c r="E81" s="125"/>
      <c r="F81" s="125">
        <f>E81/C81</f>
        <v>0</v>
      </c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ht="11.25" customHeight="1" r="82">
      <c r="A82" s="98">
        <v>8836973190</v>
      </c>
      <c r="B82" s="99" t="s">
        <v>572</v>
      </c>
      <c r="C82" s="102">
        <v>300</v>
      </c>
      <c r="D82" s="99"/>
      <c r="E82" s="125"/>
      <c r="F82" s="125">
        <f>E82/C82</f>
        <v>0</v>
      </c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ht="11.25" customHeight="1" r="83">
      <c r="A83" s="98">
        <v>8110697190</v>
      </c>
      <c r="B83" s="99" t="s">
        <v>573</v>
      </c>
      <c r="C83" s="102">
        <v>300</v>
      </c>
      <c r="D83" s="99"/>
      <c r="E83" s="125"/>
      <c r="F83" s="125">
        <f>E83/C83</f>
        <v>0</v>
      </c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ht="11.25" customHeight="1" r="84">
      <c r="A84" s="98">
        <v>8086664190</v>
      </c>
      <c r="B84" s="99" t="s">
        <v>574</v>
      </c>
      <c r="C84" s="102">
        <v>300</v>
      </c>
      <c r="D84" s="129"/>
      <c r="E84" s="125"/>
      <c r="F84" s="125">
        <f>E84/C84</f>
        <v>0</v>
      </c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ht="11.25" customHeight="1" r="85">
      <c r="A85" s="98">
        <v>7026773190</v>
      </c>
      <c r="B85" s="99" t="s">
        <v>575</v>
      </c>
      <c r="C85" s="102">
        <v>300</v>
      </c>
      <c r="D85" s="99"/>
      <c r="E85" s="125"/>
      <c r="F85" s="125">
        <f>E85/C85</f>
        <v>0</v>
      </c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ht="11.25" customHeight="1" r="86">
      <c r="A86" s="98">
        <v>8814848190</v>
      </c>
      <c r="B86" s="99" t="s">
        <v>576</v>
      </c>
      <c r="C86" s="102">
        <v>300</v>
      </c>
      <c r="D86" s="128">
        <v>100</v>
      </c>
      <c r="E86" s="125">
        <f>(D86+$F$7+$G$7)+(D86*$H$6)</f>
        <v>358</v>
      </c>
      <c r="F86" s="125">
        <f>E86/C86</f>
        <v>1.19333333333333</v>
      </c>
      <c r="G86" s="47">
        <v>2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ht="11.25" customHeight="1" r="87">
      <c r="A87" s="98">
        <v>8498610190</v>
      </c>
      <c r="B87" s="99" t="s">
        <v>577</v>
      </c>
      <c r="C87" s="102">
        <v>300</v>
      </c>
      <c r="D87" s="107">
        <v>100</v>
      </c>
      <c r="E87" s="125">
        <f>(D87+$F$7+$G$7)+(D87*$H$6)</f>
        <v>358</v>
      </c>
      <c r="F87" s="125">
        <f>E87/C87</f>
        <v>1.19333333333333</v>
      </c>
      <c r="G87" s="47">
        <v>2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ht="11.25" customHeight="1" r="88">
      <c r="A88" s="98">
        <v>7027427190</v>
      </c>
      <c r="B88" s="99" t="s">
        <v>578</v>
      </c>
      <c r="C88" s="102">
        <v>300</v>
      </c>
      <c r="D88" s="99"/>
      <c r="E88" s="125"/>
      <c r="F88" s="125">
        <f>E88/C88</f>
        <v>0</v>
      </c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ht="11.25" customHeight="1" r="89">
      <c r="A89" s="98">
        <v>7026838190</v>
      </c>
      <c r="B89" s="99" t="s">
        <v>579</v>
      </c>
      <c r="C89" s="102">
        <v>300</v>
      </c>
      <c r="D89" s="99"/>
      <c r="E89" s="125"/>
      <c r="F89" s="125">
        <f>E89/C89</f>
        <v>0</v>
      </c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ht="11.25" customHeight="1" r="90">
      <c r="A90" s="98">
        <v>9014926190</v>
      </c>
      <c r="B90" s="99" t="s">
        <v>580</v>
      </c>
      <c r="C90" s="102">
        <v>300</v>
      </c>
      <c r="D90" s="100"/>
      <c r="E90" s="125"/>
      <c r="F90" s="125">
        <f>E90/C90</f>
        <v>0</v>
      </c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ht="11.25" customHeight="1" r="91">
      <c r="A91" s="98">
        <v>7026811190</v>
      </c>
      <c r="B91" s="99" t="s">
        <v>581</v>
      </c>
      <c r="C91" s="102">
        <v>300</v>
      </c>
      <c r="D91" s="99"/>
      <c r="E91" s="125"/>
      <c r="F91" s="125">
        <f>E91/C91</f>
        <v>0</v>
      </c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ht="11.25" customHeight="1" r="92">
      <c r="A92" s="98">
        <v>8837058190</v>
      </c>
      <c r="B92" s="99" t="s">
        <v>582</v>
      </c>
      <c r="C92" s="102">
        <v>300</v>
      </c>
      <c r="D92" s="99"/>
      <c r="E92" s="125"/>
      <c r="F92" s="125">
        <f>E92/C92</f>
        <v>0</v>
      </c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ht="11.25" customHeight="1" r="93">
      <c r="A93" s="98">
        <v>7027770190</v>
      </c>
      <c r="B93" s="112" t="s">
        <v>583</v>
      </c>
      <c r="C93" s="102">
        <v>300</v>
      </c>
      <c r="D93" s="99"/>
      <c r="E93" s="125"/>
      <c r="F93" s="125">
        <f>E93/C93</f>
        <v>0</v>
      </c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ht="11.25" customHeight="1" r="94">
      <c r="A94" s="98">
        <v>7027796190</v>
      </c>
      <c r="B94" s="112" t="s">
        <v>584</v>
      </c>
      <c r="C94" s="102">
        <v>300</v>
      </c>
      <c r="D94" s="107">
        <v>500</v>
      </c>
      <c r="E94" s="125">
        <f>(D94+$F$7+$G$7)+(D94*$H$6)</f>
        <v>782</v>
      </c>
      <c r="F94" s="125">
        <f>E94/C94</f>
        <v>2.60666666666667</v>
      </c>
      <c r="G94" s="47">
        <v>3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ht="11.25" customHeight="1" r="95">
      <c r="A95" s="98">
        <v>7028008190</v>
      </c>
      <c r="B95" s="112" t="s">
        <v>585</v>
      </c>
      <c r="C95" s="102">
        <v>300</v>
      </c>
      <c r="D95" s="107"/>
      <c r="E95" s="125"/>
      <c r="F95" s="125">
        <f>E95/C95</f>
        <v>0</v>
      </c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ht="11.25" customHeight="1" r="96">
      <c r="A96" s="98">
        <v>7027974190</v>
      </c>
      <c r="B96" s="112" t="s">
        <v>586</v>
      </c>
      <c r="C96" s="102">
        <v>100</v>
      </c>
      <c r="D96" s="99"/>
      <c r="E96" s="125"/>
      <c r="F96" s="125">
        <f>E96/C96</f>
        <v>0</v>
      </c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ht="11.25" customHeight="1" r="97">
      <c r="A97" s="98">
        <v>7028024190</v>
      </c>
      <c r="B97" s="132" t="s">
        <v>587</v>
      </c>
      <c r="C97" s="102">
        <v>300</v>
      </c>
      <c r="D97" s="107">
        <v>500</v>
      </c>
      <c r="E97" s="125">
        <f>(D97+$F$7+$G$7)+(D97*$H$6)</f>
        <v>782</v>
      </c>
      <c r="F97" s="125">
        <f>E97/C97</f>
        <v>2.60666666666667</v>
      </c>
      <c r="G97" s="47">
        <v>3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ht="11.25" customHeight="1" r="98">
      <c r="A98" s="98">
        <v>9118551190</v>
      </c>
      <c r="B98" s="112" t="s">
        <v>588</v>
      </c>
      <c r="C98" s="102">
        <v>300</v>
      </c>
      <c r="D98" s="99"/>
      <c r="E98" s="125"/>
      <c r="F98" s="125">
        <f>E98/C98</f>
        <v>0</v>
      </c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ht="11.25" customHeight="1" r="99">
      <c r="A99" s="98">
        <v>9342389190</v>
      </c>
      <c r="B99" s="112" t="s">
        <v>589</v>
      </c>
      <c r="C99" s="102">
        <v>100</v>
      </c>
      <c r="D99" s="99"/>
      <c r="E99" s="125"/>
      <c r="F99" s="125">
        <f>E99/C99</f>
        <v>0</v>
      </c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ht="11.25" customHeight="1" r="100">
      <c r="A100" s="98">
        <v>7027133190</v>
      </c>
      <c r="B100" s="112" t="s">
        <v>590</v>
      </c>
      <c r="C100" s="102">
        <v>300</v>
      </c>
      <c r="D100" s="107">
        <v>500</v>
      </c>
      <c r="E100" s="125">
        <f>(D100+$F$7+$G$7)+(D100*$H$6)</f>
        <v>782</v>
      </c>
      <c r="F100" s="125">
        <f>E100/C100</f>
        <v>2.60666666666667</v>
      </c>
      <c r="G100" s="47">
        <v>3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ht="11.25" customHeight="1" r="101">
      <c r="A101" s="98">
        <v>8948852190</v>
      </c>
      <c r="B101" s="112" t="s">
        <v>591</v>
      </c>
      <c r="C101" s="102">
        <v>100</v>
      </c>
      <c r="D101" s="107">
        <v>500</v>
      </c>
      <c r="E101" s="125">
        <f>(D101+$F$7+$G$7)+(D101*$H$6)</f>
        <v>782</v>
      </c>
      <c r="F101" s="125">
        <f>E101/C101</f>
        <v>7.82</v>
      </c>
      <c r="G101" s="47">
        <v>9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ht="11.25" customHeight="1" r="102">
      <c r="A102" s="98">
        <v>8948909190</v>
      </c>
      <c r="B102" s="112" t="s">
        <v>592</v>
      </c>
      <c r="C102" s="102">
        <v>100</v>
      </c>
      <c r="D102" s="107">
        <v>500</v>
      </c>
      <c r="E102" s="125">
        <f>(D102+$F$7+$G$7)+(D102*$H$6)</f>
        <v>782</v>
      </c>
      <c r="F102" s="125">
        <f>E102/C102</f>
        <v>7.82</v>
      </c>
      <c r="G102" s="47">
        <v>9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ht="11.25" customHeight="1" r="103">
      <c r="A103" s="98">
        <v>8355274190</v>
      </c>
      <c r="B103" s="112" t="s">
        <v>593</v>
      </c>
      <c r="C103" s="102">
        <v>300</v>
      </c>
      <c r="D103" s="100"/>
      <c r="E103" s="125"/>
      <c r="F103" s="125">
        <f>E103/C103</f>
        <v>0</v>
      </c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ht="11.25" customHeight="1" r="104">
      <c r="A104" s="98">
        <v>8355355190</v>
      </c>
      <c r="B104" s="112" t="s">
        <v>594</v>
      </c>
      <c r="C104" s="102">
        <v>300</v>
      </c>
      <c r="D104" s="99"/>
      <c r="E104" s="125"/>
      <c r="F104" s="125">
        <f>E104/C104</f>
        <v>0</v>
      </c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ht="11.25" customHeight="1" r="105">
      <c r="A105" s="98">
        <v>8355380190</v>
      </c>
      <c r="B105" s="112" t="s">
        <v>595</v>
      </c>
      <c r="C105" s="102">
        <v>300</v>
      </c>
      <c r="D105" s="99"/>
      <c r="E105" s="125"/>
      <c r="F105" s="125">
        <f>E105/C105</f>
        <v>0</v>
      </c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ht="11.25" customHeight="1" r="106">
      <c r="A106" s="98">
        <v>9015272190</v>
      </c>
      <c r="B106" s="112" t="s">
        <v>596</v>
      </c>
      <c r="C106" s="102">
        <v>300</v>
      </c>
      <c r="D106" s="99"/>
      <c r="E106" s="125"/>
      <c r="F106" s="125">
        <f>E106/C106</f>
        <v>0</v>
      </c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ht="11.25" customHeight="1" r="107">
      <c r="A107" s="98">
        <v>9015051190</v>
      </c>
      <c r="B107" s="112" t="s">
        <v>597</v>
      </c>
      <c r="C107" s="102">
        <v>300</v>
      </c>
      <c r="D107" s="99"/>
      <c r="E107" s="125"/>
      <c r="F107" s="125">
        <f>E107/C107</f>
        <v>0</v>
      </c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ht="11.25" customHeight="1" r="108">
      <c r="A108" s="98">
        <v>9015582190</v>
      </c>
      <c r="B108" s="112" t="s">
        <v>598</v>
      </c>
      <c r="C108" s="102">
        <v>300</v>
      </c>
      <c r="D108" s="99"/>
      <c r="E108" s="125"/>
      <c r="F108" s="125">
        <f>E108/C108</f>
        <v>0</v>
      </c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ht="11.25" customHeight="1" r="109">
      <c r="A109" s="98">
        <v>9203079190</v>
      </c>
      <c r="B109" s="112" t="s">
        <v>599</v>
      </c>
      <c r="C109" s="102">
        <v>300</v>
      </c>
      <c r="D109" s="99"/>
      <c r="E109" s="125"/>
      <c r="F109" s="125">
        <f>E109/C109</f>
        <v>0</v>
      </c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ht="11.25" customHeight="1" r="110">
      <c r="A110" s="98">
        <v>9289275190</v>
      </c>
      <c r="B110" s="112" t="s">
        <v>600</v>
      </c>
      <c r="C110" s="102">
        <v>300</v>
      </c>
      <c r="D110" s="99"/>
      <c r="E110" s="125"/>
      <c r="F110" s="125">
        <f>E110/C110</f>
        <v>0</v>
      </c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ht="11.25" customHeight="1" r="111">
      <c r="A111" s="98">
        <v>9345299190</v>
      </c>
      <c r="B111" s="112" t="s">
        <v>601</v>
      </c>
      <c r="C111" s="102">
        <v>300</v>
      </c>
      <c r="D111" s="99"/>
      <c r="E111" s="125"/>
      <c r="F111" s="125">
        <f>E111/C111</f>
        <v>0</v>
      </c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ht="11.25" customHeight="1" r="112">
      <c r="A112" s="98">
        <v>7251246190</v>
      </c>
      <c r="B112" s="99" t="s">
        <v>602</v>
      </c>
      <c r="C112" s="102">
        <v>300</v>
      </c>
      <c r="D112" s="99"/>
      <c r="E112" s="125"/>
      <c r="F112" s="125">
        <f>E112/C112</f>
        <v>0</v>
      </c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ht="11.25" customHeight="1" r="113">
      <c r="A113" s="98">
        <v>7027257190</v>
      </c>
      <c r="B113" s="99" t="s">
        <v>603</v>
      </c>
      <c r="C113" s="102">
        <v>100</v>
      </c>
      <c r="D113" s="99"/>
      <c r="E113" s="125"/>
      <c r="F113" s="125">
        <f>E113/C113</f>
        <v>0</v>
      </c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ht="11.25" customHeight="1" r="114">
      <c r="A114" s="98">
        <v>7027834190</v>
      </c>
      <c r="B114" s="99" t="s">
        <v>604</v>
      </c>
      <c r="C114" s="102">
        <v>100</v>
      </c>
      <c r="D114" s="99"/>
      <c r="E114" s="125"/>
      <c r="F114" s="125">
        <f>E114/C114</f>
        <v>0</v>
      </c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ht="11.25" customHeight="1" r="115">
      <c r="A115" s="98">
        <v>7251254190</v>
      </c>
      <c r="B115" s="99" t="s">
        <v>605</v>
      </c>
      <c r="C115" s="102">
        <v>300</v>
      </c>
      <c r="D115" s="99"/>
      <c r="E115" s="125"/>
      <c r="F115" s="125">
        <f>E115/C115</f>
        <v>0</v>
      </c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ht="11.25" customHeight="1" r="116">
      <c r="A116" s="133" t="s">
        <v>606</v>
      </c>
      <c r="B116" s="134"/>
      <c r="C116" s="135" t="s">
        <v>607</v>
      </c>
      <c r="D116" s="134"/>
      <c r="E116" s="134"/>
      <c r="F116" s="125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ht="11.25" customHeight="1" r="117">
      <c r="A117" s="98">
        <v>8443459190</v>
      </c>
      <c r="B117" s="99" t="s">
        <v>608</v>
      </c>
      <c r="C117" s="102" t="s">
        <v>609</v>
      </c>
      <c r="D117" s="99"/>
      <c r="E117" s="99"/>
      <c r="F117" s="136">
        <v>3</v>
      </c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ht="11.25" customHeight="1" r="118">
      <c r="A118" s="98">
        <v>11731548122</v>
      </c>
      <c r="B118" s="99" t="s">
        <v>610</v>
      </c>
      <c r="C118" s="102" t="s">
        <v>383</v>
      </c>
      <c r="D118" s="99"/>
      <c r="E118" s="99"/>
      <c r="F118" s="136">
        <v>3</v>
      </c>
      <c r="G118" s="4"/>
      <c r="H118" s="4"/>
      <c r="I118" s="4"/>
      <c r="J118" s="4"/>
      <c r="K118" s="4"/>
      <c r="L118" s="4"/>
      <c r="M118" s="4"/>
      <c r="N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ht="11.25" customHeight="1" r="119">
      <c r="A119" s="98">
        <v>12017717122</v>
      </c>
      <c r="B119" s="99" t="s">
        <v>611</v>
      </c>
      <c r="C119" s="102" t="s">
        <v>383</v>
      </c>
      <c r="D119" s="99"/>
      <c r="E119" s="99"/>
      <c r="F119" s="136">
        <v>2</v>
      </c>
      <c r="G119" s="4"/>
      <c r="H119" s="4"/>
      <c r="I119" s="4"/>
      <c r="J119" s="4"/>
      <c r="K119" s="4"/>
      <c r="L119" s="4"/>
      <c r="M119" s="4"/>
      <c r="N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ht="11.25" customHeight="1" r="120">
      <c r="A120" s="98">
        <v>9077871190</v>
      </c>
      <c r="B120" s="99" t="s">
        <v>612</v>
      </c>
      <c r="C120" s="102" t="s">
        <v>383</v>
      </c>
      <c r="D120" s="99"/>
      <c r="E120" s="99"/>
      <c r="F120" s="136">
        <v>2</v>
      </c>
      <c r="G120" s="4"/>
      <c r="H120" s="4"/>
      <c r="I120" s="4"/>
      <c r="J120" s="4"/>
      <c r="K120" s="4"/>
      <c r="L120" s="4"/>
      <c r="M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ht="11.25" customHeight="1" r="121">
      <c r="A121" s="98">
        <v>9043292190</v>
      </c>
      <c r="B121" s="99" t="s">
        <v>613</v>
      </c>
      <c r="C121" s="102" t="s">
        <v>383</v>
      </c>
      <c r="D121" s="99"/>
      <c r="E121" s="99"/>
      <c r="F121" s="136">
        <v>2</v>
      </c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ht="11.25" customHeight="1" r="122">
      <c r="A122" s="98">
        <v>6528309190</v>
      </c>
      <c r="B122" s="99" t="s">
        <v>614</v>
      </c>
      <c r="C122" s="102" t="s">
        <v>383</v>
      </c>
      <c r="D122" s="99"/>
      <c r="E122" s="99"/>
      <c r="F122" s="125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ht="11.25" customHeight="1" r="123">
      <c r="A123" s="98">
        <v>8991405190</v>
      </c>
      <c r="B123" s="99" t="s">
        <v>615</v>
      </c>
      <c r="C123" s="102" t="s">
        <v>383</v>
      </c>
      <c r="D123" s="99"/>
      <c r="E123" s="99"/>
      <c r="F123" s="136">
        <v>2</v>
      </c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ht="11.25" customHeight="1" r="124">
      <c r="A124" s="98">
        <v>6472931190</v>
      </c>
      <c r="B124" s="99" t="s">
        <v>616</v>
      </c>
      <c r="C124" s="102" t="s">
        <v>617</v>
      </c>
      <c r="D124" s="99"/>
      <c r="E124" s="99"/>
      <c r="F124" s="136">
        <v>3</v>
      </c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ht="11.25" customHeight="1" r="125">
      <c r="A125" s="98">
        <v>9005030190</v>
      </c>
      <c r="B125" s="99" t="s">
        <v>618</v>
      </c>
      <c r="C125" s="102" t="s">
        <v>617</v>
      </c>
      <c r="D125" s="99"/>
      <c r="E125" s="99"/>
      <c r="F125" s="136">
        <v>2</v>
      </c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ht="15.75" customHeight="1" r="126">
      <c r="A126" s="98">
        <v>8496641190</v>
      </c>
      <c r="B126" s="99" t="s">
        <v>619</v>
      </c>
      <c r="C126" s="102" t="s">
        <v>620</v>
      </c>
      <c r="D126" s="99"/>
      <c r="E126" s="99"/>
      <c r="F126" s="125"/>
      <c r="G126" s="4"/>
      <c r="H126" s="4"/>
    </row>
    <row ht="15.75" customHeight="1" r="127">
      <c r="A127" s="98">
        <v>3561097190</v>
      </c>
      <c r="B127" s="99" t="s">
        <v>621</v>
      </c>
      <c r="C127" s="102" t="s">
        <v>383</v>
      </c>
      <c r="D127" s="99"/>
      <c r="E127" s="99"/>
      <c r="F127" s="136">
        <v>2</v>
      </c>
      <c r="G127" s="4"/>
      <c r="H127" s="4"/>
    </row>
    <row ht="15.75" customHeight="1" r="128">
      <c r="A128" s="98">
        <v>8932417190</v>
      </c>
      <c r="B128" s="99" t="s">
        <v>622</v>
      </c>
      <c r="C128" s="102" t="s">
        <v>383</v>
      </c>
      <c r="D128" s="99"/>
      <c r="E128" s="99"/>
      <c r="F128" s="136">
        <v>2</v>
      </c>
      <c r="G128" s="4"/>
      <c r="H128" s="4"/>
    </row>
    <row ht="15.75" customHeight="1" r="129">
      <c r="A129" s="98">
        <v>6656048190</v>
      </c>
      <c r="B129" s="99" t="s">
        <v>623</v>
      </c>
      <c r="C129" s="102" t="s">
        <v>383</v>
      </c>
      <c r="D129" s="99"/>
      <c r="E129" s="99"/>
      <c r="F129" s="136">
        <v>3</v>
      </c>
      <c r="G129" s="4"/>
      <c r="H129" s="4"/>
    </row>
    <row ht="15.75" customHeight="1" r="130">
      <c r="A130" s="98">
        <v>7092547190</v>
      </c>
      <c r="B130" s="99" t="s">
        <v>624</v>
      </c>
      <c r="C130" s="102" t="s">
        <v>383</v>
      </c>
      <c r="D130" s="99"/>
      <c r="E130" s="99"/>
      <c r="F130" s="136">
        <v>3</v>
      </c>
      <c r="G130" s="4"/>
      <c r="H130" s="4"/>
    </row>
    <row ht="15.75" customHeight="1" r="131">
      <c r="A131" s="98">
        <v>3277356190</v>
      </c>
      <c r="B131" s="99" t="s">
        <v>625</v>
      </c>
      <c r="C131" s="102" t="s">
        <v>383</v>
      </c>
      <c r="D131" s="99"/>
      <c r="E131" s="99"/>
      <c r="F131" s="136">
        <v>2</v>
      </c>
      <c r="G131" s="4"/>
      <c r="H131" s="4"/>
    </row>
    <row ht="15.75" customHeight="1" r="132">
      <c r="A132" s="98">
        <v>5202230190</v>
      </c>
      <c r="B132" s="99" t="s">
        <v>626</v>
      </c>
      <c r="C132" s="102" t="s">
        <v>383</v>
      </c>
      <c r="D132" s="99"/>
      <c r="E132" s="99"/>
      <c r="F132" s="136">
        <v>2</v>
      </c>
      <c r="G132" s="4"/>
      <c r="H132" s="4"/>
    </row>
    <row ht="15.75" customHeight="1" r="133">
      <c r="A133" s="98">
        <v>3052028190</v>
      </c>
      <c r="B133" s="99" t="s">
        <v>627</v>
      </c>
      <c r="C133" s="102" t="s">
        <v>383</v>
      </c>
      <c r="D133" s="99"/>
      <c r="E133" s="99"/>
      <c r="F133" s="125"/>
      <c r="G133" s="4"/>
      <c r="H133" s="4"/>
    </row>
    <row ht="15.75" customHeight="1" r="134">
      <c r="A134" s="98">
        <v>3000095122</v>
      </c>
      <c r="B134" s="99" t="s">
        <v>628</v>
      </c>
      <c r="C134" s="102" t="s">
        <v>383</v>
      </c>
      <c r="D134" s="99"/>
      <c r="E134" s="99"/>
      <c r="F134" s="125"/>
      <c r="G134" s="4"/>
      <c r="H134" s="4"/>
    </row>
    <row ht="15.75" customHeight="1" r="135">
      <c r="A135" s="98">
        <v>3302652190</v>
      </c>
      <c r="B135" s="99" t="s">
        <v>629</v>
      </c>
      <c r="C135" s="102" t="s">
        <v>383</v>
      </c>
      <c r="D135" s="99"/>
      <c r="E135" s="99"/>
      <c r="F135" s="136">
        <v>2</v>
      </c>
      <c r="G135" s="4"/>
      <c r="H135" s="4"/>
    </row>
    <row ht="15.75" customHeight="1" r="136">
      <c r="A136" s="98">
        <v>9013296190</v>
      </c>
      <c r="B136" s="99" t="s">
        <v>630</v>
      </c>
      <c r="C136" s="102" t="s">
        <v>383</v>
      </c>
      <c r="D136" s="99"/>
      <c r="E136" s="99"/>
      <c r="F136" s="125"/>
      <c r="G136" s="4"/>
      <c r="H136" s="4"/>
    </row>
    <row ht="15.75" customHeight="1" r="137">
      <c r="A137" s="98">
        <v>4854080200</v>
      </c>
      <c r="B137" s="112" t="s">
        <v>631</v>
      </c>
      <c r="C137" s="102" t="s">
        <v>383</v>
      </c>
      <c r="D137" s="99"/>
      <c r="E137" s="99"/>
      <c r="F137" s="125"/>
      <c r="G137" s="4"/>
      <c r="H137" s="4"/>
    </row>
    <row ht="15.75" customHeight="1" r="138">
      <c r="A138" s="98">
        <v>4854101200</v>
      </c>
      <c r="B138" s="112" t="s">
        <v>632</v>
      </c>
      <c r="C138" s="102" t="s">
        <v>383</v>
      </c>
      <c r="D138" s="99"/>
      <c r="E138" s="99"/>
      <c r="F138" s="125"/>
      <c r="G138" s="4"/>
      <c r="H138" s="4"/>
    </row>
    <row ht="15.75" customHeight="1" r="139">
      <c r="A139" s="98">
        <v>7679866190</v>
      </c>
      <c r="B139" s="112" t="s">
        <v>633</v>
      </c>
      <c r="C139" s="102" t="s">
        <v>383</v>
      </c>
      <c r="D139" s="99"/>
      <c r="E139" s="99"/>
      <c r="F139" s="125"/>
      <c r="G139" s="4"/>
      <c r="H139" s="4"/>
    </row>
    <row ht="15.75" customHeight="1" r="140">
      <c r="A140" s="98">
        <v>5144701190</v>
      </c>
      <c r="B140" s="99" t="s">
        <v>634</v>
      </c>
      <c r="C140" s="102" t="s">
        <v>383</v>
      </c>
      <c r="D140" s="99"/>
      <c r="E140" s="99"/>
      <c r="F140" s="125"/>
      <c r="G140" s="4"/>
      <c r="H140" s="4"/>
    </row>
    <row ht="15.75" customHeight="1" r="141">
      <c r="A141" s="98">
        <v>5109531190</v>
      </c>
      <c r="B141" s="99" t="s">
        <v>635</v>
      </c>
      <c r="C141" s="102" t="s">
        <v>383</v>
      </c>
      <c r="D141" s="99"/>
      <c r="E141" s="99"/>
      <c r="F141" s="125"/>
      <c r="G141" s="4"/>
      <c r="H141" s="4"/>
    </row>
    <row ht="15.75" customHeight="1" r="142">
      <c r="A142" s="98">
        <v>3184919190</v>
      </c>
      <c r="B142" s="99" t="s">
        <v>636</v>
      </c>
      <c r="C142" s="102" t="s">
        <v>383</v>
      </c>
      <c r="D142" s="99"/>
      <c r="E142" s="99"/>
      <c r="F142" s="125"/>
      <c r="G142" s="4"/>
      <c r="H142" s="4"/>
    </row>
    <row ht="15.75" customHeight="1" r="143">
      <c r="A143" s="98">
        <v>12017504122</v>
      </c>
      <c r="B143" s="99" t="s">
        <v>637</v>
      </c>
      <c r="C143" s="102" t="s">
        <v>383</v>
      </c>
      <c r="D143" s="99"/>
      <c r="E143" s="99"/>
      <c r="F143" s="136">
        <v>2</v>
      </c>
      <c r="G143" s="4"/>
      <c r="H143" s="4"/>
    </row>
    <row ht="15.75" customHeight="1" r="144">
      <c r="A144" s="98">
        <v>6687750190</v>
      </c>
      <c r="B144" s="99" t="s">
        <v>638</v>
      </c>
      <c r="C144" s="102" t="s">
        <v>383</v>
      </c>
      <c r="D144" s="99"/>
      <c r="E144" s="99"/>
      <c r="F144" s="136">
        <v>2</v>
      </c>
      <c r="G144" s="4"/>
      <c r="H144" s="4"/>
    </row>
    <row ht="15.75" customHeight="1" r="145">
      <c r="A145" s="98">
        <v>9290940190</v>
      </c>
      <c r="B145" s="99" t="s">
        <v>639</v>
      </c>
      <c r="C145" s="102" t="s">
        <v>383</v>
      </c>
      <c r="D145" s="99"/>
      <c r="E145" s="99"/>
      <c r="F145" s="125"/>
      <c r="G145" s="4"/>
      <c r="H145" s="4"/>
    </row>
    <row ht="15.75" customHeight="1" r="146">
      <c r="A146" s="98">
        <v>8959820190</v>
      </c>
      <c r="B146" s="99" t="s">
        <v>640</v>
      </c>
      <c r="C146" s="102" t="s">
        <v>383</v>
      </c>
      <c r="D146" s="100"/>
      <c r="E146" s="99"/>
      <c r="F146" s="125"/>
      <c r="G146" s="4"/>
      <c r="H146" s="4"/>
    </row>
    <row ht="15.75" customHeight="1" r="147">
      <c r="A147" s="98">
        <v>5390133190</v>
      </c>
      <c r="B147" s="99" t="s">
        <v>641</v>
      </c>
      <c r="C147" s="102" t="s">
        <v>383</v>
      </c>
      <c r="D147" s="99"/>
      <c r="E147" s="99"/>
      <c r="F147" s="125"/>
      <c r="G147" s="4"/>
      <c r="H147" s="4"/>
    </row>
    <row ht="15.75" customHeight="1" r="148">
      <c r="A148" s="98">
        <v>9013326190</v>
      </c>
      <c r="B148" s="99" t="s">
        <v>642</v>
      </c>
      <c r="C148" s="102" t="s">
        <v>383</v>
      </c>
      <c r="D148" s="99"/>
      <c r="E148" s="99"/>
      <c r="F148" s="125"/>
      <c r="G148" s="4"/>
      <c r="H148" s="4"/>
    </row>
    <row ht="15.75" customHeight="1" r="149">
      <c r="A149" s="98">
        <v>7957203190</v>
      </c>
      <c r="B149" s="99" t="s">
        <v>643</v>
      </c>
      <c r="C149" s="102" t="s">
        <v>383</v>
      </c>
      <c r="D149" s="99"/>
      <c r="E149" s="99"/>
      <c r="F149" s="125"/>
      <c r="G149" s="4"/>
      <c r="H149" s="4"/>
    </row>
    <row ht="15.75" customHeight="1" r="150">
      <c r="A150" s="98">
        <v>8838534190</v>
      </c>
      <c r="B150" s="99" t="s">
        <v>644</v>
      </c>
      <c r="C150" s="102" t="s">
        <v>383</v>
      </c>
      <c r="D150" s="99"/>
      <c r="E150" s="99"/>
      <c r="F150" s="136">
        <v>2</v>
      </c>
      <c r="G150" s="4"/>
      <c r="H150" s="4"/>
    </row>
    <row ht="15.75" customHeight="1" r="151">
      <c r="A151" s="98">
        <v>8851964190</v>
      </c>
      <c r="B151" s="99" t="s">
        <v>645</v>
      </c>
      <c r="C151" s="102" t="s">
        <v>383</v>
      </c>
      <c r="D151" s="99"/>
      <c r="E151" s="99"/>
      <c r="F151" s="136">
        <v>2</v>
      </c>
      <c r="G151" s="4"/>
      <c r="H151" s="4"/>
    </row>
    <row ht="15.75" customHeight="1" r="152">
      <c r="A152" s="98">
        <v>9227261190</v>
      </c>
      <c r="B152" s="99" t="s">
        <v>646</v>
      </c>
      <c r="C152" s="102" t="s">
        <v>383</v>
      </c>
      <c r="D152" s="99"/>
      <c r="E152" s="99"/>
      <c r="F152" s="136">
        <v>2</v>
      </c>
      <c r="G152" s="4"/>
      <c r="H152" s="4"/>
    </row>
    <row ht="15.75" customHeight="1" r="153">
      <c r="A153" s="98">
        <v>11731645322</v>
      </c>
      <c r="B153" s="99" t="s">
        <v>647</v>
      </c>
      <c r="C153" s="102" t="s">
        <v>383</v>
      </c>
      <c r="D153" s="99"/>
      <c r="E153" s="99"/>
      <c r="F153" s="136">
        <v>2</v>
      </c>
      <c r="G153" s="4"/>
      <c r="H153" s="4"/>
    </row>
    <row ht="15.75" customHeight="1" r="154">
      <c r="A154" s="98">
        <v>7030207190</v>
      </c>
      <c r="B154" s="99" t="s">
        <v>648</v>
      </c>
      <c r="C154" s="102" t="s">
        <v>383</v>
      </c>
      <c r="D154" s="99"/>
      <c r="E154" s="99"/>
      <c r="F154" s="136">
        <v>2</v>
      </c>
      <c r="G154" s="4"/>
      <c r="H154" s="4"/>
    </row>
    <row ht="15.75" customHeight="1" r="155">
      <c r="A155" s="98">
        <v>3045846122</v>
      </c>
      <c r="B155" s="99" t="s">
        <v>649</v>
      </c>
      <c r="C155" s="102" t="s">
        <v>383</v>
      </c>
      <c r="D155" s="99"/>
      <c r="E155" s="99"/>
      <c r="F155" s="136">
        <v>2</v>
      </c>
      <c r="G155" s="4"/>
      <c r="H155" s="4"/>
    </row>
    <row ht="15.75" customHeight="1" r="156">
      <c r="A156" s="98">
        <v>11776215122</v>
      </c>
      <c r="B156" s="99" t="s">
        <v>650</v>
      </c>
      <c r="C156" s="102" t="s">
        <v>383</v>
      </c>
      <c r="D156" s="99"/>
      <c r="E156" s="99"/>
      <c r="F156" s="136">
        <v>2</v>
      </c>
      <c r="G156" s="4"/>
      <c r="H156" s="4"/>
    </row>
    <row ht="15.75" customHeight="1" r="157">
      <c r="A157" s="98">
        <v>11820974322</v>
      </c>
      <c r="B157" s="99" t="s">
        <v>651</v>
      </c>
      <c r="C157" s="102" t="s">
        <v>383</v>
      </c>
      <c r="D157" s="99"/>
      <c r="E157" s="99"/>
      <c r="F157" s="136">
        <v>2</v>
      </c>
      <c r="G157" s="4"/>
      <c r="H157" s="4"/>
    </row>
    <row ht="15.75" customHeight="1" r="158">
      <c r="A158" s="98">
        <v>9175130190</v>
      </c>
      <c r="B158" s="99" t="s">
        <v>652</v>
      </c>
      <c r="C158" s="102" t="s">
        <v>383</v>
      </c>
      <c r="D158" s="99"/>
      <c r="E158" s="99"/>
      <c r="F158" s="136">
        <v>2</v>
      </c>
      <c r="G158" s="4"/>
      <c r="H158" s="4"/>
    </row>
    <row ht="15.75" customHeight="1" r="159">
      <c r="A159" s="98">
        <v>12133121122</v>
      </c>
      <c r="B159" s="99" t="s">
        <v>653</v>
      </c>
      <c r="C159" s="102" t="s">
        <v>383</v>
      </c>
      <c r="D159" s="99"/>
      <c r="E159" s="99"/>
      <c r="F159" s="125"/>
      <c r="G159" s="4"/>
      <c r="H159" s="4"/>
    </row>
    <row ht="15.75" customHeight="1" r="160">
      <c r="A160" s="98">
        <v>3289834190</v>
      </c>
      <c r="B160" s="99" t="s">
        <v>654</v>
      </c>
      <c r="C160" s="102" t="s">
        <v>383</v>
      </c>
      <c r="D160" s="99"/>
      <c r="E160" s="99"/>
      <c r="F160" s="125"/>
      <c r="G160" s="4"/>
      <c r="H160" s="4"/>
    </row>
    <row ht="15.75" customHeight="1" r="161">
      <c r="A161" s="98">
        <v>5950945190</v>
      </c>
      <c r="B161" s="99" t="s">
        <v>655</v>
      </c>
      <c r="C161" s="102" t="s">
        <v>383</v>
      </c>
      <c r="D161" s="99"/>
      <c r="E161" s="99"/>
      <c r="F161" s="125"/>
      <c r="G161" s="4"/>
      <c r="H161" s="4"/>
    </row>
    <row ht="15.75" customHeight="1" r="162">
      <c r="A162" s="98">
        <v>8333637190</v>
      </c>
      <c r="B162" s="99" t="s">
        <v>656</v>
      </c>
      <c r="C162" s="102" t="s">
        <v>383</v>
      </c>
      <c r="D162" s="99"/>
      <c r="E162" s="99"/>
      <c r="F162" s="125"/>
      <c r="G162" s="4"/>
      <c r="H162" s="4"/>
    </row>
    <row ht="15.75" customHeight="1" r="163">
      <c r="A163" s="98">
        <v>6505970190</v>
      </c>
      <c r="B163" s="99" t="s">
        <v>657</v>
      </c>
      <c r="C163" s="102" t="s">
        <v>383</v>
      </c>
      <c r="D163" s="99"/>
      <c r="E163" s="99"/>
      <c r="F163" s="125"/>
      <c r="G163" s="4"/>
      <c r="H163" s="4"/>
    </row>
    <row ht="15.75" customHeight="1" r="164">
      <c r="A164" s="98">
        <v>7126999190</v>
      </c>
      <c r="B164" s="99" t="s">
        <v>658</v>
      </c>
      <c r="C164" s="102" t="s">
        <v>383</v>
      </c>
      <c r="D164" s="99"/>
      <c r="E164" s="99"/>
      <c r="F164" s="125"/>
      <c r="G164" s="4"/>
      <c r="H164" s="4"/>
    </row>
    <row ht="15.75" customHeight="1" r="165">
      <c r="A165" s="98">
        <v>11820907322</v>
      </c>
      <c r="B165" s="99" t="s">
        <v>659</v>
      </c>
      <c r="C165" s="102" t="s">
        <v>617</v>
      </c>
      <c r="D165" s="99"/>
      <c r="E165" s="99"/>
      <c r="F165" s="125"/>
      <c r="G165" s="4"/>
      <c r="H165" s="4"/>
    </row>
    <row ht="15.75" customHeight="1" r="166">
      <c r="A166" s="98">
        <v>7394667190</v>
      </c>
      <c r="B166" s="99" t="s">
        <v>660</v>
      </c>
      <c r="C166" s="102" t="s">
        <v>383</v>
      </c>
      <c r="D166" s="99"/>
      <c r="E166" s="99"/>
      <c r="F166" s="125"/>
      <c r="G166" s="4"/>
      <c r="H166" s="4"/>
    </row>
    <row ht="15.75" customHeight="1" r="167">
      <c r="A167" s="98">
        <v>7394675190</v>
      </c>
      <c r="B167" s="99" t="s">
        <v>661</v>
      </c>
      <c r="C167" s="102" t="s">
        <v>383</v>
      </c>
      <c r="D167" s="99"/>
      <c r="E167" s="99"/>
      <c r="F167" s="125"/>
      <c r="G167" s="4"/>
      <c r="H167" s="4"/>
      <c r="J167" s="137"/>
    </row>
    <row ht="15.75" customHeight="1" r="168">
      <c r="A168" s="98">
        <v>7125941190</v>
      </c>
      <c r="B168" s="99" t="s">
        <v>662</v>
      </c>
      <c r="C168" s="102" t="s">
        <v>383</v>
      </c>
      <c r="D168" s="99"/>
      <c r="E168" s="99"/>
      <c r="F168" s="125"/>
      <c r="G168" s="4"/>
      <c r="H168" s="4"/>
    </row>
    <row ht="15.75" customHeight="1" r="169">
      <c r="A169" s="98">
        <v>9315373190</v>
      </c>
      <c r="B169" s="99" t="s">
        <v>663</v>
      </c>
      <c r="C169" s="102" t="s">
        <v>383</v>
      </c>
      <c r="D169" s="99"/>
      <c r="E169" s="99"/>
      <c r="F169" s="125"/>
      <c r="G169" s="4"/>
      <c r="H169" s="4"/>
    </row>
    <row ht="15.75" customHeight="1" r="170">
      <c r="A170" s="98">
        <v>7439547190</v>
      </c>
      <c r="B170" s="99" t="s">
        <v>664</v>
      </c>
      <c r="C170" s="102" t="s">
        <v>383</v>
      </c>
      <c r="D170" s="99"/>
      <c r="E170" s="99"/>
      <c r="F170" s="136">
        <v>3</v>
      </c>
      <c r="G170" s="4"/>
      <c r="H170" s="4"/>
    </row>
    <row ht="15.75" customHeight="1" r="171">
      <c r="A171" s="98">
        <v>9315314190</v>
      </c>
      <c r="B171" s="99" t="s">
        <v>665</v>
      </c>
      <c r="C171" s="102" t="s">
        <v>383</v>
      </c>
      <c r="D171" s="99"/>
      <c r="E171" s="99"/>
      <c r="F171" s="136">
        <v>3</v>
      </c>
      <c r="G171" s="4"/>
      <c r="H171" s="4"/>
    </row>
    <row ht="15.75" customHeight="1" r="172">
      <c r="A172" s="98">
        <v>9005684190</v>
      </c>
      <c r="B172" s="99" t="s">
        <v>666</v>
      </c>
      <c r="C172" s="102" t="s">
        <v>383</v>
      </c>
      <c r="D172" s="99"/>
      <c r="E172" s="99"/>
      <c r="F172" s="125"/>
      <c r="G172" s="4"/>
      <c r="H172" s="4"/>
    </row>
    <row ht="15.75" customHeight="1" r="173">
      <c r="A173" s="98">
        <v>5109469190</v>
      </c>
      <c r="B173" s="99" t="s">
        <v>667</v>
      </c>
      <c r="C173" s="102" t="s">
        <v>620</v>
      </c>
      <c r="D173" s="99"/>
      <c r="E173" s="99"/>
      <c r="F173" s="136">
        <v>2</v>
      </c>
      <c r="G173" s="4"/>
      <c r="H173" s="4"/>
    </row>
    <row ht="15.75" customHeight="1" r="174">
      <c r="A174" s="98">
        <v>3737586190</v>
      </c>
      <c r="B174" s="99" t="s">
        <v>668</v>
      </c>
      <c r="C174" s="102" t="s">
        <v>383</v>
      </c>
      <c r="D174" s="99"/>
      <c r="E174" s="107"/>
      <c r="F174" s="136">
        <v>2</v>
      </c>
      <c r="G174" s="4"/>
      <c r="H174" s="4"/>
    </row>
    <row ht="15.75" customHeight="1" r="175">
      <c r="A175" s="98">
        <v>7396473190</v>
      </c>
      <c r="B175" s="99" t="s">
        <v>669</v>
      </c>
      <c r="C175" s="102" t="s">
        <v>383</v>
      </c>
      <c r="D175" s="99"/>
      <c r="E175" s="99"/>
      <c r="F175" s="125"/>
      <c r="G175" s="4"/>
      <c r="H175" s="4"/>
    </row>
    <row ht="15.75" customHeight="1" r="176">
      <c r="A176" s="98">
        <v>7212780190</v>
      </c>
      <c r="B176" s="99" t="s">
        <v>670</v>
      </c>
      <c r="C176" s="102" t="s">
        <v>383</v>
      </c>
      <c r="D176" s="99"/>
      <c r="E176" s="99"/>
      <c r="F176" s="125"/>
      <c r="G176" s="4"/>
      <c r="H176" s="4"/>
    </row>
    <row ht="15.75" customHeight="1" r="177">
      <c r="A177" s="98">
        <v>7726350190</v>
      </c>
      <c r="B177" s="99" t="s">
        <v>671</v>
      </c>
      <c r="C177" s="102" t="s">
        <v>383</v>
      </c>
      <c r="D177" s="99"/>
      <c r="E177" s="99"/>
      <c r="F177" s="125"/>
      <c r="G177" s="4"/>
      <c r="H177" s="4"/>
    </row>
    <row ht="15.75" customHeight="1" r="178">
      <c r="A178" s="98">
        <v>11930427122</v>
      </c>
      <c r="B178" s="99" t="s">
        <v>672</v>
      </c>
      <c r="C178" s="102" t="s">
        <v>383</v>
      </c>
      <c r="D178" s="99"/>
      <c r="E178" s="99"/>
      <c r="F178" s="136">
        <v>2</v>
      </c>
      <c r="G178" s="4"/>
      <c r="H178" s="4"/>
    </row>
    <row ht="15.75" customHeight="1" r="179">
      <c r="A179" s="98">
        <v>8243891190</v>
      </c>
      <c r="B179" s="99" t="s">
        <v>673</v>
      </c>
      <c r="C179" s="102" t="s">
        <v>383</v>
      </c>
      <c r="D179" s="99"/>
      <c r="E179" s="99"/>
      <c r="F179" s="136">
        <v>2</v>
      </c>
      <c r="G179" s="4"/>
      <c r="H179" s="4"/>
    </row>
    <row ht="15.75" customHeight="1" r="180">
      <c r="A180" s="98">
        <v>5608554190</v>
      </c>
      <c r="B180" s="99" t="s">
        <v>674</v>
      </c>
      <c r="C180" s="102" t="s">
        <v>383</v>
      </c>
      <c r="D180" s="99"/>
      <c r="E180" s="99"/>
      <c r="F180" s="125"/>
      <c r="G180" s="4"/>
      <c r="H180" s="4"/>
    </row>
    <row ht="15.75" customHeight="1" r="181">
      <c r="A181" s="98">
        <v>3141080190</v>
      </c>
      <c r="B181" s="99" t="s">
        <v>675</v>
      </c>
      <c r="C181" s="102" t="s">
        <v>383</v>
      </c>
      <c r="D181" s="99"/>
      <c r="E181" s="99"/>
      <c r="F181" s="125"/>
      <c r="G181" s="4"/>
      <c r="H181" s="4"/>
    </row>
    <row ht="15.75" customHeight="1" r="182">
      <c r="A182" s="98">
        <v>11972316122</v>
      </c>
      <c r="B182" s="99" t="s">
        <v>676</v>
      </c>
      <c r="C182" s="102" t="s">
        <v>383</v>
      </c>
      <c r="D182" s="99"/>
      <c r="E182" s="99"/>
      <c r="F182" s="125"/>
      <c r="G182" s="4"/>
      <c r="H182" s="4"/>
    </row>
    <row ht="15.75" customHeight="1" r="183">
      <c r="A183" s="98">
        <v>11972111122</v>
      </c>
      <c r="B183" s="99" t="s">
        <v>677</v>
      </c>
      <c r="C183" s="102" t="s">
        <v>383</v>
      </c>
      <c r="D183" s="99"/>
      <c r="E183" s="99"/>
      <c r="F183" s="125"/>
      <c r="G183" s="4"/>
      <c r="H183" s="4"/>
    </row>
    <row ht="15.75" customHeight="1" r="184">
      <c r="A184" s="98">
        <v>9038116190</v>
      </c>
      <c r="B184" s="99" t="s">
        <v>678</v>
      </c>
      <c r="C184" s="102" t="s">
        <v>383</v>
      </c>
      <c r="D184" s="99"/>
      <c r="E184" s="99"/>
      <c r="F184" s="125"/>
      <c r="G184" s="4"/>
      <c r="H184" s="4"/>
    </row>
    <row ht="15.75" customHeight="1" r="185">
      <c r="A185" s="98">
        <v>7475969190</v>
      </c>
      <c r="B185" s="99" t="s">
        <v>679</v>
      </c>
      <c r="C185" s="102" t="s">
        <v>383</v>
      </c>
      <c r="D185" s="99"/>
      <c r="E185" s="99"/>
      <c r="F185" s="136">
        <v>2</v>
      </c>
      <c r="G185" s="4"/>
      <c r="H185" s="4"/>
    </row>
    <row ht="15.75" customHeight="1" r="186">
      <c r="A186" s="98">
        <v>7574762190</v>
      </c>
      <c r="B186" s="99" t="s">
        <v>680</v>
      </c>
      <c r="C186" s="102" t="s">
        <v>383</v>
      </c>
      <c r="D186" s="99"/>
      <c r="E186" s="99"/>
      <c r="F186" s="125"/>
      <c r="G186" s="4"/>
      <c r="H186" s="4"/>
    </row>
    <row ht="15.75" customHeight="1" r="187">
      <c r="A187" s="98">
        <v>9289291190</v>
      </c>
      <c r="B187" s="99" t="s">
        <v>681</v>
      </c>
      <c r="C187" s="102" t="s">
        <v>383</v>
      </c>
      <c r="D187" s="99"/>
      <c r="E187" s="99"/>
      <c r="F187" s="125"/>
      <c r="G187" s="4"/>
      <c r="H187" s="4"/>
    </row>
    <row ht="15.75" customHeight="1" r="188">
      <c r="A188" s="98">
        <v>5889022190</v>
      </c>
      <c r="B188" s="99" t="s">
        <v>682</v>
      </c>
      <c r="C188" s="102" t="s">
        <v>683</v>
      </c>
      <c r="D188" s="99"/>
      <c r="E188" s="99"/>
      <c r="F188" s="125"/>
      <c r="G188" s="4"/>
      <c r="H188" s="4"/>
    </row>
    <row ht="15.75" customHeight="1" r="189">
      <c r="A189" s="98">
        <v>6633196190</v>
      </c>
      <c r="B189" s="99" t="s">
        <v>684</v>
      </c>
      <c r="C189" s="102" t="s">
        <v>683</v>
      </c>
      <c r="D189" s="99"/>
      <c r="E189" s="99"/>
      <c r="F189" s="125"/>
      <c r="G189" s="4"/>
      <c r="H189" s="4"/>
    </row>
    <row ht="15.75" customHeight="1" r="190">
      <c r="A190" s="98">
        <v>6327982190</v>
      </c>
      <c r="B190" s="99" t="s">
        <v>685</v>
      </c>
      <c r="C190" s="102" t="s">
        <v>683</v>
      </c>
      <c r="D190" s="99"/>
      <c r="E190" s="99"/>
      <c r="F190" s="125"/>
      <c r="G190" s="4"/>
      <c r="H190" s="4"/>
    </row>
    <row ht="15.75" customHeight="1" r="191">
      <c r="A191" s="98">
        <v>5889065190</v>
      </c>
      <c r="B191" s="99" t="s">
        <v>686</v>
      </c>
      <c r="C191" s="102" t="s">
        <v>683</v>
      </c>
      <c r="D191" s="99"/>
      <c r="E191" s="99"/>
      <c r="F191" s="125"/>
      <c r="G191" s="4"/>
      <c r="H191" s="4"/>
    </row>
    <row ht="15.75" customHeight="1" r="192">
      <c r="A192" s="133" t="s">
        <v>482</v>
      </c>
      <c r="B192" s="134"/>
      <c r="C192" s="135" t="s">
        <v>607</v>
      </c>
      <c r="D192" s="134"/>
      <c r="E192" s="134"/>
      <c r="F192" s="125"/>
      <c r="G192" s="4"/>
      <c r="H192" s="4"/>
    </row>
    <row ht="15.75" customHeight="1" r="193">
      <c r="A193" s="98">
        <v>11731416190</v>
      </c>
      <c r="B193" s="99" t="s">
        <v>687</v>
      </c>
      <c r="C193" s="102" t="s">
        <v>354</v>
      </c>
      <c r="D193" s="99"/>
      <c r="E193" s="99"/>
      <c r="F193" s="136">
        <v>10</v>
      </c>
      <c r="G193" s="4"/>
      <c r="H193" s="4"/>
    </row>
    <row ht="15.75" customHeight="1" r="194">
      <c r="A194" s="98">
        <v>8740062190</v>
      </c>
      <c r="B194" s="99" t="s">
        <v>688</v>
      </c>
      <c r="C194" s="102" t="s">
        <v>689</v>
      </c>
      <c r="D194" s="99"/>
      <c r="E194" s="99"/>
      <c r="F194" s="125"/>
      <c r="G194" s="4"/>
      <c r="H194" s="4"/>
    </row>
    <row ht="15.75" customHeight="1" r="195">
      <c r="A195" s="98">
        <v>5341787190</v>
      </c>
      <c r="B195" s="99" t="s">
        <v>690</v>
      </c>
      <c r="C195" s="102" t="s">
        <v>691</v>
      </c>
      <c r="D195" s="99"/>
      <c r="E195" s="99"/>
      <c r="F195" s="136">
        <v>4</v>
      </c>
      <c r="G195" s="4"/>
      <c r="H195" s="4"/>
    </row>
    <row ht="15.75" customHeight="1" r="196">
      <c r="A196" s="98">
        <v>6687776190</v>
      </c>
      <c r="B196" s="99" t="s">
        <v>692</v>
      </c>
      <c r="C196" s="102" t="s">
        <v>383</v>
      </c>
      <c r="D196" s="99"/>
      <c r="E196" s="99"/>
      <c r="F196" s="125"/>
      <c r="G196" s="4"/>
      <c r="H196" s="4"/>
    </row>
    <row ht="15.75" customHeight="1" r="197">
      <c r="A197" s="98">
        <v>11776452122</v>
      </c>
      <c r="B197" s="99" t="s">
        <v>693</v>
      </c>
      <c r="C197" s="102" t="s">
        <v>354</v>
      </c>
      <c r="D197" s="99"/>
      <c r="E197" s="99"/>
      <c r="F197" s="136">
        <v>10</v>
      </c>
      <c r="G197" s="4"/>
      <c r="H197" s="4"/>
    </row>
    <row ht="15.75" customHeight="1" r="198">
      <c r="A198" s="98">
        <v>7713223190</v>
      </c>
      <c r="B198" s="99" t="s">
        <v>694</v>
      </c>
      <c r="C198" s="102" t="s">
        <v>354</v>
      </c>
      <c r="D198" s="99"/>
      <c r="E198" s="99"/>
      <c r="F198" s="125"/>
      <c r="G198" s="4"/>
      <c r="H198" s="4"/>
    </row>
    <row ht="15.75" customHeight="1" r="199">
      <c r="A199" s="98">
        <v>4917049190</v>
      </c>
      <c r="B199" s="99" t="s">
        <v>695</v>
      </c>
      <c r="C199" s="102" t="s">
        <v>620</v>
      </c>
      <c r="D199" s="99"/>
      <c r="E199" s="99"/>
      <c r="F199" s="136">
        <v>8</v>
      </c>
      <c r="G199" s="4"/>
      <c r="H199" s="4"/>
    </row>
    <row ht="15.75" customHeight="1" r="200">
      <c r="A200" s="98">
        <v>5095107190</v>
      </c>
      <c r="B200" s="99" t="s">
        <v>696</v>
      </c>
      <c r="C200" s="102" t="s">
        <v>620</v>
      </c>
      <c r="D200" s="99"/>
      <c r="E200" s="99"/>
      <c r="F200" s="136">
        <v>8</v>
      </c>
      <c r="G200" s="4"/>
      <c r="H200" s="4"/>
    </row>
    <row ht="15.75" customHeight="1" r="201">
      <c r="A201" s="98">
        <v>5042666191</v>
      </c>
      <c r="B201" s="99" t="s">
        <v>697</v>
      </c>
      <c r="C201" s="102" t="s">
        <v>620</v>
      </c>
      <c r="D201" s="99"/>
      <c r="E201" s="99"/>
      <c r="F201" s="136">
        <v>6</v>
      </c>
      <c r="G201" s="4"/>
      <c r="H201" s="4"/>
    </row>
    <row ht="15.75" customHeight="1" r="202">
      <c r="A202" s="98">
        <v>6709966190</v>
      </c>
      <c r="B202" s="99" t="s">
        <v>698</v>
      </c>
      <c r="C202" s="102" t="s">
        <v>620</v>
      </c>
      <c r="D202" s="99"/>
      <c r="E202" s="99"/>
      <c r="F202" s="125"/>
      <c r="G202" s="4"/>
      <c r="H202" s="4"/>
    </row>
    <row ht="15.75" customHeight="1" r="203">
      <c r="A203" s="98">
        <v>7957211190</v>
      </c>
      <c r="B203" s="99" t="s">
        <v>699</v>
      </c>
      <c r="C203" s="102" t="s">
        <v>620</v>
      </c>
      <c r="D203" s="99"/>
      <c r="E203" s="99"/>
      <c r="F203" s="125"/>
      <c r="G203" s="4"/>
      <c r="H203" s="4"/>
    </row>
    <row ht="15.75" customHeight="1" r="204">
      <c r="A204" s="98">
        <v>5950953190</v>
      </c>
      <c r="B204" s="99" t="s">
        <v>700</v>
      </c>
      <c r="C204" s="102" t="s">
        <v>620</v>
      </c>
      <c r="D204" s="99"/>
      <c r="E204" s="99"/>
      <c r="F204" s="125"/>
      <c r="G204" s="4"/>
      <c r="H204" s="4"/>
    </row>
    <row ht="15.75" customHeight="1" r="205">
      <c r="A205" s="98">
        <v>8333645190</v>
      </c>
      <c r="B205" s="99" t="s">
        <v>701</v>
      </c>
      <c r="C205" s="102" t="s">
        <v>383</v>
      </c>
      <c r="D205" s="99"/>
      <c r="E205" s="99"/>
      <c r="F205" s="125"/>
      <c r="G205" s="4"/>
      <c r="H205" s="4"/>
    </row>
    <row ht="15.75" customHeight="1" r="206">
      <c r="A206" s="98">
        <v>6505988190</v>
      </c>
      <c r="B206" s="99" t="s">
        <v>702</v>
      </c>
      <c r="C206" s="102" t="s">
        <v>383</v>
      </c>
      <c r="D206" s="99"/>
      <c r="E206" s="99"/>
      <c r="F206" s="125"/>
      <c r="G206" s="4"/>
      <c r="H206" s="4"/>
    </row>
    <row ht="15.75" customHeight="1" r="207">
      <c r="A207" s="98">
        <v>7360070190</v>
      </c>
      <c r="B207" s="99" t="s">
        <v>703</v>
      </c>
      <c r="C207" s="102" t="s">
        <v>354</v>
      </c>
      <c r="D207" s="99"/>
      <c r="E207" s="99"/>
      <c r="F207" s="125"/>
      <c r="G207" s="4"/>
      <c r="H207" s="4"/>
    </row>
    <row ht="15.75" customHeight="1" r="208">
      <c r="A208" s="98">
        <v>5618860190</v>
      </c>
      <c r="B208" s="99" t="s">
        <v>704</v>
      </c>
      <c r="C208" s="102" t="s">
        <v>354</v>
      </c>
      <c r="D208" s="99"/>
      <c r="E208" s="99"/>
      <c r="F208" s="136">
        <v>5</v>
      </c>
      <c r="G208" s="4"/>
      <c r="H208" s="4"/>
    </row>
    <row ht="15.75" customHeight="1" r="209">
      <c r="A209" s="98">
        <v>5031664190</v>
      </c>
      <c r="B209" s="99" t="s">
        <v>705</v>
      </c>
      <c r="C209" s="102" t="s">
        <v>620</v>
      </c>
      <c r="D209" s="100"/>
      <c r="E209" s="99"/>
      <c r="F209" s="125"/>
      <c r="G209" s="4"/>
      <c r="H209" s="4"/>
    </row>
    <row ht="15.75" customHeight="1" r="210">
      <c r="A210" s="98">
        <v>9038124190</v>
      </c>
      <c r="B210" s="99" t="s">
        <v>706</v>
      </c>
      <c r="C210" s="102" t="s">
        <v>683</v>
      </c>
      <c r="D210" s="99"/>
      <c r="E210" s="99"/>
      <c r="F210" s="125"/>
      <c r="G210" s="4"/>
      <c r="H210" s="4"/>
    </row>
    <row ht="15.75" customHeight="1" r="211">
      <c r="A211" s="98">
        <v>7476108190</v>
      </c>
      <c r="B211" s="99" t="s">
        <v>707</v>
      </c>
      <c r="C211" s="102" t="s">
        <v>354</v>
      </c>
      <c r="D211" s="99"/>
      <c r="E211" s="99"/>
      <c r="F211" s="136">
        <v>5</v>
      </c>
      <c r="G211" s="4"/>
      <c r="H211" s="4"/>
    </row>
    <row ht="15.75" customHeight="1" r="212">
      <c r="A212" s="98">
        <v>6924107190</v>
      </c>
      <c r="B212" s="99" t="s">
        <v>708</v>
      </c>
      <c r="C212" s="102" t="s">
        <v>691</v>
      </c>
      <c r="D212" s="99"/>
      <c r="E212" s="99"/>
      <c r="F212" s="125"/>
      <c r="G212" s="4"/>
      <c r="H212" s="4"/>
    </row>
    <row ht="15.75" customHeight="1" r="213">
      <c r="A213" s="98">
        <v>8335923190</v>
      </c>
      <c r="B213" s="99" t="s">
        <v>709</v>
      </c>
      <c r="C213" s="102" t="s">
        <v>710</v>
      </c>
      <c r="D213" s="99"/>
      <c r="E213" s="99"/>
      <c r="F213" s="125"/>
      <c r="G213" s="4"/>
      <c r="H213" s="4"/>
    </row>
    <row ht="15.75" customHeight="1" r="214">
      <c r="A214" s="98">
        <v>8086672190</v>
      </c>
      <c r="B214" s="99" t="s">
        <v>711</v>
      </c>
      <c r="C214" s="102" t="s">
        <v>712</v>
      </c>
      <c r="D214" s="99"/>
      <c r="E214" s="99"/>
      <c r="F214" s="125"/>
      <c r="G214" s="4"/>
      <c r="H214" s="4"/>
    </row>
    <row ht="15.75" customHeight="1" r="215">
      <c r="A215" s="98">
        <v>11876368122</v>
      </c>
      <c r="B215" s="99" t="s">
        <v>713</v>
      </c>
      <c r="C215" s="102" t="s">
        <v>714</v>
      </c>
      <c r="D215" s="99"/>
      <c r="E215" s="99"/>
      <c r="F215" s="125"/>
      <c r="G215" s="4"/>
      <c r="H215" s="4"/>
    </row>
    <row ht="15.75" customHeight="1" r="216">
      <c r="A216" s="98">
        <v>4687876190</v>
      </c>
      <c r="B216" s="99" t="s">
        <v>715</v>
      </c>
      <c r="C216" s="102" t="s">
        <v>716</v>
      </c>
      <c r="D216" s="99"/>
      <c r="E216" s="99"/>
      <c r="F216" s="136">
        <v>2</v>
      </c>
      <c r="G216" s="4"/>
      <c r="H216" s="4"/>
    </row>
    <row ht="15.75" customHeight="1" r="217">
      <c r="A217" s="98">
        <v>11876317122</v>
      </c>
      <c r="B217" s="99" t="s">
        <v>717</v>
      </c>
      <c r="C217" s="102" t="s">
        <v>716</v>
      </c>
      <c r="D217" s="99"/>
      <c r="E217" s="99"/>
      <c r="F217" s="136">
        <v>2</v>
      </c>
      <c r="G217" s="4"/>
      <c r="H217" s="4"/>
    </row>
    <row ht="15.75" customHeight="1" r="218">
      <c r="A218" s="98">
        <v>11876376122</v>
      </c>
      <c r="B218" s="99" t="s">
        <v>718</v>
      </c>
      <c r="C218" s="102" t="s">
        <v>716</v>
      </c>
      <c r="D218" s="99"/>
      <c r="E218" s="99"/>
      <c r="F218" s="125"/>
      <c r="G218" s="4"/>
      <c r="H218" s="4"/>
    </row>
    <row ht="15.75" customHeight="1" r="219">
      <c r="A219" s="98">
        <v>11876384122</v>
      </c>
      <c r="B219" s="99" t="s">
        <v>719</v>
      </c>
      <c r="C219" s="102" t="s">
        <v>716</v>
      </c>
      <c r="D219" s="99"/>
      <c r="E219" s="99"/>
      <c r="F219" s="125"/>
      <c r="G219" s="4"/>
      <c r="H219" s="4"/>
    </row>
    <row ht="15.75" customHeight="1" r="220">
      <c r="A220" s="98">
        <v>4927931190</v>
      </c>
      <c r="B220" s="99" t="s">
        <v>720</v>
      </c>
      <c r="C220" s="102" t="s">
        <v>716</v>
      </c>
      <c r="D220" s="99"/>
      <c r="E220" s="99"/>
      <c r="F220" s="125"/>
      <c r="G220" s="4"/>
      <c r="H220" s="4"/>
    </row>
    <row ht="15.75" customHeight="1" r="221">
      <c r="A221" s="98">
        <v>11876333122</v>
      </c>
      <c r="B221" s="99" t="s">
        <v>721</v>
      </c>
      <c r="C221" s="102" t="s">
        <v>722</v>
      </c>
      <c r="D221" s="99"/>
      <c r="E221" s="99"/>
      <c r="F221" s="125"/>
      <c r="G221" s="4"/>
      <c r="H221" s="4"/>
    </row>
    <row ht="15.75" customHeight="1" r="222">
      <c r="A222" s="98">
        <v>3290379190</v>
      </c>
      <c r="B222" s="99" t="s">
        <v>723</v>
      </c>
      <c r="C222" s="102" t="s">
        <v>716</v>
      </c>
      <c r="D222" s="99"/>
      <c r="E222" s="99"/>
      <c r="F222" s="125"/>
      <c r="G222" s="4"/>
      <c r="H222" s="4"/>
    </row>
    <row ht="15.75" customHeight="1" r="223">
      <c r="A223" s="98">
        <v>4618807190</v>
      </c>
      <c r="B223" s="112" t="s">
        <v>724</v>
      </c>
      <c r="C223" s="102" t="s">
        <v>722</v>
      </c>
      <c r="D223" s="99"/>
      <c r="E223" s="99"/>
      <c r="F223" s="125"/>
      <c r="G223" s="4"/>
      <c r="H223" s="4"/>
    </row>
    <row ht="15.75" customHeight="1" r="224">
      <c r="A224" s="98">
        <v>4618840190</v>
      </c>
      <c r="B224" s="112" t="s">
        <v>725</v>
      </c>
      <c r="C224" s="102" t="s">
        <v>726</v>
      </c>
      <c r="D224" s="99"/>
      <c r="E224" s="99"/>
      <c r="F224" s="136">
        <v>3</v>
      </c>
      <c r="G224" s="4"/>
      <c r="H224" s="4"/>
    </row>
    <row ht="15.75" customHeight="1" r="225">
      <c r="A225" s="98">
        <v>4618823190</v>
      </c>
      <c r="B225" s="112" t="s">
        <v>727</v>
      </c>
      <c r="C225" s="102" t="s">
        <v>722</v>
      </c>
      <c r="D225" s="99"/>
      <c r="E225" s="99"/>
      <c r="F225" s="125"/>
      <c r="G225" s="4"/>
      <c r="H225" s="4"/>
    </row>
    <row ht="15.75" customHeight="1" r="226">
      <c r="A226" s="98">
        <v>5802580190</v>
      </c>
      <c r="B226" s="112" t="s">
        <v>728</v>
      </c>
      <c r="C226" s="102" t="s">
        <v>691</v>
      </c>
      <c r="D226" s="99"/>
      <c r="E226" s="99"/>
      <c r="F226" s="125"/>
      <c r="G226" s="4"/>
      <c r="H226" s="4"/>
    </row>
    <row ht="15.75" customHeight="1" r="227">
      <c r="A227" s="98">
        <v>4618866190</v>
      </c>
      <c r="B227" s="112" t="s">
        <v>729</v>
      </c>
      <c r="C227" s="102" t="s">
        <v>714</v>
      </c>
      <c r="D227" s="99"/>
      <c r="E227" s="99"/>
      <c r="F227" s="136">
        <v>2</v>
      </c>
      <c r="G227" s="4"/>
      <c r="H227" s="4"/>
    </row>
    <row ht="15.75" customHeight="1" r="228">
      <c r="A228" s="98">
        <v>4784600190</v>
      </c>
      <c r="B228" s="112" t="s">
        <v>730</v>
      </c>
      <c r="C228" s="102" t="s">
        <v>722</v>
      </c>
      <c r="D228" s="99"/>
      <c r="E228" s="99"/>
      <c r="F228" s="125"/>
      <c r="G228" s="4"/>
      <c r="H228" s="4"/>
    </row>
    <row ht="15.75" customHeight="1" r="229">
      <c r="A229" s="98">
        <v>5942322190</v>
      </c>
      <c r="B229" s="112" t="s">
        <v>731</v>
      </c>
      <c r="C229" s="102" t="s">
        <v>683</v>
      </c>
      <c r="D229" s="99"/>
      <c r="E229" s="99"/>
      <c r="F229" s="125"/>
      <c r="G229" s="4"/>
      <c r="H229" s="4"/>
    </row>
    <row ht="15.75" customHeight="1" r="230">
      <c r="A230" s="98">
        <v>4784626190</v>
      </c>
      <c r="B230" s="112" t="s">
        <v>732</v>
      </c>
      <c r="C230" s="102" t="s">
        <v>722</v>
      </c>
      <c r="D230" s="99"/>
      <c r="E230" s="99"/>
      <c r="F230" s="136">
        <v>2</v>
      </c>
      <c r="G230" s="4"/>
      <c r="H230" s="4"/>
    </row>
    <row ht="15.75" customHeight="1" r="231">
      <c r="A231" s="98">
        <v>5572207190</v>
      </c>
      <c r="B231" s="112" t="s">
        <v>733</v>
      </c>
      <c r="C231" s="102" t="s">
        <v>354</v>
      </c>
      <c r="D231" s="99"/>
      <c r="E231" s="99"/>
      <c r="F231" s="136">
        <v>5</v>
      </c>
      <c r="G231" s="4"/>
      <c r="H231" s="4"/>
    </row>
    <row ht="15.75" customHeight="1" r="232">
      <c r="A232" s="98">
        <v>8355428190</v>
      </c>
      <c r="B232" s="112" t="s">
        <v>734</v>
      </c>
      <c r="C232" s="102" t="s">
        <v>691</v>
      </c>
      <c r="D232" s="99"/>
      <c r="E232" s="99"/>
      <c r="F232" s="125"/>
      <c r="G232" s="4"/>
      <c r="H232" s="4"/>
    </row>
    <row ht="15.75" customHeight="1" r="233">
      <c r="A233" s="98">
        <v>8355436190</v>
      </c>
      <c r="B233" s="112" t="s">
        <v>735</v>
      </c>
      <c r="C233" s="102" t="s">
        <v>736</v>
      </c>
      <c r="D233" s="99"/>
      <c r="E233" s="99"/>
      <c r="F233" s="125"/>
      <c r="G233" s="4"/>
      <c r="H233" s="4"/>
    </row>
    <row ht="15.75" customHeight="1" r="234">
      <c r="A234" s="98">
        <v>7108133190</v>
      </c>
      <c r="B234" s="112" t="s">
        <v>737</v>
      </c>
      <c r="C234" s="102" t="s">
        <v>683</v>
      </c>
      <c r="D234" s="99"/>
      <c r="E234" s="99"/>
      <c r="F234" s="125"/>
      <c r="G234" s="4"/>
      <c r="H234" s="4"/>
    </row>
    <row ht="15.75" customHeight="1" r="235">
      <c r="A235" s="98">
        <v>6923364190</v>
      </c>
      <c r="B235" s="112" t="s">
        <v>738</v>
      </c>
      <c r="C235" s="102" t="s">
        <v>620</v>
      </c>
      <c r="D235" s="99"/>
      <c r="E235" s="99"/>
      <c r="F235" s="125"/>
      <c r="G235" s="4"/>
      <c r="H235" s="4"/>
    </row>
    <row ht="15.75" customHeight="1" r="236">
      <c r="A236" s="98">
        <v>7092571190</v>
      </c>
      <c r="B236" s="112" t="s">
        <v>739</v>
      </c>
      <c r="C236" s="102" t="s">
        <v>722</v>
      </c>
      <c r="D236" s="99"/>
      <c r="E236" s="99"/>
      <c r="F236" s="125"/>
      <c r="G236" s="4"/>
      <c r="H236" s="4"/>
    </row>
    <row ht="15.75" customHeight="1" r="237">
      <c r="A237" s="98">
        <v>9216928190</v>
      </c>
      <c r="B237" s="112" t="s">
        <v>740</v>
      </c>
      <c r="C237" s="102" t="s">
        <v>383</v>
      </c>
      <c r="D237" s="99"/>
      <c r="E237" s="99"/>
      <c r="F237" s="125"/>
      <c r="G237" s="4"/>
      <c r="H237" s="4"/>
    </row>
    <row ht="15.75" customHeight="1" r="238">
      <c r="A238" s="98">
        <v>9289313190</v>
      </c>
      <c r="B238" s="112" t="s">
        <v>740</v>
      </c>
      <c r="C238" s="102" t="s">
        <v>383</v>
      </c>
      <c r="D238" s="99"/>
      <c r="E238" s="99"/>
      <c r="F238" s="125"/>
      <c r="G238" s="4"/>
      <c r="H238" s="4"/>
    </row>
    <row ht="15.75" customHeight="1" r="239">
      <c r="A239" s="98">
        <v>9345302190</v>
      </c>
      <c r="B239" s="112" t="s">
        <v>741</v>
      </c>
      <c r="C239" s="102" t="s">
        <v>691</v>
      </c>
      <c r="D239" s="99"/>
      <c r="E239" s="99"/>
      <c r="F239" s="125"/>
      <c r="G239" s="4"/>
      <c r="H239" s="4"/>
    </row>
    <row ht="15.75" customHeight="1" r="240">
      <c r="A240" s="98">
        <v>5889081190</v>
      </c>
      <c r="B240" s="112" t="s">
        <v>742</v>
      </c>
      <c r="C240" s="102" t="s">
        <v>743</v>
      </c>
      <c r="D240" s="99"/>
      <c r="E240" s="99"/>
      <c r="F240" s="125"/>
      <c r="G240" s="4"/>
      <c r="H240" s="4"/>
    </row>
    <row ht="15.75" customHeight="1" r="241">
      <c r="A241" s="98">
        <v>7294131190</v>
      </c>
      <c r="B241" s="112" t="s">
        <v>744</v>
      </c>
      <c r="C241" s="102" t="s">
        <v>743</v>
      </c>
      <c r="D241" s="99"/>
      <c r="E241" s="99"/>
      <c r="F241" s="125"/>
      <c r="G241" s="4"/>
      <c r="H241" s="4"/>
    </row>
    <row ht="15.75" customHeight="1" r="242">
      <c r="A242" s="133" t="s">
        <v>422</v>
      </c>
      <c r="B242" s="134"/>
      <c r="C242" s="134"/>
      <c r="D242" s="134"/>
      <c r="E242" s="138">
        <v>21000</v>
      </c>
      <c r="F242" s="125"/>
      <c r="G242" s="4"/>
      <c r="H242" s="4"/>
    </row>
    <row ht="15.75" customHeight="1" r="243">
      <c r="A243" s="98">
        <v>5694302001</v>
      </c>
      <c r="B243" s="99" t="s">
        <v>745</v>
      </c>
      <c r="C243" s="102" t="s">
        <v>746</v>
      </c>
      <c r="D243" s="99"/>
      <c r="E243" s="107"/>
      <c r="F243" s="136">
        <v>6</v>
      </c>
      <c r="G243" s="4"/>
      <c r="H243" s="4"/>
    </row>
    <row ht="15.75" customHeight="1" r="244">
      <c r="A244" s="98">
        <v>7299010190</v>
      </c>
      <c r="B244" s="99" t="s">
        <v>747</v>
      </c>
      <c r="C244" s="102" t="s">
        <v>748</v>
      </c>
      <c r="D244" s="99"/>
      <c r="E244" s="99"/>
      <c r="F244" s="125"/>
      <c r="G244" s="4"/>
      <c r="H244" s="4"/>
    </row>
    <row ht="15.75" customHeight="1" r="245">
      <c r="A245" s="98">
        <v>7299001190</v>
      </c>
      <c r="B245" s="99" t="s">
        <v>749</v>
      </c>
      <c r="C245" s="102" t="s">
        <v>748</v>
      </c>
      <c r="D245" s="99"/>
      <c r="E245" s="107"/>
      <c r="F245" s="136">
        <v>6</v>
      </c>
      <c r="G245" s="4"/>
      <c r="H245" s="4"/>
    </row>
    <row ht="15.75" customHeight="1" r="246">
      <c r="A246" s="98">
        <v>9762582190</v>
      </c>
      <c r="B246" s="99" t="s">
        <v>750</v>
      </c>
      <c r="C246" s="102"/>
      <c r="D246" s="99"/>
      <c r="E246" s="99"/>
      <c r="F246" s="125"/>
      <c r="G246" s="4"/>
      <c r="H246" s="4"/>
    </row>
    <row ht="15.75" customHeight="1" r="247">
      <c r="A247" s="98">
        <v>6908853190</v>
      </c>
      <c r="B247" s="99" t="s">
        <v>751</v>
      </c>
      <c r="C247" s="102"/>
      <c r="D247" s="99"/>
      <c r="E247" s="107"/>
      <c r="F247" s="136">
        <v>7</v>
      </c>
      <c r="G247" s="4"/>
      <c r="H247" s="4"/>
    </row>
    <row ht="15.75" customHeight="1" r="248">
      <c r="A248" s="98">
        <v>4880293190</v>
      </c>
      <c r="B248" s="99" t="s">
        <v>752</v>
      </c>
      <c r="C248" s="102"/>
      <c r="D248" s="99"/>
      <c r="E248" s="107"/>
      <c r="F248" s="136">
        <v>21</v>
      </c>
      <c r="G248" s="4"/>
      <c r="H248" s="4"/>
    </row>
    <row ht="15.75" customHeight="1" r="249">
      <c r="A249" s="98">
        <v>6908799190</v>
      </c>
      <c r="B249" s="99" t="s">
        <v>753</v>
      </c>
      <c r="C249" s="102"/>
      <c r="D249" s="99"/>
      <c r="E249" s="107"/>
      <c r="F249" s="136">
        <v>14</v>
      </c>
      <c r="G249" s="4"/>
      <c r="H249" s="4"/>
    </row>
    <row ht="15.75" customHeight="1" r="250">
      <c r="A250" s="98">
        <v>7373066190</v>
      </c>
      <c r="B250" s="99" t="s">
        <v>754</v>
      </c>
      <c r="C250" s="102" t="s">
        <v>748</v>
      </c>
      <c r="D250" s="99"/>
      <c r="E250" s="99"/>
      <c r="F250" s="125"/>
      <c r="G250" s="4"/>
      <c r="H250" s="4"/>
    </row>
    <row ht="15.75" customHeight="1" r="251">
      <c r="A251" s="98">
        <v>7372990190</v>
      </c>
      <c r="B251" s="99" t="s">
        <v>755</v>
      </c>
      <c r="C251" s="102" t="s">
        <v>748</v>
      </c>
      <c r="D251" s="99"/>
      <c r="E251" s="99"/>
      <c r="F251" s="125"/>
      <c r="G251" s="4"/>
      <c r="H251" s="4"/>
    </row>
    <row ht="15.75" customHeight="1" r="252">
      <c r="A252" s="98">
        <v>5118506190</v>
      </c>
      <c r="B252" s="99" t="s">
        <v>756</v>
      </c>
      <c r="C252" s="102" t="s">
        <v>748</v>
      </c>
      <c r="D252" s="99"/>
      <c r="E252" s="99"/>
      <c r="F252" s="125"/>
      <c r="G252" s="4"/>
      <c r="H252" s="4"/>
    </row>
    <row ht="15.75" customHeight="1" r="253">
      <c r="A253" s="98">
        <v>4444191001</v>
      </c>
      <c r="B253" s="99" t="s">
        <v>439</v>
      </c>
      <c r="C253" s="102">
        <v>250</v>
      </c>
      <c r="D253" s="99"/>
      <c r="E253" s="107"/>
      <c r="F253" s="136">
        <v>16</v>
      </c>
      <c r="G253" s="4"/>
      <c r="H253" s="4"/>
    </row>
    <row ht="15.75" customHeight="1" r="254">
      <c r="A254" s="98">
        <v>10394246001</v>
      </c>
      <c r="B254" s="99" t="s">
        <v>440</v>
      </c>
      <c r="C254" s="102">
        <v>5000</v>
      </c>
      <c r="D254" s="99"/>
      <c r="E254" s="99"/>
      <c r="F254" s="125"/>
      <c r="G254" s="4"/>
      <c r="H254" s="4"/>
    </row>
    <row ht="15.75" customHeight="1" r="255">
      <c r="A255" s="98">
        <v>3142949122</v>
      </c>
      <c r="B255" s="112" t="s">
        <v>757</v>
      </c>
      <c r="C255" s="102" t="s">
        <v>758</v>
      </c>
      <c r="D255" s="99"/>
      <c r="E255" s="99"/>
      <c r="F255" s="125"/>
      <c r="G255" s="4"/>
      <c r="H255" s="4"/>
    </row>
    <row ht="15.75" customHeight="1" r="256">
      <c r="A256" s="98">
        <v>5889073190</v>
      </c>
      <c r="B256" s="112" t="s">
        <v>759</v>
      </c>
      <c r="C256" s="102">
        <v>100</v>
      </c>
      <c r="D256" s="99"/>
      <c r="E256" s="99"/>
      <c r="F256" s="125"/>
      <c r="G256" s="4"/>
      <c r="H256" s="4"/>
    </row>
    <row ht="15.75" customHeight="1" r="257">
      <c r="A257" s="98">
        <v>5944317190</v>
      </c>
      <c r="B257" s="112" t="s">
        <v>760</v>
      </c>
      <c r="C257" s="102" t="s">
        <v>761</v>
      </c>
      <c r="D257" s="99"/>
      <c r="E257" s="99"/>
      <c r="F257" s="125"/>
      <c r="G257" s="4"/>
      <c r="H257" s="4"/>
    </row>
    <row ht="15.75" customHeight="1" r="258">
      <c r="A258" s="98">
        <v>9370064190</v>
      </c>
      <c r="B258" s="112" t="s">
        <v>762</v>
      </c>
      <c r="C258" s="102" t="s">
        <v>763</v>
      </c>
      <c r="D258" s="99"/>
      <c r="E258" s="99"/>
      <c r="F258" s="125"/>
      <c r="G258" s="4"/>
      <c r="H258" s="4"/>
    </row>
    <row ht="15.75" customHeight="1" r="259">
      <c r="A259" s="98">
        <v>9370099190</v>
      </c>
      <c r="B259" s="112" t="s">
        <v>764</v>
      </c>
      <c r="C259" s="102" t="s">
        <v>765</v>
      </c>
      <c r="D259" s="99"/>
      <c r="E259" s="99"/>
      <c r="F259" s="125"/>
      <c r="G259" s="4"/>
      <c r="H259" s="4"/>
    </row>
    <row ht="15.75" customHeight="1" r="260">
      <c r="A260" s="98">
        <v>9127127190</v>
      </c>
      <c r="B260" s="112" t="s">
        <v>766</v>
      </c>
      <c r="C260" s="102" t="s">
        <v>767</v>
      </c>
      <c r="D260" s="99"/>
      <c r="E260" s="99"/>
      <c r="F260" s="125"/>
      <c r="G260" s="4"/>
      <c r="H260" s="4"/>
    </row>
    <row ht="15.75" customHeight="1" r="261">
      <c r="A261" s="98">
        <v>5870020001</v>
      </c>
      <c r="B261" s="99" t="s">
        <v>449</v>
      </c>
      <c r="C261" s="102" t="s">
        <v>450</v>
      </c>
      <c r="D261" s="99"/>
      <c r="E261" s="99"/>
      <c r="F261" s="125"/>
      <c r="G261" s="4"/>
      <c r="H261" s="4"/>
    </row>
    <row ht="15.75" customHeight="1" r="262">
      <c r="A262" s="98">
        <v>4419987001</v>
      </c>
      <c r="B262" s="99" t="s">
        <v>451</v>
      </c>
      <c r="C262" s="102" t="s">
        <v>452</v>
      </c>
      <c r="D262" s="99"/>
      <c r="E262" s="99"/>
      <c r="F262" s="125"/>
      <c r="G262" s="4"/>
      <c r="H262" s="4"/>
    </row>
    <row ht="15.75" customHeight="1" r="263">
      <c r="A263" s="98">
        <v>7485409001</v>
      </c>
      <c r="B263" s="99" t="s">
        <v>768</v>
      </c>
      <c r="C263" s="102" t="s">
        <v>769</v>
      </c>
      <c r="D263" s="99"/>
      <c r="E263" s="107"/>
      <c r="F263" s="136">
        <v>4</v>
      </c>
      <c r="G263" s="4"/>
      <c r="H263" s="4"/>
    </row>
    <row ht="15.75" customHeight="1" r="264">
      <c r="A264" s="98">
        <v>7485433001</v>
      </c>
      <c r="B264" s="99" t="s">
        <v>770</v>
      </c>
      <c r="C264" s="102" t="s">
        <v>771</v>
      </c>
      <c r="D264" s="99"/>
      <c r="E264" s="99"/>
      <c r="F264" s="125"/>
      <c r="G264" s="47" t="s">
        <v>772</v>
      </c>
      <c r="H264" s="4"/>
    </row>
    <row ht="15.75" customHeight="1" r="265">
      <c r="A265" s="98">
        <v>11298500316</v>
      </c>
      <c r="B265" s="99" t="s">
        <v>773</v>
      </c>
      <c r="C265" s="102" t="s">
        <v>774</v>
      </c>
      <c r="D265" s="99"/>
      <c r="E265" s="99"/>
      <c r="F265" s="136">
        <v>2</v>
      </c>
      <c r="G265" s="4"/>
      <c r="H265" s="4"/>
    </row>
    <row ht="15.75" customHeight="1" r="266">
      <c r="A266" s="139" t="s">
        <v>775</v>
      </c>
      <c r="B266" s="140"/>
      <c r="C266" s="140"/>
      <c r="D266" s="140"/>
      <c r="E266" s="140"/>
      <c r="F266" s="125"/>
      <c r="G266" s="4"/>
      <c r="H266" s="4"/>
    </row>
    <row ht="15.75" customHeight="1" r="267">
      <c r="A267" s="4"/>
      <c r="B267" s="4"/>
      <c r="C267" s="4"/>
      <c r="D267" s="4"/>
      <c r="E267" s="4"/>
      <c r="F267" s="4"/>
      <c r="G267" s="4"/>
      <c r="H267" s="4"/>
    </row>
    <row ht="15.75" customHeight="1" r="268">
      <c r="A268" s="4"/>
      <c r="B268" s="4"/>
      <c r="C268" s="120"/>
      <c r="D268" s="4"/>
      <c r="E268" s="4"/>
      <c r="F268" s="4"/>
      <c r="G268" s="4"/>
      <c r="H268" s="4"/>
    </row>
    <row ht="15.75" customHeight="1" r="269">
      <c r="A269" s="4"/>
      <c r="B269" s="4"/>
      <c r="C269" s="120"/>
      <c r="D269" s="4"/>
      <c r="E269" s="4"/>
      <c r="F269" s="4"/>
      <c r="G269" s="4"/>
      <c r="H269" s="4"/>
    </row>
    <row ht="15.75" customHeight="1" r="270">
      <c r="A270" s="4"/>
      <c r="B270" s="4"/>
      <c r="C270" s="120"/>
      <c r="D270" s="4"/>
      <c r="E270" s="4"/>
      <c r="F270" s="4"/>
      <c r="G270" s="4"/>
      <c r="H270" s="4"/>
    </row>
    <row ht="15.75" customHeight="1" r="271">
      <c r="A271" s="4"/>
      <c r="B271" s="4"/>
      <c r="C271" s="120"/>
      <c r="D271" s="4"/>
      <c r="E271" s="4"/>
      <c r="F271" s="4"/>
      <c r="G271" s="4"/>
      <c r="H271" s="4"/>
    </row>
    <row ht="15.75" customHeight="1" r="272">
      <c r="A272" s="4"/>
      <c r="B272" s="4"/>
      <c r="C272" s="120"/>
      <c r="D272" s="4"/>
      <c r="E272" s="4"/>
      <c r="F272" s="4"/>
      <c r="G272" s="4"/>
      <c r="H272" s="4"/>
    </row>
    <row ht="15.75" customHeight="1" r="273">
      <c r="A273" s="4"/>
      <c r="B273" s="4"/>
      <c r="C273" s="120"/>
      <c r="D273" s="4"/>
      <c r="E273" s="4"/>
      <c r="F273" s="4"/>
      <c r="G273" s="4"/>
      <c r="H273" s="4"/>
    </row>
    <row ht="15.75" customHeight="1" r="274">
      <c r="A274" s="4"/>
      <c r="B274" s="4"/>
      <c r="C274" s="120"/>
      <c r="D274" s="4"/>
      <c r="E274" s="4"/>
      <c r="F274" s="4"/>
      <c r="G274" s="4"/>
      <c r="H274" s="4"/>
    </row>
    <row ht="15.75" customHeight="1" r="275">
      <c r="A275" s="4"/>
      <c r="B275" s="4"/>
      <c r="C275" s="120"/>
      <c r="D275" s="4"/>
      <c r="E275" s="4"/>
      <c r="F275" s="4"/>
      <c r="G275" s="4"/>
      <c r="H275" s="4"/>
    </row>
    <row ht="15.75" customHeight="1" r="276">
      <c r="A276" s="4"/>
      <c r="B276" s="4"/>
      <c r="C276" s="120"/>
      <c r="D276" s="4"/>
      <c r="E276" s="4"/>
      <c r="F276" s="4"/>
      <c r="G276" s="4"/>
      <c r="H276" s="4"/>
    </row>
    <row ht="15.75" customHeight="1" r="277">
      <c r="A277" s="4"/>
      <c r="B277" s="4"/>
      <c r="C277" s="120"/>
      <c r="D277" s="4"/>
      <c r="E277" s="4"/>
      <c r="F277" s="4"/>
      <c r="G277" s="4"/>
      <c r="H277" s="4"/>
    </row>
    <row ht="15.75" customHeight="1" r="278">
      <c r="A278" s="4"/>
      <c r="B278" s="4"/>
      <c r="C278" s="120"/>
      <c r="D278" s="4"/>
      <c r="E278" s="4"/>
      <c r="F278" s="4"/>
      <c r="G278" s="4"/>
      <c r="H278" s="4"/>
    </row>
    <row ht="15.75" customHeight="1" r="279">
      <c r="A279" s="4"/>
      <c r="B279" s="4"/>
      <c r="C279" s="120"/>
      <c r="D279" s="4"/>
      <c r="E279" s="4"/>
      <c r="F279" s="4"/>
      <c r="G279" s="4"/>
      <c r="H279" s="4"/>
    </row>
    <row ht="15.75" customHeight="1" r="280">
      <c r="A280" s="4"/>
      <c r="B280" s="4"/>
      <c r="C280" s="120"/>
      <c r="D280" s="4"/>
      <c r="E280" s="4"/>
      <c r="F280" s="4"/>
      <c r="G280" s="4"/>
      <c r="H280" s="4"/>
    </row>
    <row ht="15.75" customHeight="1" r="281">
      <c r="A281" s="4"/>
      <c r="B281" s="4"/>
      <c r="C281" s="120"/>
      <c r="D281" s="4"/>
      <c r="E281" s="4"/>
      <c r="F281" s="4"/>
      <c r="G281" s="4"/>
      <c r="H281" s="4"/>
    </row>
    <row ht="15.75" customHeight="1" r="282">
      <c r="A282" s="4"/>
      <c r="B282" s="4"/>
      <c r="C282" s="120"/>
      <c r="D282" s="4"/>
      <c r="E282" s="4"/>
      <c r="F282" s="4"/>
      <c r="G282" s="4"/>
      <c r="H282" s="4"/>
    </row>
    <row ht="15.75" customHeight="1" r="283">
      <c r="A283" s="4"/>
      <c r="B283" s="4"/>
      <c r="C283" s="120"/>
      <c r="D283" s="4"/>
      <c r="E283" s="4"/>
      <c r="F283" s="4"/>
      <c r="G283" s="4"/>
      <c r="H283" s="4"/>
    </row>
    <row ht="15.75" customHeight="1" r="284">
      <c r="A284" s="4"/>
      <c r="B284" s="4"/>
      <c r="C284" s="120"/>
      <c r="D284" s="4"/>
      <c r="E284" s="4"/>
      <c r="F284" s="4"/>
      <c r="G284" s="4"/>
      <c r="H284" s="4"/>
    </row>
    <row ht="15.75" customHeight="1" r="285">
      <c r="A285" s="4"/>
      <c r="B285" s="4"/>
      <c r="C285" s="120"/>
      <c r="D285" s="4"/>
      <c r="E285" s="4"/>
      <c r="F285" s="4"/>
      <c r="G285" s="4"/>
      <c r="H285" s="4"/>
    </row>
    <row ht="15.75" customHeight="1" r="286">
      <c r="A286" s="4"/>
      <c r="B286" s="4"/>
      <c r="C286" s="120"/>
      <c r="D286" s="4"/>
      <c r="E286" s="4"/>
      <c r="F286" s="4"/>
      <c r="G286" s="4"/>
      <c r="H286" s="4"/>
    </row>
    <row ht="15.75" customHeight="1" r="287">
      <c r="A287" s="4"/>
      <c r="B287" s="4"/>
      <c r="C287" s="120"/>
      <c r="D287" s="4"/>
      <c r="E287" s="4"/>
      <c r="F287" s="4"/>
      <c r="G287" s="4"/>
      <c r="H287" s="4"/>
    </row>
    <row ht="15.75" customHeight="1" r="288">
      <c r="A288" s="4"/>
      <c r="B288" s="4"/>
      <c r="C288" s="120"/>
      <c r="D288" s="4"/>
      <c r="E288" s="4"/>
      <c r="F288" s="4"/>
      <c r="G288" s="4"/>
      <c r="H288" s="4"/>
    </row>
    <row ht="15.75" customHeight="1" r="289">
      <c r="A289" s="4"/>
      <c r="B289" s="4"/>
      <c r="C289" s="120"/>
      <c r="D289" s="4"/>
      <c r="E289" s="4"/>
      <c r="F289" s="4"/>
      <c r="G289" s="4"/>
      <c r="H289" s="4"/>
    </row>
    <row ht="15.75" customHeight="1" r="290">
      <c r="A290" s="4"/>
      <c r="B290" s="4"/>
      <c r="C290" s="120"/>
      <c r="D290" s="4"/>
      <c r="E290" s="4"/>
      <c r="F290" s="4"/>
      <c r="G290" s="4"/>
      <c r="H290" s="4"/>
    </row>
    <row ht="15.75" customHeight="1" r="291">
      <c r="A291" s="4"/>
      <c r="B291" s="4"/>
      <c r="C291" s="120"/>
      <c r="D291" s="4"/>
      <c r="E291" s="4"/>
      <c r="F291" s="4"/>
      <c r="G291" s="4"/>
      <c r="H291" s="4"/>
    </row>
    <row ht="15.75" customHeight="1" r="292">
      <c r="A292" s="4"/>
      <c r="B292" s="4"/>
      <c r="C292" s="120"/>
      <c r="D292" s="4"/>
      <c r="E292" s="4"/>
      <c r="F292" s="4"/>
      <c r="G292" s="4"/>
      <c r="H292" s="4"/>
    </row>
    <row ht="15.75" customHeight="1" r="293">
      <c r="A293" s="4"/>
      <c r="B293" s="4"/>
      <c r="C293" s="120"/>
      <c r="D293" s="4"/>
      <c r="E293" s="4"/>
      <c r="F293" s="4"/>
      <c r="G293" s="4"/>
      <c r="H293" s="4"/>
    </row>
    <row ht="15.75" customHeight="1" r="294">
      <c r="A294" s="4"/>
      <c r="B294" s="4"/>
      <c r="C294" s="120"/>
      <c r="D294" s="4"/>
      <c r="E294" s="4"/>
      <c r="F294" s="4"/>
      <c r="G294" s="4"/>
      <c r="H294" s="4"/>
    </row>
    <row ht="15.75" customHeight="1" r="295">
      <c r="A295" s="4"/>
      <c r="B295" s="4"/>
      <c r="C295" s="120"/>
      <c r="D295" s="4"/>
      <c r="E295" s="4"/>
      <c r="F295" s="4"/>
      <c r="G295" s="4"/>
      <c r="H295" s="4"/>
    </row>
    <row ht="15.75" customHeight="1" r="296">
      <c r="A296" s="4"/>
      <c r="B296" s="4"/>
      <c r="C296" s="120"/>
      <c r="D296" s="4"/>
      <c r="E296" s="4"/>
      <c r="F296" s="4"/>
      <c r="G296" s="4"/>
      <c r="H296" s="4"/>
    </row>
    <row ht="15.75" customHeight="1" r="297">
      <c r="A297" s="4"/>
      <c r="B297" s="4"/>
      <c r="C297" s="120"/>
      <c r="D297" s="4"/>
      <c r="E297" s="4"/>
      <c r="F297" s="4"/>
      <c r="G297" s="4"/>
      <c r="H297" s="4"/>
    </row>
    <row ht="15.75" customHeight="1" r="298">
      <c r="A298" s="4"/>
      <c r="B298" s="4"/>
      <c r="C298" s="120"/>
      <c r="D298" s="4"/>
      <c r="E298" s="4"/>
      <c r="F298" s="4"/>
      <c r="G298" s="4"/>
      <c r="H298" s="4"/>
    </row>
    <row ht="15.75" customHeight="1" r="299">
      <c r="A299" s="4"/>
      <c r="B299" s="4"/>
      <c r="C299" s="120"/>
      <c r="D299" s="4"/>
      <c r="E299" s="4"/>
      <c r="F299" s="4"/>
      <c r="G299" s="4"/>
      <c r="H299" s="4"/>
    </row>
    <row ht="15.75" customHeight="1" r="300">
      <c r="A300" s="4"/>
      <c r="B300" s="4"/>
      <c r="C300" s="120"/>
      <c r="D300" s="4"/>
      <c r="E300" s="4"/>
      <c r="F300" s="4"/>
      <c r="G300" s="4"/>
      <c r="H300" s="4"/>
    </row>
    <row ht="15.75" customHeight="1" r="301">
      <c r="A301" s="4"/>
      <c r="B301" s="4"/>
      <c r="C301" s="120"/>
      <c r="D301" s="4"/>
      <c r="E301" s="4"/>
      <c r="F301" s="4"/>
      <c r="G301" s="4"/>
      <c r="H301" s="4"/>
    </row>
    <row ht="15.75" customHeight="1" r="302">
      <c r="A302" s="4"/>
      <c r="B302" s="4"/>
      <c r="C302" s="120"/>
      <c r="D302" s="4"/>
      <c r="E302" s="4"/>
      <c r="F302" s="4"/>
      <c r="G302" s="4"/>
      <c r="H302" s="4"/>
    </row>
    <row ht="15.75" customHeight="1" r="303">
      <c r="A303" s="4"/>
      <c r="B303" s="4"/>
      <c r="C303" s="120"/>
      <c r="D303" s="4"/>
      <c r="E303" s="4"/>
      <c r="F303" s="4"/>
      <c r="G303" s="4"/>
      <c r="H303" s="4"/>
    </row>
    <row ht="15.75" customHeight="1" r="304">
      <c r="A304" s="4"/>
      <c r="B304" s="4"/>
      <c r="C304" s="120"/>
      <c r="D304" s="4"/>
      <c r="E304" s="4"/>
      <c r="F304" s="4"/>
      <c r="G304" s="4"/>
      <c r="H304" s="4"/>
    </row>
    <row ht="15.75" customHeight="1" r="305">
      <c r="A305" s="4"/>
      <c r="B305" s="4"/>
      <c r="C305" s="120"/>
      <c r="D305" s="4"/>
      <c r="E305" s="4"/>
      <c r="F305" s="4"/>
      <c r="G305" s="4"/>
      <c r="H305" s="4"/>
    </row>
    <row ht="15.75" customHeight="1" r="306">
      <c r="A306" s="4"/>
      <c r="B306" s="4"/>
      <c r="C306" s="120"/>
      <c r="D306" s="4"/>
      <c r="E306" s="4"/>
      <c r="F306" s="4"/>
      <c r="G306" s="4"/>
      <c r="H306" s="4"/>
    </row>
    <row ht="15.75" customHeight="1" r="307">
      <c r="A307" s="4"/>
      <c r="B307" s="4"/>
      <c r="C307" s="120"/>
      <c r="D307" s="4"/>
      <c r="E307" s="4"/>
      <c r="F307" s="4"/>
      <c r="G307" s="4"/>
      <c r="H307" s="4"/>
    </row>
    <row ht="15.75" customHeight="1" r="308">
      <c r="A308" s="4"/>
      <c r="B308" s="4"/>
      <c r="C308" s="120"/>
      <c r="D308" s="4"/>
      <c r="E308" s="4"/>
      <c r="F308" s="4"/>
      <c r="G308" s="4"/>
      <c r="H308" s="4"/>
    </row>
    <row ht="15.75" customHeight="1" r="309">
      <c r="A309" s="4"/>
      <c r="B309" s="4"/>
      <c r="C309" s="120"/>
      <c r="D309" s="4"/>
      <c r="E309" s="4"/>
      <c r="F309" s="4"/>
      <c r="G309" s="4"/>
      <c r="H309" s="4"/>
    </row>
    <row ht="15.75" customHeight="1" r="310">
      <c r="A310" s="4"/>
      <c r="B310" s="4"/>
      <c r="C310" s="120"/>
      <c r="D310" s="4"/>
      <c r="E310" s="4"/>
      <c r="F310" s="4"/>
      <c r="G310" s="4"/>
      <c r="H310" s="4"/>
    </row>
    <row ht="15.75" customHeight="1" r="311">
      <c r="A311" s="4"/>
      <c r="B311" s="4"/>
      <c r="C311" s="120"/>
      <c r="D311" s="4"/>
      <c r="E311" s="4"/>
      <c r="F311" s="4"/>
      <c r="G311" s="4"/>
      <c r="H311" s="4"/>
    </row>
    <row ht="15.75" customHeight="1" r="312">
      <c r="A312" s="4"/>
      <c r="B312" s="4"/>
      <c r="C312" s="120"/>
      <c r="D312" s="4"/>
      <c r="E312" s="4"/>
      <c r="F312" s="4"/>
      <c r="G312" s="4"/>
      <c r="H312" s="4"/>
    </row>
    <row ht="15.75" customHeight="1" r="313">
      <c r="A313" s="4"/>
      <c r="B313" s="4"/>
      <c r="C313" s="120"/>
      <c r="D313" s="4"/>
      <c r="E313" s="4"/>
      <c r="F313" s="4"/>
      <c r="G313" s="4"/>
      <c r="H313" s="4"/>
    </row>
    <row ht="15.75" customHeight="1" r="314">
      <c r="A314" s="4"/>
      <c r="B314" s="4"/>
      <c r="C314" s="120"/>
      <c r="D314" s="4"/>
      <c r="E314" s="4"/>
      <c r="F314" s="4"/>
      <c r="G314" s="4"/>
      <c r="H314" s="4"/>
    </row>
    <row ht="15.75" customHeight="1" r="315">
      <c r="A315" s="4"/>
      <c r="B315" s="4"/>
      <c r="C315" s="120"/>
      <c r="D315" s="4"/>
      <c r="E315" s="4"/>
      <c r="F315" s="4"/>
      <c r="G315" s="4"/>
      <c r="H315" s="4"/>
    </row>
    <row ht="15.75" customHeight="1" r="316">
      <c r="A316" s="4"/>
      <c r="B316" s="4"/>
      <c r="C316" s="120"/>
      <c r="D316" s="4"/>
      <c r="E316" s="4"/>
      <c r="F316" s="4"/>
      <c r="G316" s="4"/>
      <c r="H316" s="4"/>
    </row>
    <row ht="15.75" customHeight="1" r="317">
      <c r="A317" s="4"/>
      <c r="B317" s="4"/>
      <c r="C317" s="120"/>
      <c r="D317" s="4"/>
      <c r="E317" s="4"/>
      <c r="F317" s="4"/>
      <c r="G317" s="4"/>
      <c r="H317" s="4"/>
    </row>
    <row ht="15.75" customHeight="1" r="318">
      <c r="A318" s="4"/>
      <c r="B318" s="4"/>
      <c r="C318" s="120"/>
      <c r="D318" s="4"/>
      <c r="E318" s="4"/>
      <c r="F318" s="4"/>
      <c r="G318" s="4"/>
      <c r="H318" s="4"/>
    </row>
    <row ht="15.75" customHeight="1" r="319">
      <c r="A319" s="4"/>
      <c r="B319" s="4"/>
      <c r="C319" s="120"/>
      <c r="D319" s="4"/>
      <c r="E319" s="4"/>
      <c r="F319" s="4"/>
      <c r="G319" s="4"/>
      <c r="H319" s="4"/>
    </row>
    <row ht="15.75" customHeight="1" r="320">
      <c r="A320" s="4"/>
      <c r="B320" s="4"/>
      <c r="C320" s="120"/>
      <c r="D320" s="4"/>
      <c r="E320" s="4"/>
      <c r="F320" s="4"/>
      <c r="G320" s="4"/>
      <c r="H320" s="4"/>
    </row>
    <row ht="15.75" customHeight="1" r="321">
      <c r="A321" s="4"/>
      <c r="B321" s="4"/>
      <c r="C321" s="120"/>
      <c r="D321" s="4"/>
      <c r="E321" s="4"/>
      <c r="F321" s="4"/>
      <c r="G321" s="4"/>
      <c r="H321" s="4"/>
    </row>
    <row ht="15.75" customHeight="1" r="322">
      <c r="A322" s="4"/>
      <c r="B322" s="4"/>
      <c r="C322" s="120"/>
      <c r="D322" s="4"/>
      <c r="E322" s="4"/>
      <c r="F322" s="4"/>
      <c r="G322" s="4"/>
      <c r="H322" s="4"/>
    </row>
    <row ht="15.75" customHeight="1" r="323">
      <c r="A323" s="4"/>
      <c r="B323" s="4"/>
      <c r="C323" s="120"/>
      <c r="D323" s="4"/>
      <c r="E323" s="4"/>
      <c r="F323" s="4"/>
      <c r="G323" s="4"/>
      <c r="H323" s="4"/>
    </row>
    <row ht="15.75" customHeight="1" r="324">
      <c r="A324" s="4"/>
      <c r="B324" s="4"/>
      <c r="C324" s="120"/>
      <c r="D324" s="4"/>
      <c r="E324" s="4"/>
      <c r="F324" s="4"/>
      <c r="G324" s="4"/>
      <c r="H324" s="4"/>
    </row>
    <row ht="15.75" customHeight="1" r="325">
      <c r="A325" s="4"/>
      <c r="B325" s="4"/>
      <c r="C325" s="120"/>
      <c r="D325" s="4"/>
      <c r="E325" s="4"/>
      <c r="F325" s="4"/>
      <c r="G325" s="4"/>
      <c r="H325" s="4"/>
    </row>
    <row ht="15.75" customHeight="1" r="326">
      <c r="A326" s="4"/>
      <c r="B326" s="4"/>
      <c r="C326" s="120"/>
      <c r="D326" s="4"/>
      <c r="E326" s="4"/>
      <c r="F326" s="4"/>
      <c r="G326" s="4"/>
      <c r="H326" s="4"/>
    </row>
    <row ht="15.75" customHeight="1" r="327">
      <c r="A327" s="4"/>
      <c r="B327" s="4"/>
      <c r="C327" s="120"/>
      <c r="D327" s="4"/>
      <c r="E327" s="4"/>
      <c r="F327" s="4"/>
      <c r="G327" s="4"/>
      <c r="H327" s="4"/>
    </row>
    <row ht="15.75" customHeight="1" r="328">
      <c r="A328" s="4"/>
      <c r="B328" s="4"/>
      <c r="C328" s="120"/>
      <c r="D328" s="4"/>
      <c r="E328" s="4"/>
      <c r="F328" s="4"/>
      <c r="G328" s="4"/>
      <c r="H328" s="4"/>
    </row>
    <row ht="15.75" customHeight="1" r="329">
      <c r="A329" s="4"/>
      <c r="B329" s="4"/>
      <c r="C329" s="120"/>
      <c r="D329" s="4"/>
      <c r="E329" s="4"/>
      <c r="F329" s="4"/>
      <c r="G329" s="4"/>
      <c r="H329" s="4"/>
    </row>
    <row ht="15.75" customHeight="1" r="330">
      <c r="A330" s="4"/>
      <c r="B330" s="4"/>
      <c r="C330" s="120"/>
      <c r="D330" s="4"/>
      <c r="E330" s="4"/>
      <c r="F330" s="4"/>
      <c r="G330" s="4"/>
      <c r="H330" s="4"/>
    </row>
    <row ht="15.75" customHeight="1" r="331">
      <c r="A331" s="4"/>
      <c r="B331" s="4"/>
      <c r="C331" s="120"/>
      <c r="D331" s="4"/>
      <c r="E331" s="4"/>
      <c r="F331" s="4"/>
      <c r="G331" s="4"/>
      <c r="H331" s="4"/>
    </row>
    <row ht="15.75" customHeight="1" r="332">
      <c r="A332" s="4"/>
      <c r="B332" s="4"/>
      <c r="C332" s="120"/>
      <c r="D332" s="4"/>
      <c r="E332" s="4"/>
      <c r="F332" s="4"/>
      <c r="G332" s="4"/>
      <c r="H332" s="4"/>
    </row>
    <row ht="15.75" customHeight="1" r="333">
      <c r="A333" s="4"/>
      <c r="B333" s="4"/>
      <c r="C333" s="120"/>
      <c r="D333" s="4"/>
      <c r="E333" s="4"/>
      <c r="F333" s="4"/>
      <c r="G333" s="4"/>
      <c r="H333" s="4"/>
    </row>
    <row ht="15.75" customHeight="1" r="334">
      <c r="A334" s="4"/>
      <c r="B334" s="4"/>
      <c r="C334" s="120"/>
      <c r="D334" s="4"/>
      <c r="E334" s="4"/>
      <c r="F334" s="4"/>
      <c r="G334" s="4"/>
      <c r="H334" s="4"/>
    </row>
    <row ht="15.75" customHeight="1" r="335">
      <c r="A335" s="4"/>
      <c r="B335" s="4"/>
      <c r="C335" s="120"/>
      <c r="D335" s="4"/>
      <c r="E335" s="4"/>
      <c r="F335" s="4"/>
      <c r="G335" s="4"/>
      <c r="H335" s="4"/>
    </row>
    <row ht="15.75" customHeight="1" r="336">
      <c r="A336" s="4"/>
      <c r="B336" s="4"/>
      <c r="C336" s="120"/>
      <c r="D336" s="4"/>
      <c r="E336" s="4"/>
      <c r="F336" s="4"/>
      <c r="G336" s="4"/>
      <c r="H336" s="4"/>
    </row>
    <row ht="15.75" customHeight="1" r="337">
      <c r="A337" s="4"/>
      <c r="B337" s="4"/>
      <c r="C337" s="120"/>
      <c r="D337" s="4"/>
      <c r="E337" s="4"/>
      <c r="F337" s="4"/>
      <c r="G337" s="4"/>
      <c r="H337" s="4"/>
    </row>
    <row ht="15.75" customHeight="1" r="338">
      <c r="A338" s="4"/>
      <c r="B338" s="4"/>
      <c r="C338" s="120"/>
      <c r="D338" s="4"/>
      <c r="E338" s="4"/>
      <c r="F338" s="4"/>
      <c r="G338" s="4"/>
      <c r="H338" s="4"/>
    </row>
    <row ht="15.75" customHeight="1" r="339">
      <c r="A339" s="4"/>
      <c r="B339" s="4"/>
      <c r="C339" s="120"/>
      <c r="D339" s="4"/>
      <c r="E339" s="4"/>
      <c r="F339" s="4"/>
      <c r="G339" s="4"/>
      <c r="H339" s="4"/>
    </row>
    <row ht="15.75" customHeight="1" r="340">
      <c r="A340" s="4"/>
      <c r="B340" s="4"/>
      <c r="C340" s="120"/>
      <c r="D340" s="4"/>
      <c r="E340" s="4"/>
      <c r="F340" s="4"/>
      <c r="G340" s="4"/>
      <c r="H340" s="4"/>
    </row>
    <row ht="15.75" customHeight="1" r="341">
      <c r="A341" s="4"/>
      <c r="B341" s="4"/>
      <c r="C341" s="120"/>
      <c r="D341" s="4"/>
      <c r="E341" s="4"/>
      <c r="F341" s="4"/>
      <c r="G341" s="4"/>
      <c r="H341" s="4"/>
    </row>
    <row ht="15.75" customHeight="1" r="342">
      <c r="A342" s="4"/>
      <c r="B342" s="4"/>
      <c r="C342" s="120"/>
      <c r="D342" s="4"/>
      <c r="E342" s="4"/>
      <c r="F342" s="4"/>
      <c r="G342" s="4"/>
      <c r="H342" s="4"/>
    </row>
    <row ht="15.75" customHeight="1" r="343">
      <c r="A343" s="4"/>
      <c r="B343" s="4"/>
      <c r="C343" s="120"/>
      <c r="D343" s="4"/>
      <c r="E343" s="4"/>
      <c r="F343" s="4"/>
      <c r="G343" s="4"/>
      <c r="H343" s="4"/>
    </row>
    <row ht="15.75" customHeight="1" r="344">
      <c r="A344" s="4"/>
      <c r="B344" s="4"/>
      <c r="C344" s="120"/>
      <c r="D344" s="4"/>
      <c r="E344" s="4"/>
      <c r="F344" s="4"/>
      <c r="G344" s="4"/>
      <c r="H344" s="4"/>
    </row>
    <row ht="15.75" customHeight="1" r="345">
      <c r="A345" s="4"/>
      <c r="B345" s="4"/>
      <c r="C345" s="120"/>
      <c r="D345" s="4"/>
      <c r="E345" s="4"/>
      <c r="F345" s="4"/>
      <c r="G345" s="4"/>
      <c r="H345" s="4"/>
    </row>
    <row ht="15.75" customHeight="1" r="346">
      <c r="A346" s="4"/>
      <c r="B346" s="4"/>
      <c r="C346" s="120"/>
      <c r="D346" s="4"/>
      <c r="E346" s="4"/>
      <c r="F346" s="4"/>
      <c r="G346" s="4"/>
      <c r="H346" s="4"/>
    </row>
    <row ht="15.75" customHeight="1" r="347">
      <c r="A347" s="4"/>
      <c r="B347" s="4"/>
      <c r="C347" s="120"/>
      <c r="D347" s="4"/>
      <c r="E347" s="4"/>
      <c r="F347" s="4"/>
      <c r="G347" s="4"/>
      <c r="H347" s="4"/>
    </row>
    <row ht="15.75" customHeight="1" r="348">
      <c r="A348" s="4"/>
      <c r="B348" s="4"/>
      <c r="C348" s="120"/>
      <c r="D348" s="4"/>
      <c r="E348" s="4"/>
      <c r="F348" s="4"/>
      <c r="G348" s="4"/>
      <c r="H348" s="4"/>
    </row>
    <row ht="15.75" customHeight="1" r="349">
      <c r="A349" s="4"/>
      <c r="B349" s="4"/>
      <c r="C349" s="120"/>
      <c r="D349" s="4"/>
      <c r="E349" s="4"/>
      <c r="F349" s="4"/>
      <c r="G349" s="4"/>
      <c r="H349" s="4"/>
    </row>
    <row ht="15.75" customHeight="1" r="350">
      <c r="A350" s="4"/>
      <c r="B350" s="4"/>
      <c r="C350" s="120"/>
      <c r="D350" s="4"/>
      <c r="E350" s="4"/>
      <c r="F350" s="4"/>
      <c r="G350" s="4"/>
      <c r="H350" s="4"/>
    </row>
    <row ht="15.75" customHeight="1" r="351">
      <c r="A351" s="4"/>
      <c r="B351" s="4"/>
      <c r="C351" s="120"/>
      <c r="D351" s="4"/>
      <c r="E351" s="4"/>
      <c r="F351" s="4"/>
      <c r="G351" s="4"/>
      <c r="H351" s="4"/>
    </row>
    <row ht="15.75" customHeight="1" r="352">
      <c r="A352" s="4"/>
      <c r="B352" s="4"/>
      <c r="C352" s="120"/>
      <c r="D352" s="4"/>
      <c r="E352" s="4"/>
      <c r="F352" s="4"/>
      <c r="G352" s="4"/>
      <c r="H352" s="4"/>
    </row>
    <row ht="15.75" customHeight="1" r="353">
      <c r="A353" s="4"/>
      <c r="B353" s="4"/>
      <c r="C353" s="120"/>
      <c r="D353" s="4"/>
      <c r="E353" s="4"/>
      <c r="F353" s="4"/>
      <c r="G353" s="4"/>
      <c r="H353" s="4"/>
    </row>
    <row ht="15.75" customHeight="1" r="354">
      <c r="A354" s="4"/>
      <c r="B354" s="4"/>
      <c r="C354" s="120"/>
      <c r="D354" s="4"/>
      <c r="E354" s="4"/>
      <c r="F354" s="4"/>
      <c r="G354" s="4"/>
      <c r="H354" s="4"/>
    </row>
    <row ht="15.75" customHeight="1" r="355">
      <c r="A355" s="4"/>
      <c r="B355" s="4"/>
      <c r="C355" s="120"/>
      <c r="D355" s="4"/>
      <c r="E355" s="4"/>
      <c r="F355" s="4"/>
      <c r="G355" s="4"/>
      <c r="H355" s="4"/>
    </row>
    <row ht="15.75" customHeight="1" r="356">
      <c r="A356" s="4"/>
      <c r="B356" s="4"/>
      <c r="C356" s="120"/>
      <c r="D356" s="4"/>
      <c r="E356" s="4"/>
      <c r="F356" s="4"/>
      <c r="G356" s="4"/>
      <c r="H356" s="4"/>
    </row>
    <row ht="15.75" customHeight="1" r="357">
      <c r="A357" s="4"/>
      <c r="B357" s="4"/>
      <c r="C357" s="120"/>
      <c r="D357" s="4"/>
      <c r="E357" s="4"/>
      <c r="F357" s="4"/>
      <c r="G357" s="4"/>
      <c r="H357" s="4"/>
    </row>
    <row ht="15.75" customHeight="1" r="358">
      <c r="A358" s="4"/>
      <c r="B358" s="4"/>
      <c r="C358" s="120"/>
      <c r="D358" s="4"/>
      <c r="E358" s="4"/>
      <c r="F358" s="4"/>
      <c r="G358" s="4"/>
      <c r="H358" s="4"/>
    </row>
    <row ht="15.75" customHeight="1" r="359">
      <c r="A359" s="4"/>
      <c r="B359" s="4"/>
      <c r="C359" s="120"/>
      <c r="D359" s="4"/>
      <c r="E359" s="4"/>
      <c r="F359" s="4"/>
      <c r="G359" s="4"/>
      <c r="H359" s="4"/>
    </row>
    <row ht="15.75" customHeight="1" r="360">
      <c r="A360" s="4"/>
      <c r="B360" s="4"/>
      <c r="C360" s="120"/>
      <c r="D360" s="4"/>
      <c r="E360" s="4"/>
      <c r="F360" s="4"/>
      <c r="G360" s="4"/>
      <c r="H360" s="4"/>
    </row>
    <row ht="15.75" customHeight="1" r="361">
      <c r="A361" s="4"/>
      <c r="B361" s="4"/>
      <c r="C361" s="120"/>
      <c r="D361" s="4"/>
      <c r="E361" s="4"/>
      <c r="F361" s="4"/>
      <c r="G361" s="4"/>
      <c r="H361" s="4"/>
    </row>
    <row ht="15.75" customHeight="1" r="362">
      <c r="A362" s="4"/>
      <c r="B362" s="4"/>
      <c r="C362" s="120"/>
      <c r="D362" s="4"/>
      <c r="E362" s="4"/>
      <c r="F362" s="4"/>
      <c r="G362" s="4"/>
      <c r="H362" s="4"/>
    </row>
    <row ht="15.75" customHeight="1" r="363">
      <c r="A363" s="4"/>
      <c r="B363" s="4"/>
      <c r="C363" s="120"/>
      <c r="D363" s="4"/>
      <c r="E363" s="4"/>
      <c r="F363" s="4"/>
      <c r="G363" s="4"/>
      <c r="H363" s="4"/>
    </row>
    <row ht="15.75" customHeight="1" r="364">
      <c r="A364" s="4"/>
      <c r="B364" s="4"/>
      <c r="C364" s="120"/>
      <c r="D364" s="4"/>
      <c r="E364" s="4"/>
      <c r="F364" s="4"/>
      <c r="G364" s="4"/>
      <c r="H364" s="4"/>
    </row>
    <row ht="15.75" customHeight="1" r="365">
      <c r="A365" s="4"/>
      <c r="B365" s="4"/>
      <c r="C365" s="120"/>
      <c r="D365" s="4"/>
      <c r="E365" s="4"/>
      <c r="F365" s="4"/>
      <c r="G365" s="4"/>
      <c r="H365" s="4"/>
    </row>
    <row ht="15.75" customHeight="1" r="366">
      <c r="A366" s="4"/>
      <c r="B366" s="4"/>
      <c r="C366" s="120"/>
      <c r="D366" s="4"/>
      <c r="E366" s="4"/>
      <c r="F366" s="4"/>
      <c r="G366" s="4"/>
      <c r="H366" s="4"/>
    </row>
    <row ht="15.75" customHeight="1" r="367">
      <c r="A367" s="4"/>
      <c r="B367" s="4"/>
      <c r="C367" s="120"/>
      <c r="D367" s="4"/>
      <c r="E367" s="4"/>
      <c r="F367" s="4"/>
      <c r="G367" s="4"/>
      <c r="H367" s="4"/>
    </row>
    <row ht="15.75" customHeight="1" r="368">
      <c r="A368" s="4"/>
      <c r="B368" s="4"/>
      <c r="C368" s="120"/>
      <c r="D368" s="4"/>
      <c r="E368" s="4"/>
      <c r="F368" s="4"/>
      <c r="G368" s="4"/>
      <c r="H368" s="4"/>
    </row>
    <row ht="15.75" customHeight="1" r="369">
      <c r="A369" s="4"/>
      <c r="B369" s="4"/>
      <c r="C369" s="120"/>
      <c r="D369" s="4"/>
      <c r="E369" s="4"/>
      <c r="F369" s="4"/>
      <c r="G369" s="4"/>
      <c r="H369" s="4"/>
    </row>
    <row ht="15.75" customHeight="1" r="370">
      <c r="A370" s="4"/>
      <c r="B370" s="4"/>
      <c r="C370" s="120"/>
      <c r="D370" s="4"/>
      <c r="E370" s="4"/>
      <c r="F370" s="4"/>
      <c r="G370" s="4"/>
      <c r="H370" s="4"/>
    </row>
    <row ht="15.75" customHeight="1" r="371">
      <c r="A371" s="4"/>
      <c r="B371" s="4"/>
      <c r="C371" s="120"/>
      <c r="D371" s="4"/>
      <c r="E371" s="4"/>
      <c r="F371" s="4"/>
      <c r="G371" s="4"/>
      <c r="H371" s="4"/>
    </row>
    <row ht="15.75" customHeight="1" r="372">
      <c r="A372" s="4"/>
      <c r="B372" s="4"/>
      <c r="C372" s="120"/>
      <c r="D372" s="4"/>
      <c r="E372" s="4"/>
      <c r="F372" s="4"/>
      <c r="G372" s="4"/>
      <c r="H372" s="4"/>
    </row>
    <row ht="15.75" customHeight="1" r="373">
      <c r="A373" s="4"/>
      <c r="B373" s="4"/>
      <c r="C373" s="120"/>
      <c r="D373" s="4"/>
      <c r="E373" s="4"/>
      <c r="F373" s="4"/>
      <c r="G373" s="4"/>
      <c r="H373" s="4"/>
    </row>
    <row ht="15.75" customHeight="1" r="374">
      <c r="A374" s="4"/>
      <c r="B374" s="4"/>
      <c r="C374" s="120"/>
      <c r="D374" s="4"/>
      <c r="E374" s="4"/>
      <c r="F374" s="4"/>
      <c r="G374" s="4"/>
      <c r="H374" s="4"/>
    </row>
    <row ht="15.75" customHeight="1" r="375">
      <c r="A375" s="4"/>
      <c r="B375" s="4"/>
      <c r="C375" s="120"/>
      <c r="D375" s="4"/>
      <c r="E375" s="4"/>
      <c r="F375" s="4"/>
      <c r="G375" s="4"/>
      <c r="H375" s="4"/>
    </row>
    <row ht="15.75" customHeight="1" r="376">
      <c r="B376" s="141"/>
    </row>
    <row ht="15.75" customHeight="1" r="377">
      <c r="B377" s="141"/>
    </row>
    <row ht="15.75" customHeight="1" r="378">
      <c r="B378" s="141"/>
    </row>
    <row ht="15.75" customHeight="1" r="379">
      <c r="B379" s="141"/>
    </row>
    <row ht="15.75" customHeight="1" r="380">
      <c r="B380" s="141"/>
    </row>
    <row ht="15.75" customHeight="1" r="381">
      <c r="B381" s="141"/>
    </row>
    <row ht="15.75" customHeight="1" r="382">
      <c r="B382" s="141"/>
    </row>
    <row ht="15.75" customHeight="1" r="383">
      <c r="B383" s="141"/>
    </row>
    <row ht="15.75" customHeight="1" r="384">
      <c r="B384" s="141"/>
    </row>
    <row ht="15.75" customHeight="1" r="385">
      <c r="B385" s="141"/>
    </row>
    <row ht="15.75" customHeight="1" r="386">
      <c r="B386" s="141"/>
    </row>
    <row ht="15.75" customHeight="1" r="387">
      <c r="B387" s="141"/>
    </row>
    <row ht="15.75" customHeight="1" r="388">
      <c r="B388" s="141"/>
    </row>
    <row ht="15.75" customHeight="1" r="389">
      <c r="B389" s="141"/>
    </row>
    <row ht="15.75" customHeight="1" r="390">
      <c r="B390" s="141"/>
    </row>
    <row ht="15.75" customHeight="1" r="391">
      <c r="B391" s="141"/>
    </row>
    <row ht="15.75" customHeight="1" r="392">
      <c r="B392" s="141"/>
    </row>
    <row ht="15.75" customHeight="1" r="393">
      <c r="B393" s="141"/>
    </row>
    <row ht="15.75" customHeight="1" r="394">
      <c r="B394" s="141"/>
    </row>
    <row ht="15.75" customHeight="1" r="395">
      <c r="B395" s="141"/>
    </row>
    <row ht="15.75" customHeight="1" r="396">
      <c r="B396" s="141"/>
    </row>
    <row ht="15.75" customHeight="1" r="397">
      <c r="B397" s="141"/>
    </row>
    <row ht="15.75" customHeight="1" r="398">
      <c r="B398" s="141"/>
    </row>
    <row ht="15.75" customHeight="1" r="399">
      <c r="B399" s="141"/>
    </row>
    <row ht="15.75" customHeight="1" r="400">
      <c r="B400" s="141"/>
    </row>
    <row ht="15.75" customHeight="1" r="401">
      <c r="B401" s="141"/>
    </row>
    <row ht="15.75" customHeight="1" r="402">
      <c r="B402" s="141"/>
    </row>
    <row ht="15.75" customHeight="1" r="403">
      <c r="B403" s="141"/>
    </row>
    <row ht="15.75" customHeight="1" r="404">
      <c r="B404" s="141"/>
    </row>
    <row ht="15.75" customHeight="1" r="405">
      <c r="B405" s="141"/>
    </row>
    <row ht="15.75" customHeight="1" r="406">
      <c r="B406" s="141"/>
    </row>
    <row ht="15.75" customHeight="1" r="407">
      <c r="B407" s="141"/>
    </row>
    <row ht="15.75" customHeight="1" r="408">
      <c r="B408" s="141"/>
    </row>
    <row ht="15.75" customHeight="1" r="409">
      <c r="B409" s="141"/>
    </row>
    <row ht="15.75" customHeight="1" r="410">
      <c r="B410" s="141"/>
    </row>
    <row ht="15.75" customHeight="1" r="411">
      <c r="B411" s="141"/>
    </row>
    <row ht="15.75" customHeight="1" r="412">
      <c r="B412" s="141"/>
    </row>
    <row ht="15.75" customHeight="1" r="413">
      <c r="B413" s="141"/>
    </row>
    <row ht="15.75" customHeight="1" r="414">
      <c r="B414" s="141"/>
    </row>
    <row ht="15.75" customHeight="1" r="415">
      <c r="B415" s="141"/>
    </row>
    <row ht="15.75" customHeight="1" r="416">
      <c r="B416" s="141"/>
    </row>
    <row ht="15.75" customHeight="1" r="417">
      <c r="B417" s="141"/>
    </row>
    <row ht="15.75" customHeight="1" r="418">
      <c r="B418" s="141"/>
    </row>
    <row ht="15.75" customHeight="1" r="419">
      <c r="B419" s="141"/>
    </row>
    <row ht="15.75" customHeight="1" r="420">
      <c r="B420" s="141"/>
    </row>
    <row ht="15.75" customHeight="1" r="421">
      <c r="B421" s="141"/>
    </row>
    <row ht="15.75" customHeight="1" r="422">
      <c r="B422" s="141"/>
    </row>
    <row ht="15.75" customHeight="1" r="423">
      <c r="B423" s="141"/>
    </row>
    <row ht="15.75" customHeight="1" r="424">
      <c r="B424" s="141"/>
    </row>
    <row ht="15.75" customHeight="1" r="425">
      <c r="B425" s="141"/>
    </row>
    <row ht="15.75" customHeight="1" r="426">
      <c r="B426" s="141"/>
    </row>
    <row ht="15.75" customHeight="1" r="427">
      <c r="B427" s="141"/>
    </row>
    <row ht="15.75" customHeight="1" r="428">
      <c r="B428" s="141"/>
    </row>
    <row ht="15.75" customHeight="1" r="429">
      <c r="B429" s="141"/>
    </row>
    <row ht="15.75" customHeight="1" r="430">
      <c r="B430" s="141"/>
    </row>
    <row ht="15.75" customHeight="1" r="431">
      <c r="B431" s="141"/>
    </row>
    <row ht="15.75" customHeight="1" r="432">
      <c r="B432" s="141"/>
    </row>
    <row ht="15.75" customHeight="1" r="433">
      <c r="B433" s="141"/>
    </row>
    <row ht="15.75" customHeight="1" r="434">
      <c r="B434" s="141"/>
    </row>
    <row ht="15.75" customHeight="1" r="435">
      <c r="B435" s="141"/>
    </row>
    <row ht="15.75" customHeight="1" r="436">
      <c r="B436" s="141"/>
    </row>
    <row ht="15.75" customHeight="1" r="437">
      <c r="B437" s="141"/>
    </row>
    <row ht="15.75" customHeight="1" r="438">
      <c r="B438" s="141"/>
    </row>
    <row ht="15.75" customHeight="1" r="439">
      <c r="B439" s="141"/>
    </row>
    <row ht="15.75" customHeight="1" r="440">
      <c r="B440" s="141"/>
    </row>
    <row ht="15.75" customHeight="1" r="441">
      <c r="B441" s="141"/>
    </row>
    <row ht="15.75" customHeight="1" r="442">
      <c r="B442" s="141"/>
    </row>
    <row ht="15.75" customHeight="1" r="443">
      <c r="B443" s="141"/>
    </row>
    <row ht="15.75" customHeight="1" r="444">
      <c r="B444" s="141"/>
    </row>
    <row ht="15.75" customHeight="1" r="445">
      <c r="B445" s="141"/>
    </row>
    <row ht="15.75" customHeight="1" r="446">
      <c r="B446" s="141"/>
    </row>
    <row ht="15.75" customHeight="1" r="447">
      <c r="B447" s="141"/>
    </row>
    <row ht="15.75" customHeight="1" r="448">
      <c r="B448" s="141"/>
    </row>
    <row ht="15.75" customHeight="1" r="449">
      <c r="B449" s="141"/>
    </row>
    <row ht="15.75" customHeight="1" r="450">
      <c r="B450" s="141"/>
    </row>
    <row ht="15.75" customHeight="1" r="451">
      <c r="B451" s="141"/>
    </row>
    <row ht="15.75" customHeight="1" r="452">
      <c r="B452" s="141"/>
    </row>
    <row ht="15.75" customHeight="1" r="453">
      <c r="B453" s="141"/>
    </row>
    <row ht="15.75" customHeight="1" r="454">
      <c r="B454" s="141"/>
    </row>
    <row ht="15.75" customHeight="1" r="455">
      <c r="B455" s="141"/>
    </row>
    <row ht="15.75" customHeight="1" r="456">
      <c r="B456" s="141"/>
    </row>
    <row ht="15.75" customHeight="1" r="457">
      <c r="B457" s="141"/>
    </row>
    <row ht="15.75" customHeight="1" r="458">
      <c r="B458" s="141"/>
    </row>
    <row ht="15.75" customHeight="1" r="459">
      <c r="B459" s="141"/>
    </row>
    <row ht="15.75" customHeight="1" r="460">
      <c r="B460" s="141"/>
    </row>
    <row ht="15.75" customHeight="1" r="461">
      <c r="B461" s="141"/>
    </row>
    <row ht="15.75" customHeight="1" r="462">
      <c r="B462" s="141"/>
    </row>
    <row ht="15.75" customHeight="1" r="463">
      <c r="B463" s="141"/>
    </row>
    <row ht="15.75" customHeight="1" r="464">
      <c r="B464" s="141"/>
    </row>
    <row ht="15.75" customHeight="1" r="465">
      <c r="B465" s="141"/>
    </row>
    <row ht="15.75" customHeight="1" r="466">
      <c r="B466" s="141"/>
    </row>
    <row ht="15.75" customHeight="1" r="467">
      <c r="B467" s="141"/>
    </row>
    <row ht="15.75" customHeight="1" r="468">
      <c r="B468" s="141"/>
    </row>
    <row ht="15.75" customHeight="1" r="469">
      <c r="B469" s="141"/>
    </row>
    <row ht="15.75" customHeight="1" r="470">
      <c r="B470" s="141"/>
    </row>
    <row ht="15.75" customHeight="1" r="471">
      <c r="B471" s="141"/>
    </row>
    <row ht="15.75" customHeight="1" r="472">
      <c r="B472" s="141"/>
    </row>
    <row ht="15.75" customHeight="1" r="473">
      <c r="B473" s="141"/>
    </row>
    <row ht="15.75" customHeight="1" r="474">
      <c r="B474" s="141"/>
    </row>
    <row ht="15.75" customHeight="1" r="475">
      <c r="B475" s="141"/>
    </row>
    <row ht="15.75" customHeight="1" r="476">
      <c r="B476" s="141"/>
    </row>
    <row ht="15.75" customHeight="1" r="477">
      <c r="B477" s="141"/>
    </row>
    <row ht="15.75" customHeight="1" r="478">
      <c r="B478" s="141"/>
    </row>
    <row ht="15.75" customHeight="1" r="479">
      <c r="B479" s="141"/>
    </row>
    <row ht="15.75" customHeight="1" r="480">
      <c r="B480" s="141"/>
    </row>
    <row ht="15.75" customHeight="1" r="481">
      <c r="B481" s="141"/>
    </row>
    <row ht="15.75" customHeight="1" r="482">
      <c r="B482" s="141"/>
    </row>
    <row ht="15.75" customHeight="1" r="483">
      <c r="B483" s="141"/>
    </row>
    <row ht="15.75" customHeight="1" r="484">
      <c r="B484" s="141"/>
    </row>
    <row ht="15.75" customHeight="1" r="485">
      <c r="B485" s="141"/>
    </row>
    <row ht="15.75" customHeight="1" r="486">
      <c r="B486" s="141"/>
    </row>
    <row ht="15.75" customHeight="1" r="487">
      <c r="B487" s="141"/>
    </row>
    <row ht="15.75" customHeight="1" r="488">
      <c r="B488" s="141"/>
    </row>
    <row ht="15.75" customHeight="1" r="489">
      <c r="B489" s="141"/>
    </row>
    <row ht="15.75" customHeight="1" r="490">
      <c r="B490" s="141"/>
    </row>
    <row ht="15.75" customHeight="1" r="491">
      <c r="B491" s="141"/>
    </row>
    <row ht="15.75" customHeight="1" r="492">
      <c r="B492" s="141"/>
    </row>
    <row ht="15.75" customHeight="1" r="493">
      <c r="B493" s="141"/>
    </row>
    <row ht="15.75" customHeight="1" r="494">
      <c r="B494" s="141"/>
    </row>
    <row ht="15.75" customHeight="1" r="495">
      <c r="B495" s="141"/>
    </row>
    <row ht="15.75" customHeight="1" r="496">
      <c r="B496" s="141"/>
    </row>
    <row ht="15.75" customHeight="1" r="497">
      <c r="B497" s="141"/>
    </row>
    <row ht="15.75" customHeight="1" r="498">
      <c r="B498" s="141"/>
    </row>
    <row ht="15.75" customHeight="1" r="499">
      <c r="B499" s="141"/>
    </row>
    <row ht="15.75" customHeight="1" r="500">
      <c r="B500" s="141"/>
    </row>
    <row ht="15.75" customHeight="1" r="501">
      <c r="B501" s="141"/>
    </row>
    <row ht="15.75" customHeight="1" r="502">
      <c r="B502" s="141"/>
    </row>
    <row ht="15.75" customHeight="1" r="503">
      <c r="B503" s="141"/>
    </row>
    <row ht="15.75" customHeight="1" r="504">
      <c r="B504" s="141"/>
    </row>
    <row ht="15.75" customHeight="1" r="505">
      <c r="B505" s="141"/>
    </row>
    <row ht="15.75" customHeight="1" r="506">
      <c r="B506" s="141"/>
    </row>
    <row ht="15.75" customHeight="1" r="507">
      <c r="B507" s="141"/>
    </row>
    <row ht="15.75" customHeight="1" r="508">
      <c r="B508" s="141"/>
    </row>
    <row ht="15.75" customHeight="1" r="509">
      <c r="B509" s="141"/>
    </row>
    <row ht="15.75" customHeight="1" r="510">
      <c r="B510" s="141"/>
    </row>
    <row ht="15.75" customHeight="1" r="511">
      <c r="B511" s="141"/>
    </row>
    <row ht="15.75" customHeight="1" r="512">
      <c r="B512" s="141"/>
    </row>
    <row ht="15.75" customHeight="1" r="513">
      <c r="B513" s="141"/>
    </row>
    <row ht="15.75" customHeight="1" r="514">
      <c r="B514" s="141"/>
    </row>
    <row ht="15.75" customHeight="1" r="515">
      <c r="B515" s="141"/>
    </row>
    <row ht="15.75" customHeight="1" r="516">
      <c r="B516" s="141"/>
    </row>
    <row ht="15.75" customHeight="1" r="517">
      <c r="B517" s="141"/>
    </row>
    <row ht="15.75" customHeight="1" r="518">
      <c r="B518" s="141"/>
    </row>
    <row ht="15.75" customHeight="1" r="519">
      <c r="B519" s="141"/>
    </row>
    <row ht="15.75" customHeight="1" r="520">
      <c r="B520" s="141"/>
    </row>
    <row ht="15.75" customHeight="1" r="521">
      <c r="B521" s="141"/>
    </row>
    <row ht="15.75" customHeight="1" r="522">
      <c r="B522" s="141"/>
    </row>
    <row ht="15.75" customHeight="1" r="523">
      <c r="B523" s="141"/>
    </row>
    <row ht="15.75" customHeight="1" r="524">
      <c r="B524" s="141"/>
    </row>
    <row ht="15.75" customHeight="1" r="525">
      <c r="B525" s="141"/>
    </row>
    <row ht="15.75" customHeight="1" r="526">
      <c r="B526" s="141"/>
    </row>
    <row ht="15.75" customHeight="1" r="527">
      <c r="B527" s="141"/>
    </row>
    <row ht="15.75" customHeight="1" r="528">
      <c r="B528" s="141"/>
    </row>
    <row ht="15.75" customHeight="1" r="529">
      <c r="B529" s="141"/>
    </row>
    <row ht="15.75" customHeight="1" r="530">
      <c r="B530" s="141"/>
    </row>
    <row ht="15.75" customHeight="1" r="531">
      <c r="B531" s="141"/>
    </row>
    <row ht="15.75" customHeight="1" r="532">
      <c r="B532" s="141"/>
    </row>
    <row ht="15.75" customHeight="1" r="533">
      <c r="B533" s="141"/>
    </row>
    <row ht="15.75" customHeight="1" r="534">
      <c r="B534" s="141"/>
    </row>
    <row ht="15.75" customHeight="1" r="535">
      <c r="B535" s="141"/>
    </row>
    <row ht="15.75" customHeight="1" r="536">
      <c r="B536" s="141"/>
    </row>
    <row ht="15.75" customHeight="1" r="537">
      <c r="B537" s="141"/>
    </row>
    <row ht="15.75" customHeight="1" r="538">
      <c r="B538" s="141"/>
    </row>
    <row ht="15.75" customHeight="1" r="539">
      <c r="B539" s="141"/>
    </row>
    <row ht="15.75" customHeight="1" r="540">
      <c r="B540" s="141"/>
    </row>
    <row ht="15.75" customHeight="1" r="541">
      <c r="B541" s="141"/>
    </row>
    <row ht="15.75" customHeight="1" r="542">
      <c r="B542" s="141"/>
    </row>
    <row ht="15.75" customHeight="1" r="543">
      <c r="B543" s="141"/>
    </row>
    <row ht="15.75" customHeight="1" r="544">
      <c r="B544" s="141"/>
    </row>
    <row ht="15.75" customHeight="1" r="545">
      <c r="B545" s="141"/>
    </row>
    <row ht="15.75" customHeight="1" r="546">
      <c r="B546" s="141"/>
    </row>
    <row ht="15.75" customHeight="1" r="547">
      <c r="B547" s="141"/>
    </row>
    <row ht="15.75" customHeight="1" r="548">
      <c r="B548" s="141"/>
    </row>
    <row ht="15.75" customHeight="1" r="549">
      <c r="B549" s="141"/>
    </row>
    <row ht="15.75" customHeight="1" r="550">
      <c r="B550" s="141"/>
    </row>
    <row ht="15.75" customHeight="1" r="551">
      <c r="B551" s="141"/>
    </row>
    <row ht="15.75" customHeight="1" r="552">
      <c r="B552" s="141"/>
    </row>
    <row ht="15.75" customHeight="1" r="553">
      <c r="B553" s="141"/>
    </row>
    <row ht="15.75" customHeight="1" r="554">
      <c r="B554" s="141"/>
    </row>
    <row ht="15.75" customHeight="1" r="555">
      <c r="B555" s="141"/>
    </row>
    <row ht="15.75" customHeight="1" r="556">
      <c r="B556" s="141"/>
    </row>
    <row ht="15.75" customHeight="1" r="557">
      <c r="B557" s="141"/>
    </row>
    <row ht="15.75" customHeight="1" r="558">
      <c r="B558" s="141"/>
    </row>
    <row ht="15.75" customHeight="1" r="559">
      <c r="B559" s="141"/>
    </row>
    <row ht="15.75" customHeight="1" r="560">
      <c r="B560" s="141"/>
    </row>
    <row ht="15.75" customHeight="1" r="561">
      <c r="B561" s="141"/>
    </row>
    <row ht="15.75" customHeight="1" r="562">
      <c r="B562" s="141"/>
    </row>
    <row ht="15.75" customHeight="1" r="563">
      <c r="B563" s="141"/>
    </row>
    <row ht="15.75" customHeight="1" r="564">
      <c r="B564" s="141"/>
    </row>
    <row ht="15.75" customHeight="1" r="565">
      <c r="B565" s="141"/>
    </row>
    <row ht="15.75" customHeight="1" r="566">
      <c r="B566" s="141"/>
    </row>
    <row ht="15.75" customHeight="1" r="567">
      <c r="B567" s="141"/>
    </row>
    <row ht="15.75" customHeight="1" r="568">
      <c r="B568" s="141"/>
    </row>
    <row ht="15.75" customHeight="1" r="569">
      <c r="B569" s="141"/>
    </row>
    <row ht="15.75" customHeight="1" r="570">
      <c r="B570" s="141"/>
    </row>
    <row ht="15.75" customHeight="1" r="571">
      <c r="B571" s="141"/>
    </row>
    <row ht="15.75" customHeight="1" r="572">
      <c r="B572" s="141"/>
    </row>
    <row ht="15.75" customHeight="1" r="573">
      <c r="B573" s="141"/>
    </row>
    <row ht="15.75" customHeight="1" r="574">
      <c r="B574" s="141"/>
    </row>
    <row ht="15.75" customHeight="1" r="575">
      <c r="B575" s="141"/>
    </row>
    <row ht="15.75" customHeight="1" r="576">
      <c r="B576" s="141"/>
    </row>
    <row ht="15.75" customHeight="1" r="577">
      <c r="B577" s="141"/>
    </row>
    <row ht="15.75" customHeight="1" r="578">
      <c r="B578" s="141"/>
    </row>
    <row ht="15.75" customHeight="1" r="579">
      <c r="B579" s="141"/>
    </row>
    <row ht="15.75" customHeight="1" r="580">
      <c r="B580" s="141"/>
    </row>
    <row ht="15.75" customHeight="1" r="581">
      <c r="B581" s="141"/>
    </row>
    <row ht="15.75" customHeight="1" r="582">
      <c r="B582" s="141"/>
    </row>
    <row ht="15.75" customHeight="1" r="583">
      <c r="B583" s="141"/>
    </row>
    <row ht="15.75" customHeight="1" r="584">
      <c r="B584" s="141"/>
    </row>
    <row ht="15.75" customHeight="1" r="585">
      <c r="B585" s="141"/>
    </row>
    <row ht="15.75" customHeight="1" r="586">
      <c r="B586" s="141"/>
    </row>
    <row ht="15.75" customHeight="1" r="587">
      <c r="B587" s="141"/>
    </row>
    <row ht="15.75" customHeight="1" r="588">
      <c r="B588" s="141"/>
    </row>
    <row ht="15.75" customHeight="1" r="589">
      <c r="B589" s="141"/>
    </row>
    <row ht="15.75" customHeight="1" r="590">
      <c r="B590" s="141"/>
    </row>
    <row ht="15.75" customHeight="1" r="591">
      <c r="B591" s="141"/>
    </row>
    <row ht="15.75" customHeight="1" r="592">
      <c r="B592" s="141"/>
    </row>
    <row ht="15.75" customHeight="1" r="593">
      <c r="B593" s="141"/>
    </row>
    <row ht="15.75" customHeight="1" r="594">
      <c r="B594" s="141"/>
    </row>
    <row ht="15.75" customHeight="1" r="595">
      <c r="B595" s="141"/>
    </row>
    <row ht="15.75" customHeight="1" r="596">
      <c r="B596" s="141"/>
    </row>
    <row ht="15.75" customHeight="1" r="597">
      <c r="B597" s="141"/>
    </row>
    <row ht="15.75" customHeight="1" r="598">
      <c r="B598" s="141"/>
    </row>
    <row ht="15.75" customHeight="1" r="599">
      <c r="B599" s="141"/>
    </row>
    <row ht="15.75" customHeight="1" r="600">
      <c r="B600" s="141"/>
    </row>
    <row ht="15.75" customHeight="1" r="601">
      <c r="B601" s="141"/>
    </row>
    <row ht="15.75" customHeight="1" r="602">
      <c r="B602" s="141"/>
    </row>
    <row ht="15.75" customHeight="1" r="603">
      <c r="B603" s="141"/>
    </row>
    <row ht="15.75" customHeight="1" r="604">
      <c r="B604" s="141"/>
    </row>
    <row ht="15.75" customHeight="1" r="605">
      <c r="B605" s="141"/>
    </row>
    <row ht="15.75" customHeight="1" r="606">
      <c r="B606" s="141"/>
    </row>
    <row ht="15.75" customHeight="1" r="607">
      <c r="B607" s="141"/>
    </row>
    <row ht="15.75" customHeight="1" r="608">
      <c r="B608" s="141"/>
    </row>
    <row ht="15.75" customHeight="1" r="609">
      <c r="B609" s="141"/>
    </row>
    <row ht="15.75" customHeight="1" r="610">
      <c r="B610" s="141"/>
    </row>
    <row ht="15.75" customHeight="1" r="611">
      <c r="B611" s="141"/>
    </row>
    <row ht="15.75" customHeight="1" r="612">
      <c r="B612" s="141"/>
    </row>
    <row ht="15.75" customHeight="1" r="613">
      <c r="B613" s="141"/>
    </row>
    <row ht="15.75" customHeight="1" r="614">
      <c r="B614" s="141"/>
    </row>
    <row ht="15.75" customHeight="1" r="615">
      <c r="B615" s="141"/>
    </row>
    <row ht="15.75" customHeight="1" r="616">
      <c r="B616" s="141"/>
    </row>
    <row ht="15.75" customHeight="1" r="617">
      <c r="B617" s="141"/>
    </row>
    <row ht="15.75" customHeight="1" r="618">
      <c r="B618" s="141"/>
    </row>
    <row ht="15.75" customHeight="1" r="619">
      <c r="B619" s="141"/>
    </row>
    <row ht="15.75" customHeight="1" r="620">
      <c r="B620" s="141"/>
    </row>
    <row ht="15.75" customHeight="1" r="621">
      <c r="B621" s="141"/>
    </row>
    <row ht="15.75" customHeight="1" r="622">
      <c r="B622" s="141"/>
    </row>
    <row ht="15.75" customHeight="1" r="623">
      <c r="B623" s="141"/>
    </row>
    <row ht="15.75" customHeight="1" r="624">
      <c r="B624" s="141"/>
    </row>
    <row ht="15.75" customHeight="1" r="625">
      <c r="B625" s="141"/>
    </row>
    <row ht="15.75" customHeight="1" r="626">
      <c r="B626" s="141"/>
    </row>
    <row ht="15.75" customHeight="1" r="627">
      <c r="B627" s="141"/>
    </row>
    <row ht="15.75" customHeight="1" r="628">
      <c r="B628" s="141"/>
    </row>
    <row ht="15.75" customHeight="1" r="629">
      <c r="B629" s="141"/>
    </row>
    <row ht="15.75" customHeight="1" r="630">
      <c r="B630" s="141"/>
    </row>
    <row ht="15.75" customHeight="1" r="631">
      <c r="B631" s="141"/>
    </row>
    <row ht="15.75" customHeight="1" r="632">
      <c r="B632" s="141"/>
    </row>
    <row ht="15.75" customHeight="1" r="633">
      <c r="B633" s="141"/>
    </row>
    <row ht="15.75" customHeight="1" r="634">
      <c r="B634" s="141"/>
    </row>
    <row ht="15.75" customHeight="1" r="635">
      <c r="B635" s="141"/>
    </row>
    <row ht="15.75" customHeight="1" r="636">
      <c r="B636" s="141"/>
    </row>
    <row ht="15.75" customHeight="1" r="637">
      <c r="B637" s="141"/>
    </row>
    <row ht="15.75" customHeight="1" r="638">
      <c r="B638" s="141"/>
    </row>
    <row ht="15.75" customHeight="1" r="639">
      <c r="B639" s="141"/>
    </row>
    <row ht="15.75" customHeight="1" r="640">
      <c r="B640" s="141"/>
    </row>
    <row ht="15.75" customHeight="1" r="641">
      <c r="B641" s="141"/>
    </row>
    <row ht="15.75" customHeight="1" r="642">
      <c r="B642" s="141"/>
    </row>
    <row ht="15.75" customHeight="1" r="643">
      <c r="B643" s="141"/>
    </row>
    <row ht="15.75" customHeight="1" r="644">
      <c r="B644" s="141"/>
    </row>
    <row ht="15.75" customHeight="1" r="645">
      <c r="B645" s="141"/>
    </row>
    <row ht="15.75" customHeight="1" r="646">
      <c r="B646" s="141"/>
    </row>
    <row ht="15.75" customHeight="1" r="647">
      <c r="B647" s="141"/>
    </row>
    <row ht="15.75" customHeight="1" r="648">
      <c r="B648" s="141"/>
    </row>
    <row ht="15.75" customHeight="1" r="649">
      <c r="B649" s="141"/>
    </row>
    <row ht="15.75" customHeight="1" r="650">
      <c r="B650" s="141"/>
    </row>
    <row ht="15.75" customHeight="1" r="651">
      <c r="B651" s="141"/>
    </row>
    <row ht="15.75" customHeight="1" r="652">
      <c r="B652" s="141"/>
    </row>
    <row ht="15.75" customHeight="1" r="653">
      <c r="B653" s="141"/>
    </row>
    <row ht="15.75" customHeight="1" r="654">
      <c r="B654" s="141"/>
    </row>
    <row ht="15.75" customHeight="1" r="655">
      <c r="B655" s="141"/>
    </row>
    <row ht="15.75" customHeight="1" r="656">
      <c r="B656" s="141"/>
    </row>
    <row ht="15.75" customHeight="1" r="657">
      <c r="B657" s="141"/>
    </row>
    <row ht="15.75" customHeight="1" r="658">
      <c r="B658" s="141"/>
    </row>
    <row ht="15.75" customHeight="1" r="659">
      <c r="B659" s="141"/>
    </row>
    <row ht="15.75" customHeight="1" r="660">
      <c r="B660" s="141"/>
    </row>
    <row ht="15.75" customHeight="1" r="661">
      <c r="B661" s="141"/>
    </row>
    <row ht="15.75" customHeight="1" r="662">
      <c r="B662" s="141"/>
    </row>
    <row ht="15.75" customHeight="1" r="663">
      <c r="B663" s="141"/>
    </row>
    <row ht="15.75" customHeight="1" r="664">
      <c r="B664" s="141"/>
    </row>
    <row ht="15.75" customHeight="1" r="665">
      <c r="B665" s="141"/>
    </row>
    <row ht="15.75" customHeight="1" r="666">
      <c r="B666" s="141"/>
    </row>
    <row ht="15.75" customHeight="1" r="667">
      <c r="B667" s="141"/>
    </row>
    <row ht="15.75" customHeight="1" r="668">
      <c r="B668" s="141"/>
    </row>
    <row ht="15.75" customHeight="1" r="669">
      <c r="B669" s="141"/>
    </row>
    <row ht="15.75" customHeight="1" r="670">
      <c r="B670" s="141"/>
    </row>
    <row ht="15.75" customHeight="1" r="671">
      <c r="B671" s="141"/>
    </row>
    <row ht="15.75" customHeight="1" r="672">
      <c r="B672" s="141"/>
    </row>
    <row ht="15.75" customHeight="1" r="673">
      <c r="B673" s="141"/>
    </row>
    <row ht="15.75" customHeight="1" r="674">
      <c r="B674" s="141"/>
    </row>
    <row ht="15.75" customHeight="1" r="675">
      <c r="B675" s="141"/>
    </row>
    <row ht="15.75" customHeight="1" r="676">
      <c r="B676" s="141"/>
    </row>
    <row ht="15.75" customHeight="1" r="677">
      <c r="B677" s="141"/>
    </row>
    <row ht="15.75" customHeight="1" r="678">
      <c r="B678" s="141"/>
    </row>
    <row ht="15.75" customHeight="1" r="679">
      <c r="B679" s="141"/>
    </row>
    <row ht="15.75" customHeight="1" r="680">
      <c r="B680" s="141"/>
    </row>
    <row ht="15.75" customHeight="1" r="681">
      <c r="B681" s="141"/>
    </row>
    <row ht="15.75" customHeight="1" r="682">
      <c r="B682" s="141"/>
    </row>
    <row ht="15.75" customHeight="1" r="683">
      <c r="B683" s="141"/>
    </row>
    <row ht="15.75" customHeight="1" r="684">
      <c r="B684" s="141"/>
    </row>
    <row ht="15.75" customHeight="1" r="685">
      <c r="B685" s="141"/>
    </row>
    <row ht="15.75" customHeight="1" r="686">
      <c r="B686" s="141"/>
    </row>
    <row ht="15.75" customHeight="1" r="687">
      <c r="B687" s="141"/>
    </row>
    <row ht="15.75" customHeight="1" r="688">
      <c r="B688" s="141"/>
    </row>
    <row ht="15.75" customHeight="1" r="689">
      <c r="B689" s="141"/>
    </row>
    <row ht="15.75" customHeight="1" r="690">
      <c r="B690" s="141"/>
    </row>
    <row ht="15.75" customHeight="1" r="691">
      <c r="B691" s="141"/>
    </row>
    <row ht="15.75" customHeight="1" r="692">
      <c r="B692" s="141"/>
    </row>
    <row ht="15.75" customHeight="1" r="693">
      <c r="B693" s="141"/>
    </row>
    <row ht="15.75" customHeight="1" r="694">
      <c r="B694" s="141"/>
    </row>
    <row ht="15.75" customHeight="1" r="695">
      <c r="B695" s="141"/>
    </row>
    <row ht="15.75" customHeight="1" r="696">
      <c r="B696" s="141"/>
    </row>
    <row ht="15.75" customHeight="1" r="697">
      <c r="B697" s="141"/>
    </row>
    <row ht="15.75" customHeight="1" r="698">
      <c r="B698" s="141"/>
    </row>
    <row ht="15.75" customHeight="1" r="699">
      <c r="B699" s="141"/>
    </row>
    <row ht="15.75" customHeight="1" r="700">
      <c r="B700" s="141"/>
    </row>
    <row ht="15.75" customHeight="1" r="701">
      <c r="B701" s="141"/>
    </row>
    <row ht="15.75" customHeight="1" r="702">
      <c r="B702" s="141"/>
    </row>
    <row ht="15.75" customHeight="1" r="703">
      <c r="B703" s="141"/>
    </row>
    <row ht="15.75" customHeight="1" r="704">
      <c r="B704" s="141"/>
    </row>
    <row ht="15.75" customHeight="1" r="705">
      <c r="B705" s="141"/>
    </row>
    <row ht="15.75" customHeight="1" r="706">
      <c r="B706" s="141"/>
    </row>
    <row ht="15.75" customHeight="1" r="707">
      <c r="B707" s="141"/>
    </row>
    <row ht="15.75" customHeight="1" r="708">
      <c r="B708" s="141"/>
    </row>
    <row ht="15.75" customHeight="1" r="709">
      <c r="B709" s="141"/>
    </row>
    <row ht="15.75" customHeight="1" r="710">
      <c r="B710" s="141"/>
    </row>
    <row ht="15.75" customHeight="1" r="711">
      <c r="B711" s="141"/>
    </row>
    <row ht="15.75" customHeight="1" r="712">
      <c r="B712" s="141"/>
    </row>
    <row ht="15.75" customHeight="1" r="713">
      <c r="B713" s="141"/>
    </row>
    <row ht="15.75" customHeight="1" r="714">
      <c r="B714" s="141"/>
    </row>
    <row ht="15.75" customHeight="1" r="715">
      <c r="B715" s="141"/>
    </row>
    <row ht="15.75" customHeight="1" r="716">
      <c r="B716" s="141"/>
    </row>
    <row ht="15.75" customHeight="1" r="717">
      <c r="B717" s="141"/>
    </row>
    <row ht="15.75" customHeight="1" r="718">
      <c r="B718" s="141"/>
    </row>
    <row ht="15.75" customHeight="1" r="719">
      <c r="B719" s="141"/>
    </row>
    <row ht="15.75" customHeight="1" r="720">
      <c r="B720" s="141"/>
    </row>
    <row ht="15.75" customHeight="1" r="721">
      <c r="B721" s="141"/>
    </row>
    <row ht="15.75" customHeight="1" r="722">
      <c r="B722" s="141"/>
    </row>
    <row ht="15.75" customHeight="1" r="723">
      <c r="B723" s="141"/>
    </row>
    <row ht="15.75" customHeight="1" r="724">
      <c r="B724" s="141"/>
    </row>
    <row ht="15.75" customHeight="1" r="725">
      <c r="B725" s="141"/>
    </row>
    <row ht="15.75" customHeight="1" r="726">
      <c r="B726" s="141"/>
    </row>
    <row ht="15.75" customHeight="1" r="727">
      <c r="B727" s="141"/>
    </row>
    <row ht="15.75" customHeight="1" r="728">
      <c r="B728" s="141"/>
    </row>
    <row ht="15.75" customHeight="1" r="729">
      <c r="B729" s="141"/>
    </row>
    <row ht="15.75" customHeight="1" r="730">
      <c r="B730" s="141"/>
    </row>
    <row ht="15.75" customHeight="1" r="731">
      <c r="B731" s="141"/>
    </row>
    <row ht="15.75" customHeight="1" r="732">
      <c r="B732" s="141"/>
    </row>
    <row ht="15.75" customHeight="1" r="733">
      <c r="B733" s="141"/>
    </row>
    <row ht="15.75" customHeight="1" r="734">
      <c r="B734" s="141"/>
    </row>
    <row ht="15.75" customHeight="1" r="735">
      <c r="B735" s="141"/>
    </row>
    <row ht="15.75" customHeight="1" r="736">
      <c r="B736" s="141"/>
    </row>
    <row ht="15.75" customHeight="1" r="737">
      <c r="B737" s="141"/>
    </row>
    <row ht="15.75" customHeight="1" r="738">
      <c r="B738" s="141"/>
    </row>
    <row ht="15.75" customHeight="1" r="739">
      <c r="B739" s="141"/>
    </row>
    <row ht="15.75" customHeight="1" r="740">
      <c r="B740" s="141"/>
    </row>
    <row ht="15.75" customHeight="1" r="741">
      <c r="B741" s="141"/>
    </row>
    <row ht="15.75" customHeight="1" r="742">
      <c r="B742" s="141"/>
    </row>
    <row ht="15.75" customHeight="1" r="743">
      <c r="B743" s="141"/>
    </row>
    <row ht="15.75" customHeight="1" r="744">
      <c r="B744" s="141"/>
    </row>
    <row ht="15.75" customHeight="1" r="745">
      <c r="B745" s="141"/>
    </row>
    <row ht="15.75" customHeight="1" r="746">
      <c r="B746" s="141"/>
    </row>
    <row ht="15.75" customHeight="1" r="747">
      <c r="B747" s="141"/>
    </row>
    <row ht="15.75" customHeight="1" r="748">
      <c r="B748" s="141"/>
    </row>
    <row ht="15.75" customHeight="1" r="749">
      <c r="B749" s="141"/>
    </row>
    <row ht="15.75" customHeight="1" r="750">
      <c r="B750" s="141"/>
    </row>
    <row ht="15.75" customHeight="1" r="751">
      <c r="B751" s="141"/>
    </row>
    <row ht="15.75" customHeight="1" r="752">
      <c r="B752" s="141"/>
    </row>
    <row ht="15.75" customHeight="1" r="753">
      <c r="B753" s="141"/>
    </row>
    <row ht="15.75" customHeight="1" r="754">
      <c r="B754" s="141"/>
    </row>
    <row ht="15.75" customHeight="1" r="755">
      <c r="B755" s="141"/>
    </row>
    <row ht="15.75" customHeight="1" r="756">
      <c r="B756" s="141"/>
    </row>
    <row ht="15.75" customHeight="1" r="757">
      <c r="B757" s="141"/>
    </row>
    <row ht="15.75" customHeight="1" r="758">
      <c r="B758" s="141"/>
    </row>
    <row ht="15.75" customHeight="1" r="759">
      <c r="B759" s="141"/>
    </row>
    <row ht="15.75" customHeight="1" r="760">
      <c r="B760" s="141"/>
    </row>
    <row ht="15.75" customHeight="1" r="761">
      <c r="B761" s="141"/>
    </row>
    <row ht="15.75" customHeight="1" r="762">
      <c r="B762" s="141"/>
    </row>
    <row ht="15.75" customHeight="1" r="763">
      <c r="B763" s="141"/>
    </row>
    <row ht="15.75" customHeight="1" r="764">
      <c r="B764" s="141"/>
    </row>
    <row ht="15.75" customHeight="1" r="765">
      <c r="B765" s="141"/>
    </row>
    <row ht="15.75" customHeight="1" r="766">
      <c r="B766" s="141"/>
    </row>
    <row ht="15.75" customHeight="1" r="767">
      <c r="B767" s="141"/>
    </row>
    <row ht="15.75" customHeight="1" r="768">
      <c r="B768" s="141"/>
    </row>
    <row ht="15.75" customHeight="1" r="769">
      <c r="B769" s="141"/>
    </row>
    <row ht="15.75" customHeight="1" r="770">
      <c r="B770" s="141"/>
    </row>
    <row ht="15.75" customHeight="1" r="771">
      <c r="B771" s="141"/>
    </row>
    <row ht="15.75" customHeight="1" r="772">
      <c r="B772" s="141"/>
    </row>
    <row ht="15.75" customHeight="1" r="773">
      <c r="B773" s="141"/>
    </row>
    <row ht="15.75" customHeight="1" r="774">
      <c r="B774" s="141"/>
    </row>
    <row ht="15.75" customHeight="1" r="775">
      <c r="B775" s="141"/>
    </row>
    <row ht="15.75" customHeight="1" r="776">
      <c r="B776" s="141"/>
    </row>
    <row ht="15.75" customHeight="1" r="777">
      <c r="B777" s="141"/>
    </row>
    <row ht="15.75" customHeight="1" r="778">
      <c r="B778" s="141"/>
    </row>
    <row ht="15.75" customHeight="1" r="779">
      <c r="B779" s="141"/>
    </row>
    <row ht="15.75" customHeight="1" r="780">
      <c r="B780" s="141"/>
    </row>
    <row ht="15.75" customHeight="1" r="781">
      <c r="B781" s="141"/>
    </row>
    <row ht="15.75" customHeight="1" r="782">
      <c r="B782" s="141"/>
    </row>
    <row ht="15.75" customHeight="1" r="783">
      <c r="B783" s="141"/>
    </row>
    <row ht="15.75" customHeight="1" r="784">
      <c r="B784" s="141"/>
    </row>
    <row ht="15.75" customHeight="1" r="785">
      <c r="B785" s="141"/>
    </row>
    <row ht="15.75" customHeight="1" r="786">
      <c r="B786" s="141"/>
    </row>
    <row ht="15.75" customHeight="1" r="787">
      <c r="B787" s="141"/>
    </row>
    <row ht="15.75" customHeight="1" r="788">
      <c r="B788" s="141"/>
    </row>
    <row ht="15.75" customHeight="1" r="789">
      <c r="B789" s="141"/>
    </row>
    <row ht="15.75" customHeight="1" r="790">
      <c r="B790" s="141"/>
    </row>
    <row ht="15.75" customHeight="1" r="791">
      <c r="B791" s="141"/>
    </row>
    <row ht="15.75" customHeight="1" r="792">
      <c r="B792" s="141"/>
    </row>
    <row ht="15.75" customHeight="1" r="793">
      <c r="B793" s="141"/>
    </row>
    <row ht="15.75" customHeight="1" r="794">
      <c r="B794" s="141"/>
    </row>
    <row ht="15.75" customHeight="1" r="795">
      <c r="B795" s="141"/>
    </row>
    <row ht="15.75" customHeight="1" r="796">
      <c r="B796" s="141"/>
    </row>
    <row ht="15.75" customHeight="1" r="797">
      <c r="B797" s="141"/>
    </row>
    <row ht="15.75" customHeight="1" r="798">
      <c r="B798" s="141"/>
    </row>
    <row ht="15.75" customHeight="1" r="799">
      <c r="B799" s="141"/>
    </row>
    <row ht="15.75" customHeight="1" r="800">
      <c r="B800" s="141"/>
    </row>
    <row ht="15.75" customHeight="1" r="801">
      <c r="B801" s="141"/>
    </row>
    <row ht="15.75" customHeight="1" r="802">
      <c r="B802" s="141"/>
    </row>
    <row ht="15.75" customHeight="1" r="803">
      <c r="B803" s="141"/>
    </row>
    <row ht="15.75" customHeight="1" r="804">
      <c r="B804" s="141"/>
    </row>
    <row ht="15.75" customHeight="1" r="805">
      <c r="B805" s="141"/>
    </row>
    <row ht="15.75" customHeight="1" r="806">
      <c r="B806" s="141"/>
    </row>
    <row ht="15.75" customHeight="1" r="807">
      <c r="B807" s="141"/>
    </row>
    <row ht="15.75" customHeight="1" r="808">
      <c r="B808" s="141"/>
    </row>
    <row ht="15.75" customHeight="1" r="809">
      <c r="B809" s="141"/>
    </row>
    <row ht="15.75" customHeight="1" r="810">
      <c r="B810" s="141"/>
    </row>
    <row ht="15.75" customHeight="1" r="811">
      <c r="B811" s="141"/>
    </row>
    <row ht="15.75" customHeight="1" r="812">
      <c r="B812" s="141"/>
    </row>
    <row ht="15.75" customHeight="1" r="813">
      <c r="B813" s="141"/>
    </row>
    <row ht="15.75" customHeight="1" r="814">
      <c r="B814" s="141"/>
    </row>
    <row ht="15.75" customHeight="1" r="815">
      <c r="B815" s="141"/>
    </row>
    <row ht="15.75" customHeight="1" r="816">
      <c r="B816" s="141"/>
    </row>
    <row ht="15.75" customHeight="1" r="817">
      <c r="B817" s="141"/>
    </row>
    <row ht="15.75" customHeight="1" r="818">
      <c r="B818" s="141"/>
    </row>
    <row ht="15.75" customHeight="1" r="819">
      <c r="B819" s="141"/>
    </row>
    <row ht="15.75" customHeight="1" r="820">
      <c r="B820" s="141"/>
    </row>
    <row ht="15.75" customHeight="1" r="821">
      <c r="B821" s="141"/>
    </row>
    <row ht="15.75" customHeight="1" r="822">
      <c r="B822" s="141"/>
    </row>
    <row ht="15.75" customHeight="1" r="823">
      <c r="B823" s="141"/>
    </row>
    <row ht="15.75" customHeight="1" r="824">
      <c r="B824" s="141"/>
    </row>
    <row ht="15.75" customHeight="1" r="825">
      <c r="B825" s="141"/>
    </row>
    <row ht="15.75" customHeight="1" r="826">
      <c r="B826" s="141"/>
    </row>
    <row ht="15.75" customHeight="1" r="827">
      <c r="B827" s="141"/>
    </row>
    <row ht="15.75" customHeight="1" r="828">
      <c r="B828" s="141"/>
    </row>
    <row ht="15.75" customHeight="1" r="829">
      <c r="B829" s="141"/>
    </row>
    <row ht="15.75" customHeight="1" r="830">
      <c r="B830" s="141"/>
    </row>
    <row ht="15.75" customHeight="1" r="831">
      <c r="B831" s="141"/>
    </row>
    <row ht="15.75" customHeight="1" r="832">
      <c r="B832" s="141"/>
    </row>
    <row ht="15.75" customHeight="1" r="833">
      <c r="B833" s="141"/>
    </row>
    <row ht="15.75" customHeight="1" r="834">
      <c r="B834" s="141"/>
    </row>
    <row ht="15.75" customHeight="1" r="835">
      <c r="B835" s="141"/>
    </row>
    <row ht="15.75" customHeight="1" r="836">
      <c r="B836" s="141"/>
    </row>
    <row ht="15.75" customHeight="1" r="837">
      <c r="B837" s="141"/>
    </row>
    <row ht="15.75" customHeight="1" r="838">
      <c r="B838" s="141"/>
    </row>
    <row ht="15.75" customHeight="1" r="839">
      <c r="B839" s="141"/>
    </row>
    <row ht="15.75" customHeight="1" r="840">
      <c r="B840" s="141"/>
    </row>
    <row ht="15.75" customHeight="1" r="841">
      <c r="B841" s="141"/>
    </row>
    <row ht="15.75" customHeight="1" r="842">
      <c r="B842" s="141"/>
    </row>
    <row ht="15.75" customHeight="1" r="843">
      <c r="B843" s="141"/>
    </row>
    <row ht="15.75" customHeight="1" r="844">
      <c r="B844" s="141"/>
    </row>
    <row ht="15.75" customHeight="1" r="845">
      <c r="B845" s="141"/>
    </row>
    <row ht="15.75" customHeight="1" r="846">
      <c r="B846" s="141"/>
    </row>
    <row ht="15.75" customHeight="1" r="847">
      <c r="B847" s="141"/>
    </row>
    <row ht="15.75" customHeight="1" r="848">
      <c r="B848" s="141"/>
    </row>
    <row ht="15.75" customHeight="1" r="849">
      <c r="B849" s="141"/>
    </row>
    <row ht="15.75" customHeight="1" r="850">
      <c r="B850" s="141"/>
    </row>
    <row ht="15.75" customHeight="1" r="851">
      <c r="B851" s="141"/>
    </row>
    <row ht="15.75" customHeight="1" r="852">
      <c r="B852" s="141"/>
    </row>
    <row ht="15.75" customHeight="1" r="853">
      <c r="B853" s="141"/>
    </row>
    <row ht="15.75" customHeight="1" r="854">
      <c r="B854" s="141"/>
    </row>
    <row ht="15.75" customHeight="1" r="855">
      <c r="B855" s="141"/>
    </row>
    <row ht="15.75" customHeight="1" r="856">
      <c r="B856" s="141"/>
    </row>
    <row ht="15.75" customHeight="1" r="857">
      <c r="B857" s="141"/>
    </row>
    <row ht="15.75" customHeight="1" r="858">
      <c r="B858" s="141"/>
    </row>
    <row ht="15.75" customHeight="1" r="859">
      <c r="B859" s="141"/>
    </row>
    <row ht="15.75" customHeight="1" r="860">
      <c r="B860" s="141"/>
    </row>
    <row ht="15.75" customHeight="1" r="861">
      <c r="B861" s="141"/>
    </row>
    <row ht="15.75" customHeight="1" r="862">
      <c r="B862" s="141"/>
    </row>
    <row ht="15.75" customHeight="1" r="863">
      <c r="B863" s="141"/>
    </row>
    <row ht="15.75" customHeight="1" r="864">
      <c r="B864" s="141"/>
    </row>
    <row ht="15.75" customHeight="1" r="865">
      <c r="B865" s="141"/>
    </row>
    <row ht="15.75" customHeight="1" r="866">
      <c r="B866" s="141"/>
    </row>
    <row ht="15.75" customHeight="1" r="867">
      <c r="B867" s="141"/>
    </row>
    <row ht="15.75" customHeight="1" r="868">
      <c r="B868" s="141"/>
    </row>
    <row ht="15.75" customHeight="1" r="869">
      <c r="B869" s="141"/>
    </row>
    <row ht="15.75" customHeight="1" r="870">
      <c r="B870" s="141"/>
    </row>
    <row ht="15.75" customHeight="1" r="871">
      <c r="B871" s="141"/>
    </row>
    <row ht="15.75" customHeight="1" r="872">
      <c r="B872" s="141"/>
    </row>
    <row ht="15.75" customHeight="1" r="873">
      <c r="B873" s="141"/>
    </row>
    <row ht="15.75" customHeight="1" r="874">
      <c r="B874" s="141"/>
    </row>
    <row ht="15.75" customHeight="1" r="875">
      <c r="B875" s="141"/>
    </row>
    <row ht="15.75" customHeight="1" r="876">
      <c r="B876" s="141"/>
    </row>
    <row ht="15.75" customHeight="1" r="877">
      <c r="B877" s="141"/>
    </row>
    <row ht="15.75" customHeight="1" r="878">
      <c r="B878" s="141"/>
    </row>
    <row ht="15.75" customHeight="1" r="879">
      <c r="B879" s="141"/>
    </row>
    <row ht="15.75" customHeight="1" r="880">
      <c r="B880" s="141"/>
    </row>
    <row ht="15.75" customHeight="1" r="881">
      <c r="B881" s="141"/>
    </row>
    <row ht="15.75" customHeight="1" r="882">
      <c r="B882" s="141"/>
    </row>
    <row ht="15.75" customHeight="1" r="883">
      <c r="B883" s="141"/>
    </row>
    <row ht="15.75" customHeight="1" r="884">
      <c r="B884" s="141"/>
    </row>
    <row ht="15.75" customHeight="1" r="885">
      <c r="B885" s="141"/>
    </row>
    <row ht="15.75" customHeight="1" r="886">
      <c r="B886" s="141"/>
    </row>
    <row ht="15.75" customHeight="1" r="887">
      <c r="B887" s="141"/>
    </row>
    <row ht="15.75" customHeight="1" r="888">
      <c r="B888" s="141"/>
    </row>
    <row ht="15.75" customHeight="1" r="889">
      <c r="B889" s="141"/>
    </row>
    <row ht="15.75" customHeight="1" r="890">
      <c r="B890" s="141"/>
    </row>
    <row ht="15.75" customHeight="1" r="891">
      <c r="B891" s="141"/>
    </row>
    <row ht="15.75" customHeight="1" r="892">
      <c r="B892" s="141"/>
    </row>
    <row ht="15.75" customHeight="1" r="893">
      <c r="B893" s="141"/>
    </row>
    <row ht="15.75" customHeight="1" r="894">
      <c r="B894" s="141"/>
    </row>
    <row ht="15.75" customHeight="1" r="895">
      <c r="B895" s="141"/>
    </row>
    <row ht="15.75" customHeight="1" r="896">
      <c r="B896" s="141"/>
    </row>
    <row ht="15.75" customHeight="1" r="897">
      <c r="B897" s="141"/>
    </row>
    <row ht="15.75" customHeight="1" r="898">
      <c r="B898" s="141"/>
    </row>
    <row ht="15.75" customHeight="1" r="899">
      <c r="B899" s="141"/>
    </row>
    <row ht="15.75" customHeight="1" r="900">
      <c r="B900" s="141"/>
    </row>
    <row ht="15.75" customHeight="1" r="901">
      <c r="B901" s="141"/>
    </row>
    <row ht="15.75" customHeight="1" r="902">
      <c r="B902" s="141"/>
    </row>
    <row ht="15.75" customHeight="1" r="903">
      <c r="B903" s="141"/>
    </row>
    <row ht="15.75" customHeight="1" r="904">
      <c r="B904" s="141"/>
    </row>
    <row ht="15.75" customHeight="1" r="905">
      <c r="B905" s="141"/>
    </row>
    <row ht="15.75" customHeight="1" r="906">
      <c r="B906" s="141"/>
    </row>
    <row ht="15.75" customHeight="1" r="907">
      <c r="B907" s="141"/>
    </row>
    <row ht="15.75" customHeight="1" r="908">
      <c r="B908" s="141"/>
    </row>
    <row ht="15.75" customHeight="1" r="909">
      <c r="B909" s="141"/>
    </row>
    <row ht="15.75" customHeight="1" r="910">
      <c r="B910" s="141"/>
    </row>
    <row ht="15.75" customHeight="1" r="911">
      <c r="B911" s="141"/>
    </row>
    <row ht="15.75" customHeight="1" r="912">
      <c r="B912" s="141"/>
    </row>
    <row ht="15.75" customHeight="1" r="913">
      <c r="B913" s="141"/>
    </row>
    <row ht="15.75" customHeight="1" r="914">
      <c r="B914" s="141"/>
    </row>
    <row ht="15.75" customHeight="1" r="915">
      <c r="B915" s="141"/>
    </row>
    <row ht="15.75" customHeight="1" r="916">
      <c r="B916" s="141"/>
    </row>
    <row ht="15.75" customHeight="1" r="917">
      <c r="B917" s="141"/>
    </row>
    <row ht="15.75" customHeight="1" r="918">
      <c r="B918" s="141"/>
    </row>
    <row ht="15.75" customHeight="1" r="919">
      <c r="B919" s="141"/>
    </row>
    <row ht="15.75" customHeight="1" r="920">
      <c r="B920" s="141"/>
    </row>
    <row ht="15.75" customHeight="1" r="921">
      <c r="B921" s="141"/>
    </row>
    <row ht="15.75" customHeight="1" r="922">
      <c r="B922" s="141"/>
    </row>
    <row ht="15.75" customHeight="1" r="923">
      <c r="B923" s="141"/>
    </row>
    <row ht="15.75" customHeight="1" r="924">
      <c r="B924" s="141"/>
    </row>
    <row ht="15.75" customHeight="1" r="925">
      <c r="B925" s="141"/>
    </row>
    <row ht="15.75" customHeight="1" r="926">
      <c r="B926" s="141"/>
    </row>
    <row ht="15.75" customHeight="1" r="927">
      <c r="B927" s="141"/>
    </row>
    <row ht="15.75" customHeight="1" r="928">
      <c r="B928" s="141"/>
    </row>
    <row ht="15.75" customHeight="1" r="929">
      <c r="B929" s="141"/>
    </row>
    <row ht="15.75" customHeight="1" r="930">
      <c r="B930" s="141"/>
    </row>
    <row ht="15.75" customHeight="1" r="931">
      <c r="B931" s="141"/>
    </row>
    <row ht="15.75" customHeight="1" r="932">
      <c r="B932" s="141"/>
    </row>
    <row ht="15.75" customHeight="1" r="933">
      <c r="B933" s="141"/>
    </row>
    <row ht="15.75" customHeight="1" r="934">
      <c r="B934" s="141"/>
    </row>
    <row ht="15.75" customHeight="1" r="935">
      <c r="B935" s="141"/>
    </row>
    <row ht="15.75" customHeight="1" r="936">
      <c r="B936" s="141"/>
    </row>
    <row ht="15.75" customHeight="1" r="937">
      <c r="B937" s="141"/>
    </row>
    <row ht="15.75" customHeight="1" r="938">
      <c r="B938" s="141"/>
    </row>
    <row ht="15.75" customHeight="1" r="939">
      <c r="B939" s="141"/>
    </row>
    <row ht="15.75" customHeight="1" r="940">
      <c r="B940" s="141"/>
    </row>
    <row ht="15.75" customHeight="1" r="941">
      <c r="B941" s="141"/>
    </row>
    <row ht="15.75" customHeight="1" r="942">
      <c r="B942" s="141"/>
    </row>
    <row ht="15.75" customHeight="1" r="943">
      <c r="B943" s="141"/>
    </row>
    <row ht="15.75" customHeight="1" r="944">
      <c r="B944" s="141"/>
    </row>
    <row ht="15.75" customHeight="1" r="945">
      <c r="B945" s="141"/>
    </row>
    <row ht="15.75" customHeight="1" r="946">
      <c r="B946" s="141"/>
    </row>
    <row ht="15.75" customHeight="1" r="947">
      <c r="B947" s="141"/>
    </row>
    <row ht="15.75" customHeight="1" r="948">
      <c r="B948" s="141"/>
    </row>
    <row ht="15.75" customHeight="1" r="949">
      <c r="B949" s="141"/>
    </row>
    <row ht="15.75" customHeight="1" r="950">
      <c r="B950" s="141"/>
    </row>
    <row ht="15.75" customHeight="1" r="951">
      <c r="B951" s="141"/>
    </row>
    <row ht="15.75" customHeight="1" r="952">
      <c r="B952" s="141"/>
    </row>
    <row ht="15.75" customHeight="1" r="953">
      <c r="B953" s="141"/>
    </row>
    <row ht="15.75" customHeight="1" r="954">
      <c r="B954" s="141"/>
    </row>
    <row ht="15.75" customHeight="1" r="955">
      <c r="B955" s="141"/>
    </row>
    <row ht="15.75" customHeight="1" r="956">
      <c r="B956" s="141"/>
    </row>
    <row ht="15.75" customHeight="1" r="957">
      <c r="B957" s="141"/>
    </row>
    <row ht="15.75" customHeight="1" r="958">
      <c r="B958" s="141"/>
    </row>
    <row ht="15.75" customHeight="1" r="959">
      <c r="B959" s="141"/>
    </row>
    <row ht="15.75" customHeight="1" r="960">
      <c r="B960" s="141"/>
    </row>
    <row ht="15.75" customHeight="1" r="961">
      <c r="B961" s="141"/>
    </row>
    <row ht="15.75" customHeight="1" r="962">
      <c r="B962" s="141"/>
    </row>
    <row ht="15.75" customHeight="1" r="963">
      <c r="B963" s="141"/>
    </row>
    <row ht="15.75" customHeight="1" r="964">
      <c r="B964" s="141"/>
    </row>
    <row ht="15.75" customHeight="1" r="965">
      <c r="B965" s="141"/>
    </row>
    <row ht="15.75" customHeight="1" r="966">
      <c r="B966" s="141"/>
    </row>
    <row ht="15.75" customHeight="1" r="967">
      <c r="B967" s="141"/>
    </row>
    <row ht="15.75" customHeight="1" r="968">
      <c r="B968" s="141"/>
    </row>
    <row ht="15.75" customHeight="1" r="969">
      <c r="B969" s="141"/>
    </row>
    <row ht="15.75" customHeight="1" r="970">
      <c r="B970" s="141"/>
    </row>
    <row ht="15.75" customHeight="1" r="971">
      <c r="B971" s="141"/>
    </row>
    <row ht="15.75" customHeight="1" r="972">
      <c r="B972" s="141"/>
    </row>
    <row ht="15.75" customHeight="1" r="973">
      <c r="B973" s="141"/>
    </row>
    <row ht="15.75" customHeight="1" r="974">
      <c r="B974" s="141"/>
    </row>
    <row ht="15.75" customHeight="1" r="975">
      <c r="B975" s="141"/>
    </row>
    <row ht="15.75" customHeight="1" r="976">
      <c r="B976" s="141"/>
    </row>
    <row ht="15.75" customHeight="1" r="977">
      <c r="B977" s="141"/>
    </row>
    <row ht="15.75" customHeight="1" r="978">
      <c r="B978" s="141"/>
    </row>
    <row ht="15.75" customHeight="1" r="979">
      <c r="B979" s="141"/>
    </row>
    <row ht="15.75" customHeight="1" r="980">
      <c r="B980" s="141"/>
    </row>
    <row ht="15.75" customHeight="1" r="981">
      <c r="B981" s="141"/>
    </row>
    <row ht="15.75" customHeight="1" r="982">
      <c r="B982" s="141"/>
    </row>
    <row ht="15.75" customHeight="1" r="983">
      <c r="B983" s="141"/>
    </row>
    <row ht="15.75" customHeight="1" r="984">
      <c r="B984" s="141"/>
    </row>
    <row ht="15.75" customHeight="1" r="985">
      <c r="B985" s="141"/>
    </row>
    <row ht="15.75" customHeight="1" r="986">
      <c r="B986" s="141"/>
    </row>
    <row ht="15.75" customHeight="1" r="987">
      <c r="B987" s="141"/>
    </row>
    <row ht="15.75" customHeight="1" r="988">
      <c r="B988" s="141"/>
    </row>
    <row ht="15.75" customHeight="1" r="989">
      <c r="B989" s="141"/>
    </row>
    <row ht="15.75" customHeight="1" r="990">
      <c r="B990" s="141"/>
    </row>
    <row ht="15.75" customHeight="1" r="991">
      <c r="B991" s="141"/>
    </row>
    <row ht="15.75" customHeight="1" r="992">
      <c r="B992" s="141"/>
    </row>
    <row ht="15.75" customHeight="1" r="993">
      <c r="B993" s="141"/>
    </row>
    <row ht="15.75" customHeight="1" r="994">
      <c r="B994" s="141"/>
    </row>
    <row ht="15.75" customHeight="1" r="995">
      <c r="B995" s="141"/>
    </row>
    <row ht="15.75" customHeight="1" r="996">
      <c r="B996" s="141"/>
    </row>
    <row ht="15.75" customHeight="1" r="997">
      <c r="B997" s="141"/>
    </row>
    <row ht="15.75" customHeight="1" r="998">
      <c r="B998" s="141"/>
    </row>
    <row ht="15.75" customHeight="1" r="999">
      <c r="B999" s="141"/>
    </row>
    <row ht="15.75" customHeight="1" r="1000">
      <c r="B1000" s="14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2024-07-17T17:27:37Z</dcterms:created>
  <dc:creator>pamealtamirano0481@gmail.com</dc:creator>
</cp:coreProperties>
</file>