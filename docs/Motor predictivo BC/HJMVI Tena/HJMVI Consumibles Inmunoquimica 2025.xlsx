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MICA ACTUAL" sheetId="1" r:id="rId5"/>
    <sheet state="visible" name="INMUNO ACTUAL" sheetId="2" r:id="rId6"/>
    <sheet state="visible" name="INMUNO INICIAL" sheetId="3" r:id="rId7"/>
    <sheet state="visible" name="QUIMICA INICIAL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tc={08852f2e-ca46-408c-9de9-ec0edb288877}</author>
    <author>tc={0bbda595-9eef-499a-8c4a-791b887a1139}</author>
    <author>tc={1526f855-1eee-4aa0-a211-7fdf1bc1f51e}</author>
    <author>tc={8606fe2b-70e1-44e9-b9d8-b17ca68d444c}</author>
    <author>tc={99fecff2-7e1a-421d-98a2-7eb358c47ef1}</author>
    <author>tc={9e936e77-402c-4082-972a-5978e65220a2}</author>
    <author>tc={a04bbdb8-3ee8-4d78-9d05-2c7f11cf046e}</author>
    <author>tc={d193bead-c93b-4c28-8653-2ddbcbdb0447}</author>
  </authors>
  <commentList>
    <comment authorId="0" xr:uid="{08852f2e-ca46-408c-9de9-ec0edb288877}" ref="BE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 parcial 9 unidades
</t>
      </text>
    </comment>
    <comment authorId="1" xr:uid="{0bbda595-9eef-499a-8c4a-791b887a1139}" ref="BE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 parcial 2 unidades
</t>
      </text>
    </comment>
    <comment authorId="2" xr:uid="{1526f855-1eee-4aa0-a211-7fdf1bc1f51e}" ref="BE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Devolver al Puyo, prestamo para HJMVI TENA / JMORALES
</t>
      </text>
    </comment>
    <comment authorId="3" xr:uid="{8606fe2b-70e1-44e9-b9d8-b17ca68d444c}" ref="BE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Enviado 2 kits
</t>
      </text>
    </comment>
    <comment authorId="4" xr:uid="{99fecff2-7e1a-421d-98a2-7eb358c47ef1}" ref="BE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Enviado 2 kits
</t>
      </text>
    </comment>
    <comment authorId="5" xr:uid="{9e936e77-402c-4082-972a-5978e65220a2}" ref="BE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 parcial 6 unidades
</t>
      </text>
    </comment>
    <comment authorId="6" xr:uid="{a04bbdb8-3ee8-4d78-9d05-2c7f11cf046e}" ref="B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 parcial 4 unidades
</t>
      </text>
    </comment>
    <comment authorId="7" xr:uid="{d193bead-c93b-4c28-8653-2ddbcbdb0447}" ref="BE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 parcial, 10 unidades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tc={60bc1c2c-b2a8-46ba-9cbc-9fe0a2dd4e4b}</author>
    <author>tc={944ec517-8b40-4626-9426-61722796c431}</author>
    <author>tc={99697301-e466-46c4-86d1-1dd956cdf6eb}</author>
    <author>tc={ec8ea61e-4224-496c-b5c3-c2595960011a}</author>
  </authors>
  <commentList>
    <comment authorId="0" xr:uid="{60bc1c2c-b2a8-46ba-9cbc-9fe0a2dd4e4b}" ref="AO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 parcial 1 unidad
</t>
      </text>
    </comment>
    <comment authorId="1" xr:uid="{944ec517-8b40-4626-9426-61722796c431}" ref="AO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 parcial 1 unidad
</t>
      </text>
    </comment>
    <comment authorId="2" xr:uid="{99697301-e466-46c4-86d1-1dd956cdf6eb}" ref="AO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 parcial 1 unidad
</t>
      </text>
    </comment>
    <comment authorId="3" xr:uid="{ec8ea61e-4224-496c-b5c3-c2595960011a}" ref="AO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Envio parcial 1 unidad
</t>
      </text>
    </comment>
  </commentList>
</comments>
</file>

<file path=xl/sharedStrings.xml><?xml version="1.0" encoding="utf-8"?>
<sst xmlns="http://schemas.openxmlformats.org/spreadsheetml/2006/main" count="847" uniqueCount="435">
  <si>
    <t>COBAS PRO e801</t>
  </si>
  <si>
    <t>COBAS PRO C503+ISE</t>
  </si>
  <si>
    <t>CALIBRADORES</t>
  </si>
  <si>
    <t>DESCRIPCION</t>
  </si>
  <si>
    <t>I.D</t>
  </si>
  <si>
    <t>DET/KIT</t>
  </si>
  <si>
    <t>DET/AÑO/PROCESO</t>
  </si>
  <si>
    <t>PRODUCTO CALCULADO</t>
  </si>
  <si>
    <t>PRODUCTO A ENVIAR</t>
  </si>
  <si>
    <t>ml</t>
  </si>
  <si>
    <t>Stock 06/08/2025</t>
  </si>
  <si>
    <t>Stock 03/09/2025</t>
  </si>
  <si>
    <t>Stock 26/09/2025</t>
  </si>
  <si>
    <t>stock 13/11/2025</t>
  </si>
  <si>
    <t>Stock 11/12/2025</t>
  </si>
  <si>
    <t>CANTIDADES MAXIMAS / CAJA</t>
  </si>
  <si>
    <t>Stock 13/01/2026</t>
  </si>
  <si>
    <t>Stock 19/02/2026</t>
  </si>
  <si>
    <t>Stock 26/03/2026</t>
  </si>
  <si>
    <t>Stock 14/05/2026</t>
  </si>
  <si>
    <t xml:space="preserve">CANTIDADES MAXIMAS / UNIDADES </t>
  </si>
  <si>
    <t>Stock 17/06/2026</t>
  </si>
  <si>
    <t>Stock 16/07/2026</t>
  </si>
  <si>
    <t xml:space="preserve">PRESENTACION </t>
  </si>
  <si>
    <t>18/08/2026 mantenimiento</t>
  </si>
  <si>
    <t>Stock 27/08/2026</t>
  </si>
  <si>
    <t>Stock 24/09/2026</t>
  </si>
  <si>
    <t>CONTROLES Y CALIBRADORES</t>
  </si>
  <si>
    <t>CANTIDADES MAXIMAS/ CAJA</t>
  </si>
  <si>
    <t>CANTIDADES MAXIMAS/UNIDADES</t>
  </si>
  <si>
    <t>PRESENTACION</t>
  </si>
  <si>
    <t xml:space="preserve">Stock 03/09/2025 </t>
  </si>
  <si>
    <t>Calibrator f.a.s.</t>
  </si>
  <si>
    <t>TSH CalSet</t>
  </si>
  <si>
    <t>12X3</t>
  </si>
  <si>
    <t>4 x 1.3</t>
  </si>
  <si>
    <t>12 x 3</t>
  </si>
  <si>
    <t>Calibrator f.a.s. Lipids</t>
  </si>
  <si>
    <t>3X1</t>
  </si>
  <si>
    <t>Calibrator f.a.s. CK-MB</t>
  </si>
  <si>
    <t>Cfas Proteins U</t>
  </si>
  <si>
    <t xml:space="preserve">1, en uso </t>
  </si>
  <si>
    <t>5X1</t>
  </si>
  <si>
    <t>Calibrator f.a.s.proteins</t>
  </si>
  <si>
    <t>Cfas HbA1c</t>
  </si>
  <si>
    <t>3X2</t>
  </si>
  <si>
    <t>PRECINORM PUC</t>
  </si>
  <si>
    <t>D-Dimer Gen.2 Calibrator Set</t>
  </si>
  <si>
    <t>6X0.5</t>
  </si>
  <si>
    <t>1 y 1 en uso</t>
  </si>
  <si>
    <t>4 x 3</t>
  </si>
  <si>
    <t>Preciset RF</t>
  </si>
  <si>
    <t>3 y 1 en uso</t>
  </si>
  <si>
    <t>T3 CalSet</t>
  </si>
  <si>
    <t>4 x 1</t>
  </si>
  <si>
    <t>1 en uso</t>
  </si>
  <si>
    <t>ID</t>
  </si>
  <si>
    <t xml:space="preserve"> 1 en uso y 2</t>
  </si>
  <si>
    <t>CONTROLES</t>
  </si>
  <si>
    <t>2 y 1 en uso</t>
  </si>
  <si>
    <t>PRECIPATH PUC</t>
  </si>
  <si>
    <t>T4 CalSet</t>
  </si>
  <si>
    <t>4X3</t>
  </si>
  <si>
    <t>PreciControl ClinChem Multi 1</t>
  </si>
  <si>
    <t>4x5</t>
  </si>
  <si>
    <t>1, caduca 31/03/2026</t>
  </si>
  <si>
    <t>PreciControl ClinChem Multi 2</t>
  </si>
  <si>
    <t>PreciControl HbA1c norm</t>
  </si>
  <si>
    <t>4X1</t>
  </si>
  <si>
    <t>PreciControl HbA1c path</t>
  </si>
  <si>
    <t>1 y 1 (30-9-2026)</t>
  </si>
  <si>
    <t>D-Dimer Gen.2 Control I/II</t>
  </si>
  <si>
    <t>CAJA</t>
  </si>
  <si>
    <t>RF Control Set</t>
  </si>
  <si>
    <t>FT3 III CalSet</t>
  </si>
  <si>
    <t>Cfas Lipids 3x1ML</t>
  </si>
  <si>
    <t>3 x 1</t>
  </si>
  <si>
    <t>CONSUMIBLES</t>
  </si>
  <si>
    <t>Reaction Cell for c 503 / c 513*</t>
  </si>
  <si>
    <t>ECO-D, 40T, cobas c pack green</t>
  </si>
  <si>
    <t>CalSet FT4 III</t>
  </si>
  <si>
    <t>NaOH-D, cobas c pack green</t>
  </si>
  <si>
    <t>Cfas CK.MB 3x1ML</t>
  </si>
  <si>
    <t>NACl, cobas c pack green</t>
  </si>
  <si>
    <t>2, caduca 30/06/2026</t>
  </si>
  <si>
    <t>SMS, cobas c pack green</t>
  </si>
  <si>
    <t>Acid Wash</t>
  </si>
  <si>
    <t>2x2 L</t>
  </si>
  <si>
    <t>T‑Uptake CalSet</t>
  </si>
  <si>
    <t>SCCS, 50mL, cobas c pack green</t>
  </si>
  <si>
    <t>50ML</t>
  </si>
  <si>
    <t>Basic Wash</t>
  </si>
  <si>
    <t>C.f.a.s. PUC</t>
  </si>
  <si>
    <t>5 x 1</t>
  </si>
  <si>
    <t>A1CD, cobas c pack green</t>
  </si>
  <si>
    <t>Tg II CalSet</t>
  </si>
  <si>
    <t>RD Standard False Bottom Tube</t>
  </si>
  <si>
    <t>3 y uno en uso</t>
  </si>
  <si>
    <t>EcoTergent cobas c 501/502</t>
  </si>
  <si>
    <t>Anti‑TPO CalSet</t>
  </si>
  <si>
    <t>4 x 1.5</t>
  </si>
  <si>
    <t>A4 PRINTER PAPER x 500</t>
  </si>
  <si>
    <t>X500</t>
  </si>
  <si>
    <t>Anti‑Tg CalSet</t>
  </si>
  <si>
    <t>GASAS/ MANTENIMIENTOS 1 x100</t>
  </si>
  <si>
    <t>X100</t>
  </si>
  <si>
    <t xml:space="preserve"> </t>
  </si>
  <si>
    <t>ALCOHOL PRED PAD X 100</t>
  </si>
  <si>
    <t>C.f.a.s. PAC</t>
  </si>
  <si>
    <t>CalSet Anti‑TSHR</t>
  </si>
  <si>
    <t>4 x 2</t>
  </si>
  <si>
    <t>Hisopos x 100 (Aplicadores)</t>
  </si>
  <si>
    <t>Antigen Excess Reagent (START) (1000 pruebas)</t>
  </si>
  <si>
    <t>Lamp, Halogen</t>
  </si>
  <si>
    <t>Calibrator f.a.s. IgA/IgM CSF</t>
  </si>
  <si>
    <t>MEMBRANE EQ.OSMOSIS, AG2521TF 2.5 diam</t>
  </si>
  <si>
    <t>LH CalSet II</t>
  </si>
  <si>
    <t>FILTER NOM. P/SEDIMENTS PX10-20XX PURTR (CARBON)</t>
  </si>
  <si>
    <t>Fe Standard</t>
  </si>
  <si>
    <t>1 x 75</t>
  </si>
  <si>
    <t>FILTER NOM.P/SEDIMENTS GX05-20XX HYTREX (FIBRA)</t>
  </si>
  <si>
    <t>RESINA MUERTA 16kilos</t>
  </si>
  <si>
    <t>FSH CS Elecsys V3</t>
  </si>
  <si>
    <t>NO CODIGO</t>
  </si>
  <si>
    <t>SAL EN GRANO - QUINTAL</t>
  </si>
  <si>
    <t>Sistema de Prefiltración</t>
  </si>
  <si>
    <t>Estradiol III CalSet</t>
  </si>
  <si>
    <t>Tubo contenedor de resina</t>
  </si>
  <si>
    <t>tinta impresora</t>
  </si>
  <si>
    <t>Eppedorf</t>
  </si>
  <si>
    <t>CalSet FT4 IV</t>
  </si>
  <si>
    <t>Progesterone III CalSet</t>
  </si>
  <si>
    <t>PreciControl ClinChem Multi 1,20x5ml</t>
  </si>
  <si>
    <t>Prolactin II CalSet</t>
  </si>
  <si>
    <t>20 x 5</t>
  </si>
  <si>
    <t>ISE Standard low</t>
  </si>
  <si>
    <t>10X3</t>
  </si>
  <si>
    <t>ISE Standard high</t>
  </si>
  <si>
    <t>ISE cleaning solution Sys Clean</t>
  </si>
  <si>
    <t>ISE DEPROTEINIZER cobas integra</t>
  </si>
  <si>
    <t>6X21</t>
  </si>
  <si>
    <t>Testosterone II CalSet II</t>
  </si>
  <si>
    <t>PreciControl ClinChem Multi 2,20x5ml</t>
  </si>
  <si>
    <t>Activator</t>
  </si>
  <si>
    <t>9X12</t>
  </si>
  <si>
    <t>ISE Diluent Gen.2</t>
  </si>
  <si>
    <t>2X2</t>
  </si>
  <si>
    <t>ISE Internal Stand Gen.2</t>
  </si>
  <si>
    <t>SHBG CalSet</t>
  </si>
  <si>
    <t>ISE Reference Electrolyte, 2L</t>
  </si>
  <si>
    <t>ISE Reference Electrolyte</t>
  </si>
  <si>
    <t>500ML</t>
  </si>
  <si>
    <t>REFERENCE ELECTRODE</t>
  </si>
  <si>
    <t>DHEA‑S CalSet</t>
  </si>
  <si>
    <t>PreciControl ClinChem Multi 1 QCS,20x5ml</t>
  </si>
  <si>
    <t>HCG+β CalSet</t>
  </si>
  <si>
    <t>Electrodo sodio</t>
  </si>
  <si>
    <t>HCG STAT CalSet</t>
  </si>
  <si>
    <t>PreciControl ClinChem Multi 2 QCS,20x5ml</t>
  </si>
  <si>
    <t>free βhCG CalSet</t>
  </si>
  <si>
    <t>Electrodo potasio</t>
  </si>
  <si>
    <t>Electrodo cloro</t>
  </si>
  <si>
    <t>PAPP‑A CalSet</t>
  </si>
  <si>
    <t>CRP T Control N *</t>
  </si>
  <si>
    <t>5 X 0.5</t>
  </si>
  <si>
    <t>CalSet Androstenedione</t>
  </si>
  <si>
    <t>PlGF CalSet</t>
  </si>
  <si>
    <t>PreciControl ClinChem Multi 1, 4x5 ml</t>
  </si>
  <si>
    <t>4 x 5ml</t>
  </si>
  <si>
    <t>sFlt‑1 CalSet</t>
  </si>
  <si>
    <t>Insulin CalSet</t>
  </si>
  <si>
    <t>C‑Peptide CalSet</t>
  </si>
  <si>
    <t>PreciControl ClinChem Multi 2, 4x5 ml</t>
  </si>
  <si>
    <t>4 x 5 ml</t>
  </si>
  <si>
    <t>hGH CalSet</t>
  </si>
  <si>
    <t>total PSA CalSet II</t>
  </si>
  <si>
    <t>Esta en el proceso nuevo</t>
  </si>
  <si>
    <t>free PSA CalSet</t>
  </si>
  <si>
    <t>3 x 2</t>
  </si>
  <si>
    <t>Cortisol II CalSet</t>
  </si>
  <si>
    <t>AFP CalSet II</t>
  </si>
  <si>
    <t>CEA CalSet</t>
  </si>
  <si>
    <t>CalSet Cortisol III Urine</t>
  </si>
  <si>
    <t>ACTH CalSet</t>
  </si>
  <si>
    <t>CA 125 II CalSet</t>
  </si>
  <si>
    <t>2, caduca 31/05/2026</t>
  </si>
  <si>
    <t>CA 15-3 II CalSet</t>
  </si>
  <si>
    <t>CA 19-9 CalSet</t>
  </si>
  <si>
    <t>ELECSYS IGE CALSET</t>
  </si>
  <si>
    <t>Troponin T hs CS Elecsys E2G V1.1</t>
  </si>
  <si>
    <t>AMH CalSet</t>
  </si>
  <si>
    <t>CalSet proBNP</t>
  </si>
  <si>
    <t>Ferritin CalSet</t>
  </si>
  <si>
    <t>3, caduca 30/06/2026</t>
  </si>
  <si>
    <t>CalSet AMH Plus</t>
  </si>
  <si>
    <t>CalSet Vitamin D total III</t>
  </si>
  <si>
    <t>1, 1 caduca 30/06/2026</t>
  </si>
  <si>
    <t>6 x 0,5</t>
  </si>
  <si>
    <t>PreciControl Universal</t>
  </si>
  <si>
    <t>PreciControl Multimarker Elecsys,cobas e</t>
  </si>
  <si>
    <t>2 x 2 x 1</t>
  </si>
  <si>
    <t>6 x 2</t>
  </si>
  <si>
    <t>PreciControl Tumor Marker Elec</t>
  </si>
  <si>
    <t>Calibrator β2‑Microglobulin</t>
  </si>
  <si>
    <t>2 x 1</t>
  </si>
  <si>
    <t>PreciControl Cardiac II</t>
  </si>
  <si>
    <t>Control Set β2‑Microglobulin (Nivel 1-2)</t>
  </si>
  <si>
    <t>PreciControl Troponin</t>
  </si>
  <si>
    <t>PreciControl ThyroAB</t>
  </si>
  <si>
    <t>CA 19‑9 CalSet</t>
  </si>
  <si>
    <t>PreciControl HE4</t>
  </si>
  <si>
    <t>PreciControl Anti‑CCP</t>
  </si>
  <si>
    <t>Preciset Lp(a) Gen.2</t>
  </si>
  <si>
    <t>PreciControl Vitamin D total III</t>
  </si>
  <si>
    <t>CYFRA 21‑1 CalSet</t>
  </si>
  <si>
    <t>6 x 1</t>
  </si>
  <si>
    <t>CA 72‑4 CalSet</t>
  </si>
  <si>
    <t>PreciControl Lp(a) Gen.2</t>
  </si>
  <si>
    <t>PreciControl HIV Gen II</t>
  </si>
  <si>
    <t>NSE CalSet</t>
  </si>
  <si>
    <t>3x2x1</t>
  </si>
  <si>
    <t>PreciControl Rubella IgG</t>
  </si>
  <si>
    <t>C.f.a.s. Cystatin C</t>
  </si>
  <si>
    <t>S100 CalSet</t>
  </si>
  <si>
    <t>16 x 1</t>
  </si>
  <si>
    <t>PreciControl Rubella IgM</t>
  </si>
  <si>
    <t>8 X 1</t>
  </si>
  <si>
    <t>Cystatin C Control Set Gen.2 (1,2,3)</t>
  </si>
  <si>
    <t>PreciControl Toxo IgG</t>
  </si>
  <si>
    <t>HE4 CalSet</t>
  </si>
  <si>
    <t>3 x 3 x 1</t>
  </si>
  <si>
    <t>PreciControl Toxo IgM</t>
  </si>
  <si>
    <t>16 x 0.67</t>
  </si>
  <si>
    <t>PreciControl CMV IgG</t>
  </si>
  <si>
    <t>CalSet PIVKA‑II</t>
  </si>
  <si>
    <t>PreciControl CMV IgM</t>
  </si>
  <si>
    <t>HCYS Calibrator Kit</t>
  </si>
  <si>
    <t>2 x 3</t>
  </si>
  <si>
    <t>ProGRP CalSet</t>
  </si>
  <si>
    <t>HCYS Control Kit Control 1 y 2</t>
  </si>
  <si>
    <t>SCC CalSet</t>
  </si>
  <si>
    <t>2 x 2 x 3</t>
  </si>
  <si>
    <t>AssayTip/AssayCup tray</t>
  </si>
  <si>
    <t>Digoxin CalSet</t>
  </si>
  <si>
    <t>3780 T</t>
  </si>
  <si>
    <t>Diluent MultiAssay E2G</t>
  </si>
  <si>
    <t>1X36</t>
  </si>
  <si>
    <t>Diluent Universal E2G</t>
  </si>
  <si>
    <t>CalSet CK‑MB</t>
  </si>
  <si>
    <t>Elecsys Progesteron Diluent</t>
  </si>
  <si>
    <t>PreClean M G2 2x2L Elecsys E2G</t>
  </si>
  <si>
    <t>Ammonia/Ethanol/CO2 Calibrator</t>
  </si>
  <si>
    <t>NH3/ETH/CO2 Calibrator</t>
  </si>
  <si>
    <t>2 x 4</t>
  </si>
  <si>
    <t>2X2L</t>
  </si>
  <si>
    <t>CalSet Myoglobin</t>
  </si>
  <si>
    <t>Ammonia/Ethanol/CO2 Control Normal</t>
  </si>
  <si>
    <t>NH3/ETH/CO2 Control N</t>
  </si>
  <si>
    <t>5 x 4</t>
  </si>
  <si>
    <t>CleanCell M 2x2 L Elecsys,cobas e</t>
  </si>
  <si>
    <t>Ammonia/Ethanol/CO2 Control Abnormal</t>
  </si>
  <si>
    <t>NH3/ETH/CO2 Control A</t>
  </si>
  <si>
    <t>CalSet GDF‑15</t>
  </si>
  <si>
    <t>ProCell M G2 2x2L Elecsys E2G</t>
  </si>
  <si>
    <t>Precimat Fructosamina</t>
  </si>
  <si>
    <t>Sample cups</t>
  </si>
  <si>
    <t>PRECIMAT FRUC 3x1ML</t>
  </si>
  <si>
    <t>Cobas sample cup 5000pcs</t>
  </si>
  <si>
    <t>ISD Sample PT Elecsys cobas e 100</t>
  </si>
  <si>
    <t>PRECINORM FRUC</t>
  </si>
  <si>
    <t>Folate RBC Hemolyzing Elecsys,cobas e</t>
  </si>
  <si>
    <t>4 X 200</t>
  </si>
  <si>
    <t>SARS-CoV-2 Extraction Solution</t>
  </si>
  <si>
    <t>CalSet Troponin I</t>
  </si>
  <si>
    <t>1 x 1000</t>
  </si>
  <si>
    <t>SARS-CoV-2 Extraction Solution C</t>
  </si>
  <si>
    <t>1 x 500</t>
  </si>
  <si>
    <t>PRECIPATH FRUC</t>
  </si>
  <si>
    <t>proBNP G2 CS Elecsys E2G V2.1</t>
  </si>
  <si>
    <t>Barcode Label 2,5x5,1cm</t>
  </si>
  <si>
    <t>2500 etiquetas</t>
  </si>
  <si>
    <t>A4 PRINTER PAPER</t>
  </si>
  <si>
    <t>500 hojas</t>
  </si>
  <si>
    <t>Calcitonin CalSet</t>
  </si>
  <si>
    <t>AGUA BIDESTILADA</t>
  </si>
  <si>
    <t>C.f.a.s. Myoglobin</t>
  </si>
  <si>
    <t>EPPENDORF</t>
  </si>
  <si>
    <t>Elecsys IL 6 Calset</t>
  </si>
  <si>
    <t>Myoglobin Control Set (Nivel I, II)</t>
  </si>
  <si>
    <t>Caja por 5 fracos x100 ml</t>
  </si>
  <si>
    <t>Reservoir cup Assy</t>
  </si>
  <si>
    <t>CalSet Folate</t>
  </si>
  <si>
    <t>4 X 1</t>
  </si>
  <si>
    <t>Vitamin B12 II CalSet</t>
  </si>
  <si>
    <t>HITACHI I PRECISET TDM 1</t>
  </si>
  <si>
    <t>6 x 5</t>
  </si>
  <si>
    <t>1 y 1 en uso (30-09-2026) y 1 (31-3-2028)</t>
  </si>
  <si>
    <t>CalSet Active B12</t>
  </si>
  <si>
    <t>IgE CalSet</t>
  </si>
  <si>
    <t>CalSet PTH</t>
  </si>
  <si>
    <t>PTH (1‑84) CalSet</t>
  </si>
  <si>
    <t>TDM Control Set</t>
  </si>
  <si>
    <t>6 X 5</t>
  </si>
  <si>
    <t>total P1NP CalSet</t>
  </si>
  <si>
    <t>β‑CrossLaps CalSet</t>
  </si>
  <si>
    <t>N‑MID Osteocalcin CalSet</t>
  </si>
  <si>
    <t>mL</t>
  </si>
  <si>
    <t>CalSet IGF‑1</t>
  </si>
  <si>
    <t>Caja por 3 juegos</t>
  </si>
  <si>
    <t>CalSet IGFBP‑3</t>
  </si>
  <si>
    <t>1 en uso, enviar</t>
  </si>
  <si>
    <t>CalSet Anti‑SARS‑CoV‑2 S</t>
  </si>
  <si>
    <t>1 juego, enviar</t>
  </si>
  <si>
    <t>1 caja</t>
  </si>
  <si>
    <t>media caja</t>
  </si>
  <si>
    <t>CONA, 100T, cobas c pack green</t>
  </si>
  <si>
    <t>Cassette</t>
  </si>
  <si>
    <t>Cyclosporine CalSet</t>
  </si>
  <si>
    <t>Everolimus CalSet</t>
  </si>
  <si>
    <t>INSTC, 130T, cobas c pack green</t>
  </si>
  <si>
    <t>cobas Integra Check Sample</t>
  </si>
  <si>
    <t>Sirolimus CalSet</t>
  </si>
  <si>
    <t>Tacrolimus CalSet</t>
  </si>
  <si>
    <t>1 (31-10-2026)</t>
  </si>
  <si>
    <t>Maternal Care Gen.2 PC Elecsys</t>
  </si>
  <si>
    <t>6 x 3</t>
  </si>
  <si>
    <t>1, caduca 30/06/2026</t>
  </si>
  <si>
    <t>3 (30-09-2026)</t>
  </si>
  <si>
    <t>2(30-09-2026)</t>
  </si>
  <si>
    <t>PreciControl Cortisol Urine</t>
  </si>
  <si>
    <t>Acid Wash 2x2 L</t>
  </si>
  <si>
    <t>Caja por 02 galoneras de 2L</t>
  </si>
  <si>
    <t>2 X 2000</t>
  </si>
  <si>
    <t>PreciControl Active B12</t>
  </si>
  <si>
    <t xml:space="preserve">DEBO 3 </t>
  </si>
  <si>
    <t>NO ENVIADO</t>
  </si>
  <si>
    <t>Basic Wash 2x2 L</t>
  </si>
  <si>
    <t>Copillas de muestra Hitachi</t>
  </si>
  <si>
    <t>PreciControl AMH</t>
  </si>
  <si>
    <t>PreciControl AMH Plus</t>
  </si>
  <si>
    <t>PreciControl HCC</t>
  </si>
  <si>
    <t>PreciControl ProGRP</t>
  </si>
  <si>
    <t>PreciControl Lung Cancer</t>
  </si>
  <si>
    <t xml:space="preserve">DEBO1 </t>
  </si>
  <si>
    <t>PreciControl Varia Elecsys</t>
  </si>
  <si>
    <t>esta registrado en el nuevo proceso</t>
  </si>
  <si>
    <t>Haemolyse Reagent f.HBA1C</t>
  </si>
  <si>
    <t>1000 mL</t>
  </si>
  <si>
    <t>Antigen Excess Reagent (START)</t>
  </si>
  <si>
    <t>START, 1000T, cobas c pack green</t>
  </si>
  <si>
    <t>1000 T</t>
  </si>
  <si>
    <t>PYP (PIRIDOXAL FOSFATO)</t>
  </si>
  <si>
    <t>PYP, 950T, cobas c pack green</t>
  </si>
  <si>
    <t>PreciControl Growth</t>
  </si>
  <si>
    <t>HCV Duo PC Elecsys</t>
  </si>
  <si>
    <t>10 x 1, 5 x 2</t>
  </si>
  <si>
    <t>PreciControl Anti‑HAV II</t>
  </si>
  <si>
    <t>8 x 1.3</t>
  </si>
  <si>
    <t xml:space="preserve">                                </t>
  </si>
  <si>
    <t>PreciControl Anti‑HAV IgM</t>
  </si>
  <si>
    <t>PreciControl HBsAg II</t>
  </si>
  <si>
    <t>16 x 1.3</t>
  </si>
  <si>
    <t>3, caduca 31/01/2026</t>
  </si>
  <si>
    <t>SISTEMA PARA ELECTROLITOS-ISE</t>
  </si>
  <si>
    <t>esta registrado en el otro proceso</t>
  </si>
  <si>
    <t>PreciControl Anti‑HBs</t>
  </si>
  <si>
    <t>PreciControl HBeAg</t>
  </si>
  <si>
    <t>PreciControl Anti‑HBe</t>
  </si>
  <si>
    <t>ISE Standard low 10x3ML</t>
  </si>
  <si>
    <t>Caja por 10 ampollas</t>
  </si>
  <si>
    <t>PreciControl Anti‑HBc II</t>
  </si>
  <si>
    <t>10 x 3</t>
  </si>
  <si>
    <t>3 (caduca 31-10-2026)</t>
  </si>
  <si>
    <t>PreciControl Anti‑HBc IgM</t>
  </si>
  <si>
    <t>1 kit</t>
  </si>
  <si>
    <t>PreciControl Anti‑HCV</t>
  </si>
  <si>
    <t>10 kits</t>
  </si>
  <si>
    <t>ISE Standard high 10x3ML</t>
  </si>
  <si>
    <t>5 x 100</t>
  </si>
  <si>
    <t>PreciControl Toxo IgG Avidity</t>
  </si>
  <si>
    <t>CMV IgG Avidity PC Elecsys</t>
  </si>
  <si>
    <t>Caja por 9 frascos x 12 ml (liofilizado)</t>
  </si>
  <si>
    <t>9 x 12</t>
  </si>
  <si>
    <t>PreciControl HSV</t>
  </si>
  <si>
    <t>ISE DEPROTEINIZER cobas integra (6x21ML)</t>
  </si>
  <si>
    <t>PreciControl EBV IgM/VCA IgG</t>
  </si>
  <si>
    <t>Caja por 6 frascos x 21 ml</t>
  </si>
  <si>
    <t>6 x 21</t>
  </si>
  <si>
    <t>PreciControl EBV EBNA IgG</t>
  </si>
  <si>
    <t>8 x 1</t>
  </si>
  <si>
    <t>PreciControl HTLV</t>
  </si>
  <si>
    <t>ISE Diluent Gen.2, 2x2 Liter</t>
  </si>
  <si>
    <t>PreciControl Syphilis</t>
  </si>
  <si>
    <t>PreciControl Chagas</t>
  </si>
  <si>
    <t>PreciControl Anti‑SARS‑CoV‑2</t>
  </si>
  <si>
    <t>ISE Internal Stand Gen.2, 2x2 Liter</t>
  </si>
  <si>
    <t>PreciControl SARS‑CoV‑2 Antigen</t>
  </si>
  <si>
    <t>PreciControl ISD</t>
  </si>
  <si>
    <t>3 x 3</t>
  </si>
  <si>
    <t>PreciControl Everolimus</t>
  </si>
  <si>
    <t>Galonera de 2 litros</t>
  </si>
  <si>
    <t>1 caja enterita sellada</t>
  </si>
  <si>
    <t xml:space="preserve">2 cajas y media </t>
  </si>
  <si>
    <t>2 cajas</t>
  </si>
  <si>
    <t>2 cajas y media</t>
  </si>
  <si>
    <t>1 caja y media</t>
  </si>
  <si>
    <t>3/4 de caja</t>
  </si>
  <si>
    <t>Cartucho</t>
  </si>
  <si>
    <t>20 (31-08-2026)</t>
  </si>
  <si>
    <t>ISE Reference Electrolyte 500ML</t>
  </si>
  <si>
    <t>Botella 500 ml</t>
  </si>
  <si>
    <t>1 en el equipo</t>
  </si>
  <si>
    <t>Electrodo de Referencia</t>
  </si>
  <si>
    <t>1,  fecha de caducidad bien, de instalacion ya paso</t>
  </si>
  <si>
    <t>BlankCell High Elecsys E2G</t>
  </si>
  <si>
    <t>CellCheck Gen2 Elecsys E2G</t>
  </si>
  <si>
    <t>HBQ Sample Set Elecsys,cobas e</t>
  </si>
  <si>
    <t>ControlSet Vials Elecsys,cobas e</t>
  </si>
  <si>
    <t>2 x 56</t>
  </si>
  <si>
    <t>FILTER NOM. P/SEDIMENTS PX10-20XX  PURTR (CARBON)</t>
  </si>
  <si>
    <t>HBsAg Confirmatory Elecsys cobas e</t>
  </si>
  <si>
    <t>2 x 1.0 mL</t>
  </si>
  <si>
    <t>FILTER NOM.P/SEDIMENTS GX05-20XX  HYTREX (FIBRA)</t>
  </si>
  <si>
    <t>16 resmas</t>
  </si>
  <si>
    <t>x8</t>
  </si>
  <si>
    <t>4 copas, toca enviar</t>
  </si>
  <si>
    <t>PW LFC CUP ASSY</t>
  </si>
  <si>
    <t>UNIDAD</t>
  </si>
  <si>
    <t>ISE CLEANING SOLUTION</t>
  </si>
  <si>
    <t>5X100ML</t>
  </si>
  <si>
    <t>INS218 / 46101847</t>
  </si>
  <si>
    <t>media funda</t>
  </si>
  <si>
    <t>1/4 de funda</t>
  </si>
  <si>
    <t>FAM13</t>
  </si>
  <si>
    <t>FAM21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</si>
</sst>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4">
    <font>
      <sz val="11.0"/>
      <color theme="1"/>
      <name val="Calibri"/>
      <scheme val="minor"/>
    </font>
    <font>
      <b/>
      <sz val="8.0"/>
      <color theme="1"/>
      <name val="Calibri"/>
    </font>
    <font>
      <sz val="11.0"/>
      <color theme="1"/>
      <name val="Calibri"/>
    </font>
    <font>
      <b/>
      <sz val="8.0"/>
      <color theme="1"/>
      <name val="Tahoma"/>
    </font>
    <font/>
    <font>
      <color theme="1"/>
      <name val="Calibri"/>
      <scheme val="minor"/>
    </font>
    <font>
      <sz val="8.0"/>
      <color theme="1"/>
      <name val="Calibri"/>
    </font>
    <font>
      <b/>
      <sz val="8.0"/>
      <color theme="1"/>
      <name val="Arial"/>
    </font>
    <font>
      <sz val="8.0"/>
      <color theme="1"/>
      <name val="Tahoma"/>
    </font>
    <font>
      <sz val="8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color theme="1"/>
      <name val="Arial"/>
    </font>
    <font>
      <sz val="8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EA4335"/>
        <bgColor rgb="FFEA4335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1" fillId="2" fontId="2" numFmtId="0" xfId="0" applyAlignment="1" applyBorder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2" numFmtId="0" xfId="0" applyAlignment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2" fontId="2" numFmtId="1" xfId="0" applyAlignment="1" applyBorder="1" applyFill="1" applyFont="1" applyNumberFormat="1">
      <alignment vertical="bottom"/>
    </xf>
    <xf borderId="1" fillId="0" fontId="2" numFmtId="164" xfId="0" applyAlignment="1" applyBorder="1" applyFont="1" applyNumberFormat="1">
      <alignment readingOrder="0" vertical="bottom"/>
    </xf>
    <xf borderId="2" fillId="3" fontId="3" numFmtId="0" xfId="0" applyAlignment="1" applyBorder="1" applyFill="1" applyFont="1">
      <alignment shrinkToFit="0" wrapText="1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0" fillId="0" fontId="2" numFmtId="165" xfId="0" applyAlignment="1" applyFont="1" applyNumberFormat="1">
      <alignment readingOrder="0" vertical="bottom"/>
    </xf>
    <xf borderId="1" fillId="3" fontId="3" numFmtId="0" xfId="0" applyAlignment="1" applyBorder="1" applyFill="1" applyFont="1">
      <alignment horizontal="center" shrinkToFit="0" wrapText="1"/>
    </xf>
    <xf borderId="0" fillId="0" fontId="2" numFmtId="164" xfId="0" applyAlignment="1" applyFont="1" applyNumberFormat="1">
      <alignment readingOrder="0" shrinkToFit="0" vertical="bottom" wrapText="1"/>
    </xf>
    <xf borderId="1" fillId="0" fontId="5" numFmtId="0" xfId="0" applyBorder="1" applyFont="1"/>
    <xf borderId="2" fillId="3" fontId="1" numFmtId="0" xfId="0" applyAlignment="1" applyBorder="1" applyFill="1" applyFont="1">
      <alignment vertical="center"/>
    </xf>
    <xf borderId="1" fillId="0" fontId="6" numFmtId="0" xfId="0" applyAlignment="1" applyBorder="1" applyFont="1">
      <alignment horizontal="right" vertical="bottom"/>
    </xf>
    <xf borderId="1" fillId="0" fontId="1" numFmtId="0" xfId="0" applyAlignment="1" applyBorder="1" applyFont="1">
      <alignment shrinkToFit="0" vertical="bottom" wrapText="1"/>
    </xf>
    <xf borderId="1" fillId="3" fontId="7" numFmtId="0" xfId="0" applyAlignment="1" applyBorder="1" applyFill="1" applyFont="1">
      <alignment horizontal="center" vertical="center"/>
    </xf>
    <xf borderId="1" fillId="0" fontId="2" numFmtId="14" xfId="0" applyBorder="1" applyFont="1" applyNumberFormat="1"/>
    <xf borderId="1" fillId="0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1" fillId="0" fontId="5" numFmtId="164" xfId="0" applyAlignment="1" applyBorder="1" applyFont="1" applyNumberFormat="1">
      <alignment readingOrder="0" shrinkToFit="0" wrapText="1"/>
    </xf>
    <xf borderId="1" fillId="3" fontId="8" numFmtId="0" xfId="0" applyAlignment="1" applyBorder="1" applyFill="1" applyFont="1">
      <alignment horizontal="right"/>
    </xf>
    <xf borderId="0" fillId="0" fontId="5" numFmtId="164" xfId="0" applyAlignment="1" applyFont="1" applyNumberFormat="1">
      <alignment readingOrder="0" shrinkToFit="0" wrapText="1"/>
    </xf>
    <xf borderId="1" fillId="3" fontId="8" numFmtId="0" xfId="0" applyBorder="1" applyFill="1" applyFont="1"/>
    <xf borderId="0" fillId="0" fontId="5" numFmtId="0" xfId="0" applyAlignment="1" applyFont="1">
      <alignment shrinkToFit="0" wrapText="1"/>
    </xf>
    <xf borderId="1" fillId="3" fontId="9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1" fillId="0" fontId="6" numFmtId="0" xfId="0" applyAlignment="1" applyBorder="1" applyFont="1">
      <alignment vertical="bottom"/>
    </xf>
    <xf borderId="1" fillId="3" fontId="8" numFmtId="0" xfId="0" applyAlignment="1" applyBorder="1" applyFill="1" applyFont="1">
      <alignment horizontal="right" vertical="bottom"/>
    </xf>
    <xf borderId="1" fillId="0" fontId="2" numFmtId="0" xfId="0" applyBorder="1" applyFont="1"/>
    <xf borderId="1" fillId="0" fontId="6" numFmtId="0" xfId="0" applyAlignment="1" applyBorder="1" applyFont="1">
      <alignment horizontal="center" vertical="bottom"/>
    </xf>
    <xf borderId="1" fillId="0" fontId="2" numFmtId="1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/>
    </xf>
    <xf borderId="1" fillId="0" fontId="10" numFmtId="0" xfId="0" applyAlignment="1" applyBorder="1" applyFont="1">
      <alignment vertical="bottom"/>
    </xf>
    <xf borderId="0" fillId="4" fontId="2" numFmtId="0" xfId="0" applyAlignment="1" applyFill="1" applyFont="1">
      <alignment readingOrder="0" vertical="bottom"/>
    </xf>
    <xf borderId="1" fillId="3" fontId="8" numFmtId="0" xfId="0" applyAlignment="1" applyBorder="1" applyFill="1" applyFont="1">
      <alignment vertical="bottom"/>
    </xf>
    <xf borderId="1" fillId="3" fontId="8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/>
    </xf>
    <xf borderId="1" fillId="3" fontId="11" numFmtId="0" xfId="0" applyBorder="1" applyFill="1" applyFont="1"/>
    <xf borderId="1" fillId="3" fontId="1" numFmtId="0" xfId="0" applyBorder="1" applyFill="1" applyFont="1"/>
    <xf borderId="0" fillId="0" fontId="10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shrinkToFit="0" vertical="bottom" wrapText="1"/>
    </xf>
    <xf borderId="0" fillId="4" fontId="2" numFmtId="0" xfId="0" applyAlignment="1" applyFill="1" applyFont="1">
      <alignment readingOrder="0" shrinkToFit="0" vertical="bottom" wrapText="1"/>
    </xf>
    <xf borderId="1" fillId="3" fontId="6" numFmtId="0" xfId="0" applyAlignment="1" applyBorder="1" applyFill="1" applyFont="1">
      <alignment horizontal="right"/>
    </xf>
    <xf borderId="1" fillId="3" fontId="6" numFmtId="0" xfId="0" applyBorder="1" applyFill="1" applyFont="1"/>
    <xf borderId="1" fillId="3" fontId="6" numFmtId="0" xfId="0" applyAlignment="1" applyBorder="1" applyFill="1" applyFont="1">
      <alignment horizontal="right" vertical="bottom"/>
    </xf>
    <xf borderId="1" fillId="5" fontId="6" numFmtId="0" xfId="0" applyAlignment="1" applyBorder="1" applyFill="1" applyFont="1">
      <alignment horizontal="right" vertical="bottom"/>
    </xf>
    <xf borderId="1" fillId="3" fontId="11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horizontal="center"/>
    </xf>
    <xf borderId="0" fillId="0" fontId="5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1" fillId="6" fontId="8" numFmtId="0" xfId="0" applyAlignment="1" applyBorder="1" applyFill="1" applyFont="1">
      <alignment horizontal="right"/>
    </xf>
    <xf borderId="1" fillId="6" fontId="8" numFmtId="0" xfId="0" applyBorder="1" applyFill="1" applyFont="1"/>
    <xf borderId="1" fillId="6" fontId="9" numFmtId="0" xfId="0" applyAlignment="1" applyBorder="1" applyFill="1" applyFont="1">
      <alignment horizontal="center"/>
    </xf>
    <xf borderId="1" fillId="6" fontId="11" numFmtId="0" xfId="0" applyBorder="1" applyFill="1" applyFont="1"/>
    <xf borderId="1" fillId="0" fontId="5" numFmtId="0" xfId="0" applyAlignment="1" applyBorder="1" applyFont="1">
      <alignment readingOrder="0"/>
    </xf>
    <xf borderId="1" fillId="7" fontId="8" numFmtId="0" xfId="0" applyAlignment="1" applyBorder="1" applyFill="1" applyFont="1">
      <alignment horizontal="right" vertical="bottom"/>
    </xf>
    <xf borderId="1" fillId="7" fontId="8" numFmtId="0" xfId="0" applyAlignment="1" applyBorder="1" applyFill="1" applyFont="1">
      <alignment vertical="bottom"/>
    </xf>
    <xf borderId="1" fillId="7" fontId="8" numFmtId="0" xfId="0" applyAlignment="1" applyBorder="1" applyFill="1" applyFont="1">
      <alignment horizontal="center" vertical="bottom"/>
    </xf>
    <xf borderId="1" fillId="7" fontId="8" numFmtId="0" xfId="0" applyAlignment="1" applyBorder="1" applyFill="1" applyFont="1">
      <alignment horizontal="right" readingOrder="0" vertical="bottom"/>
    </xf>
    <xf borderId="0" fillId="7" fontId="2" numFmtId="0" xfId="0" applyAlignment="1" applyFill="1" applyFont="1">
      <alignment readingOrder="0" shrinkToFit="0" vertical="bottom" wrapText="1"/>
    </xf>
    <xf borderId="0" fillId="8" fontId="2" numFmtId="0" xfId="0" applyAlignment="1" applyFill="1" applyFont="1">
      <alignment readingOrder="0" shrinkToFit="0" vertical="bottom" wrapText="1"/>
    </xf>
    <xf borderId="1" fillId="7" fontId="8" numFmtId="0" xfId="0" applyAlignment="1" applyBorder="1" applyFill="1" applyFont="1">
      <alignment readingOrder="0" vertical="bottom"/>
    </xf>
    <xf borderId="1" fillId="3" fontId="12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9" fontId="8" numFmtId="0" xfId="0" applyAlignment="1" applyBorder="1" applyFill="1" applyFont="1">
      <alignment horizontal="right" vertical="bottom"/>
    </xf>
    <xf borderId="1" fillId="9" fontId="8" numFmtId="0" xfId="0" applyAlignment="1" applyBorder="1" applyFill="1" applyFont="1">
      <alignment vertical="bottom"/>
    </xf>
    <xf borderId="1" fillId="9" fontId="8" numFmtId="0" xfId="0" applyAlignment="1" applyBorder="1" applyFill="1" applyFont="1">
      <alignment horizontal="center" vertical="bottom"/>
    </xf>
    <xf borderId="2" fillId="3" fontId="3" numFmtId="0" xfId="0" applyAlignment="1" applyBorder="1" applyFill="1" applyFont="1">
      <alignment horizontal="center"/>
    </xf>
    <xf borderId="4" fillId="0" fontId="4" numFmtId="0" xfId="0" applyBorder="1" applyFont="1"/>
    <xf borderId="1" fillId="3" fontId="8" numFmtId="0" xfId="0" applyAlignment="1" applyBorder="1" applyFill="1" applyFont="1">
      <alignment horizontal="center"/>
    </xf>
    <xf borderId="1" fillId="3" fontId="6" numFmtId="0" xfId="0" applyAlignment="1" applyBorder="1" applyFill="1" applyFont="1">
      <alignment horizontal="center"/>
    </xf>
    <xf borderId="1" fillId="3" fontId="8" numFmtId="0" xfId="0" applyAlignment="1" applyBorder="1" applyFill="1" applyFont="1">
      <alignment vertical="center"/>
    </xf>
    <xf borderId="1" fillId="10" fontId="1" numFmtId="0" xfId="0" applyAlignment="1" applyBorder="1" applyFill="1" applyFont="1">
      <alignment vertical="bottom"/>
    </xf>
    <xf borderId="1" fillId="10" fontId="2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horizontal="right" vertical="bottom"/>
    </xf>
    <xf borderId="0" fillId="8" fontId="2" numFmtId="0" xfId="0" applyAlignment="1" applyFill="1" applyFont="1">
      <alignment readingOrder="0" vertical="bottom"/>
    </xf>
    <xf borderId="0" fillId="7" fontId="2" numFmtId="0" xfId="0" applyAlignment="1" applyFill="1" applyFont="1">
      <alignment readingOrder="0" vertical="bottom"/>
    </xf>
    <xf borderId="0" fillId="6" fontId="2" numFmtId="0" xfId="0" applyAlignment="1" applyFill="1" applyFont="1">
      <alignment readingOrder="0"/>
    </xf>
    <xf borderId="5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right" readingOrder="0" vertical="bottom"/>
    </xf>
    <xf borderId="1" fillId="10" fontId="6" numFmtId="0" xfId="0" applyAlignment="1" applyBorder="1" applyFill="1" applyFont="1">
      <alignment horizontal="center" vertical="bottom"/>
    </xf>
    <xf borderId="0" fillId="4" fontId="2" numFmtId="0" xfId="0" applyAlignment="1" applyFill="1" applyFont="1">
      <alignment horizontal="center" readingOrder="0" vertical="bottom"/>
    </xf>
    <xf borderId="0" fillId="7" fontId="2" numFmtId="0" xfId="0" applyAlignment="1" applyFill="1" applyFont="1">
      <alignment horizontal="center" readingOrder="0" vertical="bottom"/>
    </xf>
    <xf borderId="0" fillId="11" fontId="2" numFmtId="0" xfId="0" applyAlignment="1" applyFill="1" applyFont="1">
      <alignment horizontal="center" readingOrder="0" vertical="bottom"/>
    </xf>
    <xf borderId="0" fillId="3" fontId="5" numFmtId="0" xfId="0" applyAlignment="1" applyFill="1" applyFont="1">
      <alignment readingOrder="0"/>
    </xf>
    <xf borderId="0" fillId="4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7" fontId="5" numFmtId="0" xfId="0" applyAlignment="1" applyFill="1" applyFont="1">
      <alignment readingOrder="0"/>
    </xf>
    <xf borderId="1" fillId="0" fontId="13" numFmtId="0" xfId="0" applyAlignment="1" applyBorder="1" applyFont="1">
      <alignment horizontal="center" readingOrder="0" vertical="bottom"/>
    </xf>
    <xf borderId="1" fillId="3" fontId="12" numFmtId="0" xfId="0" applyAlignment="1" applyBorder="1" applyFill="1" applyFont="1">
      <alignment readingOrder="0" vertical="bottom"/>
    </xf>
    <xf borderId="1" fillId="3" fontId="8" numFmtId="0" xfId="0" applyAlignment="1" applyBorder="1" applyFill="1" applyFont="1">
      <alignment horizontal="right" readingOrder="0" vertical="bottom"/>
    </xf>
    <xf borderId="1" fillId="3" fontId="6" numFmtId="0" xfId="0" applyAlignment="1" applyBorder="1" applyFill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lavio Acosta" id="{4b3ba010-65c9-4fae-a3e3-0598743d499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E54" dT="2026-10-08T03:55:02.00" personId="{4b3ba010-65c9-4fae-a3e3-0598743d4997}" id="{a04bbdb8-3ee8-4d78-9d05-2c7f11cf046e}" done="0">
    <x18tc:text xml:space="preserve">Envio parcial 4 unidades</x18tc:text>
  </x18tc:threadedComment>
  <x18tc:threadedComment ref="BE58" dT="2026-10-08T03:55:52.00" personId="{4b3ba010-65c9-4fae-a3e3-0598743d4997}" id="{0bbda595-9eef-499a-8c4a-791b887a1139}" done="0">
    <x18tc:text xml:space="preserve">Envio parcial 2 unidades</x18tc:text>
  </x18tc:threadedComment>
  <x18tc:threadedComment ref="BE72" dT="2026-10-08T04:02:02.00" personId="{4b3ba010-65c9-4fae-a3e3-0598743d4997}" id="{8606fe2b-70e1-44e9-b9d8-b17ca68d444c}" done="0">
    <x18tc:text xml:space="preserve">Enviado 2 kits</x18tc:text>
  </x18tc:threadedComment>
  <x18tc:threadedComment ref="BE73" dT="2026-10-08T04:02:15.00" personId="{4b3ba010-65c9-4fae-a3e3-0598743d4997}" id="{99fecff2-7e1a-421d-98a2-7eb358c47ef1}" done="0">
    <x18tc:text xml:space="preserve">Enviado 2 kits</x18tc:text>
  </x18tc:threadedComment>
  <x18tc:threadedComment ref="BE59" dT="2026-10-12T22:00:03.00" personId="{4b3ba010-65c9-4fae-a3e3-0598743d4997}" id="{1526f855-1eee-4aa0-a211-7fdf1bc1f51e}" done="0">
    <x18tc:text xml:space="preserve">Devolver al Puyo, prestamo para HJMVI TENA / JMORALES</x18tc:text>
  </x18tc:threadedComment>
  <x18tc:threadedComment ref="BE60" dT="2026-10-08T02:31:20.00" personId="{4b3ba010-65c9-4fae-a3e3-0598743d4997}" id="{08852f2e-ca46-408c-9de9-ec0edb288877}" done="0">
    <x18tc:text xml:space="preserve">Envio parcial 9 unidades</x18tc:text>
  </x18tc:threadedComment>
  <x18tc:threadedComment ref="BE79" dT="2026-10-08T02:33:24.00" personId="{4b3ba010-65c9-4fae-a3e3-0598743d4997}" id="{9e936e77-402c-4082-972a-5978e65220a2}" done="0">
    <x18tc:text xml:space="preserve">Envio parcial 6 unidades</x18tc:text>
  </x18tc:threadedComment>
  <x18tc:threadedComment ref="BE67" dT="2026-10-12T16:44:26.00" personId="{4b3ba010-65c9-4fae-a3e3-0598743d4997}" id="{d193bead-c93b-4c28-8653-2ddbcbdb0447}" done="0">
    <x18tc:text xml:space="preserve">Envio parcial, 10 unidades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O34" dT="2026-10-08T02:37:20.00" personId="{4b3ba010-65c9-4fae-a3e3-0598743d4997}" id="{944ec517-8b40-4626-9426-61722796c431}" done="0">
    <x18tc:text xml:space="preserve">Envio parcial 1 unidad</x18tc:text>
  </x18tc:threadedComment>
  <x18tc:threadedComment ref="AO64" dT="2026-10-08T02:37:53.00" personId="{4b3ba010-65c9-4fae-a3e3-0598743d4997}" id="{60bc1c2c-b2a8-46ba-9cbc-9fe0a2dd4e4b}" done="0">
    <x18tc:text xml:space="preserve">Envio parcial 1 unidad</x18tc:text>
  </x18tc:threadedComment>
  <x18tc:threadedComment ref="AO96" dT="2026-10-08T02:38:38.00" personId="{4b3ba010-65c9-4fae-a3e3-0598743d4997}" id="{99697301-e466-46c4-86d1-1dd956cdf6eb}" done="0">
    <x18tc:text xml:space="preserve">Envio parcial 1 unidad</x18tc:text>
  </x18tc:threadedComment>
  <x18tc:threadedComment ref="AO133" dT="2026-10-08T02:39:25.00" personId="{4b3ba010-65c9-4fae-a3e3-0598743d4997}" id="{ec8ea61e-4224-496c-b5c3-c2595960011a}" done="0">
    <x18tc:text xml:space="preserve">Envio parcial 1 unidad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23.57"/>
    <col customWidth="1" min="4" max="4" width="13.29"/>
    <col customWidth="1" hidden="1" min="5" max="5" width="10.29"/>
    <col customWidth="1" hidden="1" min="6" max="6" width="9.43"/>
    <col customWidth="1" min="7" max="7" width="16.0"/>
    <col customWidth="1" min="8" max="50" width="0.43"/>
    <col customWidth="1" min="51" max="51" width="11.71"/>
    <col customWidth="1" min="52" max="53" width="14.0"/>
    <col customWidth="1" min="54" max="57" width="11.43"/>
  </cols>
  <sheetData>
    <row r="1">
      <c r="A1" s="3">
        <v>8.39201319E9</v>
      </c>
      <c r="B1" s="5" t="s">
        <v>1</v>
      </c>
      <c r="C1" s="6"/>
      <c r="D1" s="6"/>
      <c r="E1" s="6"/>
      <c r="F1" s="6"/>
      <c r="G1" s="8"/>
      <c r="H1" s="8"/>
      <c r="I1" s="8"/>
      <c r="J1" s="8"/>
      <c r="K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</row>
    <row r="3">
      <c r="A3" s="9" t="s">
        <v>4</v>
      </c>
      <c r="B3" s="17" t="s">
        <v>3</v>
      </c>
      <c r="C3" s="18"/>
      <c r="D3" s="9" t="s">
        <v>5</v>
      </c>
      <c r="E3" s="9" t="s">
        <v>6</v>
      </c>
      <c r="F3" s="9" t="s">
        <v>7</v>
      </c>
      <c r="G3" s="9" t="s">
        <v>8</v>
      </c>
      <c r="H3" s="22"/>
      <c r="I3" s="8"/>
      <c r="J3" s="8"/>
      <c r="K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</row>
    <row r="4">
      <c r="A4" s="25" t="s">
        <v>27</v>
      </c>
      <c r="B4" s="7"/>
      <c r="C4" s="7"/>
      <c r="D4" s="7"/>
      <c r="E4" s="7"/>
      <c r="F4" s="7"/>
      <c r="G4" s="7"/>
      <c r="H4" s="11">
        <v>45833.0</v>
      </c>
      <c r="I4" s="15">
        <v>45848.0</v>
      </c>
      <c r="J4" s="15">
        <v>45852.0</v>
      </c>
      <c r="K4" s="15">
        <v>45862.0</v>
      </c>
      <c r="L4" s="29">
        <v>45869.0</v>
      </c>
      <c r="M4" s="8"/>
      <c r="N4" s="14" t="s">
        <v>10</v>
      </c>
      <c r="O4" s="15">
        <v>45881.0</v>
      </c>
      <c r="P4" s="14" t="s">
        <v>31</v>
      </c>
      <c r="Q4" s="15">
        <v>45909.0</v>
      </c>
      <c r="R4" s="15">
        <v>45925.0</v>
      </c>
      <c r="S4" s="16" t="s">
        <v>12</v>
      </c>
      <c r="T4" s="15">
        <v>45932.0</v>
      </c>
      <c r="U4" s="19">
        <v>45950.0</v>
      </c>
      <c r="V4" s="19">
        <v>45953.0</v>
      </c>
      <c r="W4" s="19">
        <v>45959.0</v>
      </c>
      <c r="X4" s="15">
        <v>45968.0</v>
      </c>
      <c r="Y4" s="19">
        <v>45972.0</v>
      </c>
      <c r="Z4" s="16" t="s">
        <v>13</v>
      </c>
      <c r="AA4" s="19">
        <v>45979.0</v>
      </c>
      <c r="AB4" s="16" t="s">
        <v>14</v>
      </c>
      <c r="AC4" s="19">
        <v>46002.0</v>
      </c>
      <c r="AD4" s="19">
        <v>46014.0</v>
      </c>
      <c r="AE4" s="16" t="s">
        <v>16</v>
      </c>
      <c r="AF4" s="21">
        <v>46036.0</v>
      </c>
      <c r="AG4" s="21">
        <v>46063.0</v>
      </c>
      <c r="AH4" s="21">
        <v>46071.0</v>
      </c>
      <c r="AI4" s="16" t="s">
        <v>17</v>
      </c>
      <c r="AJ4" s="21">
        <v>46073.0</v>
      </c>
      <c r="AK4" s="16" t="s">
        <v>18</v>
      </c>
      <c r="AL4" s="21">
        <v>46111.0</v>
      </c>
      <c r="AM4" s="21">
        <v>46125.0</v>
      </c>
      <c r="AN4" s="21">
        <v>46127.0</v>
      </c>
      <c r="AO4" s="21">
        <v>46136.0</v>
      </c>
      <c r="AP4" s="21">
        <v>46146.0</v>
      </c>
      <c r="AQ4" s="16" t="s">
        <v>19</v>
      </c>
      <c r="AR4" s="21">
        <v>46161.0</v>
      </c>
      <c r="AS4" s="21">
        <v>46174.0</v>
      </c>
      <c r="AT4" s="21">
        <v>46184.0</v>
      </c>
      <c r="AU4" s="16" t="s">
        <v>21</v>
      </c>
      <c r="AV4" s="21">
        <v>46195.0</v>
      </c>
      <c r="AW4" s="16" t="s">
        <v>22</v>
      </c>
      <c r="AX4" s="21">
        <v>46223.0</v>
      </c>
      <c r="AY4" s="21">
        <v>46244.0</v>
      </c>
      <c r="AZ4" s="16" t="s">
        <v>24</v>
      </c>
      <c r="BA4" s="16" t="s">
        <v>25</v>
      </c>
      <c r="BB4" s="21">
        <v>46265.0</v>
      </c>
      <c r="BC4" s="21">
        <v>46279.0</v>
      </c>
      <c r="BD4" s="16" t="s">
        <v>26</v>
      </c>
      <c r="BE4" s="21">
        <v>46293.0</v>
      </c>
    </row>
    <row r="5">
      <c r="A5" s="24">
        <v>1.075935019E10</v>
      </c>
      <c r="B5" s="38" t="s">
        <v>32</v>
      </c>
      <c r="C5" s="38" t="s">
        <v>32</v>
      </c>
      <c r="D5" s="24" t="s">
        <v>36</v>
      </c>
      <c r="E5" s="7"/>
      <c r="F5" s="7"/>
      <c r="G5" s="13">
        <v>3.0</v>
      </c>
      <c r="H5" s="13"/>
      <c r="I5" s="8"/>
      <c r="J5" s="8"/>
      <c r="K5" s="8"/>
      <c r="L5" s="30"/>
      <c r="M5" s="8"/>
      <c r="N5" s="14">
        <v>7.0</v>
      </c>
      <c r="O5" s="14"/>
      <c r="P5" s="14">
        <v>7.0</v>
      </c>
      <c r="Q5" s="8"/>
      <c r="R5" s="8"/>
      <c r="S5" s="14">
        <v>6.0</v>
      </c>
      <c r="T5" s="8"/>
      <c r="U5" s="8"/>
      <c r="V5" s="8"/>
      <c r="W5" s="8"/>
      <c r="X5" s="8"/>
      <c r="Y5" s="8"/>
      <c r="Z5" s="14">
        <v>5.0</v>
      </c>
      <c r="AA5" s="8"/>
      <c r="AB5" s="14">
        <v>4.0</v>
      </c>
      <c r="AC5" s="14">
        <v>1.0</v>
      </c>
      <c r="AD5" s="14"/>
      <c r="AE5" s="14">
        <v>4.0</v>
      </c>
      <c r="AF5" s="14"/>
      <c r="AG5" s="14">
        <v>3.0</v>
      </c>
      <c r="AH5" s="14"/>
      <c r="AI5" s="14">
        <v>5.0</v>
      </c>
      <c r="AJ5" s="14"/>
      <c r="AK5" s="14">
        <v>5.0</v>
      </c>
      <c r="AL5" s="14"/>
      <c r="AM5" s="14"/>
      <c r="AN5" s="14"/>
      <c r="AO5" s="14"/>
      <c r="AP5" s="14"/>
      <c r="AQ5" s="14">
        <v>3.0</v>
      </c>
      <c r="AR5" s="14">
        <v>1.0</v>
      </c>
      <c r="AS5" s="14"/>
      <c r="AT5" s="14"/>
      <c r="AU5" s="14">
        <v>3.0</v>
      </c>
      <c r="AV5" s="14"/>
      <c r="AW5" s="14">
        <v>3.0</v>
      </c>
      <c r="AX5" s="14"/>
      <c r="AY5" s="14">
        <v>3.0</v>
      </c>
      <c r="AZ5" s="14"/>
      <c r="BA5" s="14">
        <v>4.0</v>
      </c>
      <c r="BB5" s="14"/>
      <c r="BC5" s="14"/>
      <c r="BD5" s="14">
        <v>3.0</v>
      </c>
      <c r="BE5" s="45">
        <v>3.0</v>
      </c>
    </row>
    <row r="6">
      <c r="A6" s="24">
        <v>3.121313122E9</v>
      </c>
      <c r="B6" s="38" t="s">
        <v>46</v>
      </c>
      <c r="C6" s="38" t="s">
        <v>46</v>
      </c>
      <c r="D6" s="24" t="s">
        <v>50</v>
      </c>
      <c r="E6" s="7"/>
      <c r="F6" s="7"/>
      <c r="G6" s="13">
        <v>7.0</v>
      </c>
      <c r="H6" s="7"/>
      <c r="I6" s="8"/>
      <c r="J6" s="8"/>
      <c r="K6" s="8"/>
      <c r="L6" s="48">
        <v>2.0</v>
      </c>
      <c r="M6" s="8"/>
      <c r="N6" s="14">
        <v>2.0</v>
      </c>
      <c r="O6" s="14"/>
      <c r="P6" s="14">
        <v>1.0</v>
      </c>
      <c r="Q6" s="14">
        <v>1.0</v>
      </c>
      <c r="R6" s="8"/>
      <c r="S6" s="14">
        <v>1.0</v>
      </c>
      <c r="T6" s="14">
        <v>1.0</v>
      </c>
      <c r="U6" s="8"/>
      <c r="V6" s="8"/>
      <c r="W6" s="8"/>
      <c r="X6" s="8"/>
      <c r="Y6" s="8"/>
      <c r="Z6" s="14">
        <v>2.0</v>
      </c>
      <c r="AA6" s="14">
        <v>1.0</v>
      </c>
      <c r="AB6" s="14">
        <v>1.0</v>
      </c>
      <c r="AC6" s="14">
        <v>2.0</v>
      </c>
      <c r="AD6" s="14"/>
      <c r="AE6" s="14">
        <v>3.0</v>
      </c>
      <c r="AF6" s="14"/>
      <c r="AG6" s="14"/>
      <c r="AH6" s="14"/>
      <c r="AI6" s="14">
        <v>2.0</v>
      </c>
      <c r="AJ6" s="14"/>
      <c r="AK6" s="14">
        <v>2.0</v>
      </c>
      <c r="AL6" s="14"/>
      <c r="AM6" s="14"/>
      <c r="AN6" s="14"/>
      <c r="AO6" s="14"/>
      <c r="AP6" s="14"/>
      <c r="AQ6" s="14" t="s">
        <v>55</v>
      </c>
      <c r="AR6" s="14">
        <v>2.0</v>
      </c>
      <c r="AS6" s="14"/>
      <c r="AT6" s="14"/>
      <c r="AU6" s="14" t="s">
        <v>57</v>
      </c>
      <c r="AV6" s="14"/>
      <c r="AW6" s="14">
        <v>2.0</v>
      </c>
      <c r="AX6" s="14"/>
      <c r="AY6" s="14"/>
      <c r="AZ6" s="14">
        <v>1.0</v>
      </c>
      <c r="BA6" s="14" t="s">
        <v>59</v>
      </c>
      <c r="BB6" s="45">
        <v>1.0</v>
      </c>
      <c r="BC6" s="14"/>
      <c r="BD6" s="14">
        <v>3.0</v>
      </c>
      <c r="BE6" s="45">
        <v>2.0</v>
      </c>
    </row>
    <row r="7">
      <c r="A7" s="24">
        <v>3.121291122E9</v>
      </c>
      <c r="B7" s="38" t="s">
        <v>60</v>
      </c>
      <c r="C7" s="38" t="s">
        <v>60</v>
      </c>
      <c r="D7" s="24" t="s">
        <v>50</v>
      </c>
      <c r="E7" s="7"/>
      <c r="F7" s="7"/>
      <c r="G7" s="13">
        <v>7.0</v>
      </c>
      <c r="H7" s="7"/>
      <c r="I7" s="8"/>
      <c r="J7" s="8"/>
      <c r="K7" s="8"/>
      <c r="L7" s="48">
        <v>2.0</v>
      </c>
      <c r="M7" s="8"/>
      <c r="N7" s="14">
        <v>2.0</v>
      </c>
      <c r="O7" s="14"/>
      <c r="P7" s="14">
        <v>1.0</v>
      </c>
      <c r="Q7" s="14">
        <v>1.0</v>
      </c>
      <c r="R7" s="8"/>
      <c r="S7" s="14">
        <v>1.0</v>
      </c>
      <c r="T7" s="14">
        <v>1.0</v>
      </c>
      <c r="U7" s="8"/>
      <c r="V7" s="8"/>
      <c r="W7" s="8"/>
      <c r="X7" s="8"/>
      <c r="Y7" s="8"/>
      <c r="Z7" s="14">
        <v>2.0</v>
      </c>
      <c r="AA7" s="14">
        <v>1.0</v>
      </c>
      <c r="AB7" s="14">
        <v>2.0</v>
      </c>
      <c r="AC7" s="14">
        <v>1.0</v>
      </c>
      <c r="AD7" s="14"/>
      <c r="AE7" s="14">
        <v>3.0</v>
      </c>
      <c r="AF7" s="14"/>
      <c r="AG7" s="14"/>
      <c r="AH7" s="14"/>
      <c r="AI7" s="14">
        <v>2.0</v>
      </c>
      <c r="AJ7" s="14"/>
      <c r="AK7" s="16" t="s">
        <v>65</v>
      </c>
      <c r="AL7" s="16">
        <v>2.0</v>
      </c>
      <c r="AM7" s="16"/>
      <c r="AN7" s="16"/>
      <c r="AO7" s="16"/>
      <c r="AP7" s="16"/>
      <c r="AQ7" s="16" t="s">
        <v>55</v>
      </c>
      <c r="AR7" s="16">
        <v>2.0</v>
      </c>
      <c r="AS7" s="16"/>
      <c r="AT7" s="16"/>
      <c r="AU7" s="14" t="s">
        <v>57</v>
      </c>
      <c r="AV7" s="14"/>
      <c r="AW7" s="14">
        <v>2.0</v>
      </c>
      <c r="AX7" s="14"/>
      <c r="AY7" s="14"/>
      <c r="AZ7" s="14">
        <v>1.0</v>
      </c>
      <c r="BA7" s="14" t="s">
        <v>59</v>
      </c>
      <c r="BB7" s="45">
        <v>1.0</v>
      </c>
      <c r="BC7" s="52"/>
      <c r="BD7" s="53" t="s">
        <v>70</v>
      </c>
      <c r="BE7" s="54">
        <v>4.0</v>
      </c>
    </row>
    <row r="8">
      <c r="A8" s="24">
        <v>1.2172623122E10</v>
      </c>
      <c r="B8" s="38" t="s">
        <v>37</v>
      </c>
      <c r="C8" s="38" t="s">
        <v>75</v>
      </c>
      <c r="D8" s="24" t="s">
        <v>76</v>
      </c>
      <c r="E8" s="7"/>
      <c r="F8" s="7"/>
      <c r="G8" s="13">
        <v>6.0</v>
      </c>
      <c r="H8" s="7"/>
      <c r="I8" s="8"/>
      <c r="J8" s="8"/>
      <c r="K8" s="8"/>
      <c r="L8" s="48">
        <v>2.0</v>
      </c>
      <c r="M8" s="8"/>
      <c r="N8" s="14">
        <v>3.0</v>
      </c>
      <c r="O8" s="14"/>
      <c r="P8" s="14">
        <v>3.0</v>
      </c>
      <c r="Q8" s="8"/>
      <c r="R8" s="8"/>
      <c r="S8" s="14">
        <v>3.0</v>
      </c>
      <c r="T8" s="14">
        <v>1.0</v>
      </c>
      <c r="U8" s="8"/>
      <c r="V8" s="8"/>
      <c r="W8" s="8"/>
      <c r="X8" s="8"/>
      <c r="Y8" s="8"/>
      <c r="Z8" s="14">
        <v>4.0</v>
      </c>
      <c r="AA8" s="8"/>
      <c r="AB8" s="14">
        <v>2.0</v>
      </c>
      <c r="AC8" s="14">
        <v>2.0</v>
      </c>
      <c r="AD8" s="14"/>
      <c r="AE8" s="14">
        <v>6.0</v>
      </c>
      <c r="AF8" s="14"/>
      <c r="AG8" s="14"/>
      <c r="AH8" s="14"/>
      <c r="AI8" s="14">
        <v>2.0</v>
      </c>
      <c r="AJ8" s="14">
        <v>1.0</v>
      </c>
      <c r="AK8" s="14">
        <v>3.0</v>
      </c>
      <c r="AL8" s="14"/>
      <c r="AM8" s="14"/>
      <c r="AN8" s="14"/>
      <c r="AO8" s="14"/>
      <c r="AP8" s="14"/>
      <c r="AQ8" s="14">
        <v>3.0</v>
      </c>
      <c r="AR8" s="14"/>
      <c r="AS8" s="14"/>
      <c r="AT8" s="14"/>
      <c r="AU8" s="14">
        <v>3.0</v>
      </c>
      <c r="AV8" s="14"/>
      <c r="AW8" s="14">
        <v>3.0</v>
      </c>
      <c r="AX8" s="14"/>
      <c r="AY8" s="14"/>
      <c r="AZ8" s="14"/>
      <c r="BA8" s="14" t="s">
        <v>55</v>
      </c>
      <c r="BB8" s="45">
        <v>2.0</v>
      </c>
      <c r="BC8" s="52"/>
      <c r="BD8" s="52" t="s">
        <v>59</v>
      </c>
      <c r="BE8" s="45">
        <v>2.0</v>
      </c>
    </row>
    <row r="9">
      <c r="A9" s="24">
        <v>1.1447394216E10</v>
      </c>
      <c r="B9" s="38" t="s">
        <v>39</v>
      </c>
      <c r="C9" s="38" t="s">
        <v>82</v>
      </c>
      <c r="D9" s="24" t="s">
        <v>76</v>
      </c>
      <c r="E9" s="7"/>
      <c r="F9" s="7"/>
      <c r="G9" s="13">
        <v>6.0</v>
      </c>
      <c r="H9" s="7"/>
      <c r="I9" s="8"/>
      <c r="J9" s="8"/>
      <c r="K9" s="8"/>
      <c r="L9" s="30"/>
      <c r="M9" s="8"/>
      <c r="N9" s="14">
        <v>1.0</v>
      </c>
      <c r="O9" s="14"/>
      <c r="P9" s="14">
        <v>1.0</v>
      </c>
      <c r="Q9" s="14">
        <v>1.0</v>
      </c>
      <c r="R9" s="8"/>
      <c r="S9" s="14">
        <v>2.0</v>
      </c>
      <c r="T9" s="8"/>
      <c r="U9" s="8"/>
      <c r="V9" s="8"/>
      <c r="W9" s="8"/>
      <c r="X9" s="8"/>
      <c r="Y9" s="8"/>
      <c r="Z9" s="14">
        <v>2.0</v>
      </c>
      <c r="AA9" s="8"/>
      <c r="AB9" s="14">
        <v>2.0</v>
      </c>
      <c r="AC9" s="14">
        <v>1.0</v>
      </c>
      <c r="AD9" s="14"/>
      <c r="AE9" s="14">
        <v>3.0</v>
      </c>
      <c r="AF9" s="14"/>
      <c r="AG9" s="14"/>
      <c r="AH9" s="14"/>
      <c r="AI9" s="14">
        <v>3.0</v>
      </c>
      <c r="AJ9" s="14"/>
      <c r="AK9" s="14">
        <v>3.0</v>
      </c>
      <c r="AL9" s="14"/>
      <c r="AM9" s="14"/>
      <c r="AN9" s="14"/>
      <c r="AO9" s="14"/>
      <c r="AP9" s="14"/>
      <c r="AQ9" s="14">
        <v>2.0</v>
      </c>
      <c r="AR9" s="14"/>
      <c r="AS9" s="14"/>
      <c r="AT9" s="14"/>
      <c r="AU9" s="14">
        <v>2.0</v>
      </c>
      <c r="AV9" s="14"/>
      <c r="AW9" s="14">
        <v>2.0</v>
      </c>
      <c r="AX9" s="14"/>
      <c r="AY9" s="14"/>
      <c r="AZ9" s="14">
        <v>1.0</v>
      </c>
      <c r="BA9" s="14">
        <v>1.0</v>
      </c>
      <c r="BB9" s="45">
        <v>2.0</v>
      </c>
      <c r="BC9" s="52"/>
      <c r="BD9" s="52">
        <v>3.0</v>
      </c>
      <c r="BE9" s="45">
        <v>1.0</v>
      </c>
    </row>
    <row r="10">
      <c r="A10" s="24">
        <v>3.121305122E9</v>
      </c>
      <c r="B10" s="38" t="s">
        <v>40</v>
      </c>
      <c r="C10" s="38" t="s">
        <v>92</v>
      </c>
      <c r="D10" s="24" t="s">
        <v>93</v>
      </c>
      <c r="E10" s="7"/>
      <c r="F10" s="7"/>
      <c r="G10" s="13">
        <v>4.0</v>
      </c>
      <c r="H10" s="7"/>
      <c r="I10" s="8"/>
      <c r="J10" s="8"/>
      <c r="K10" s="8"/>
      <c r="L10" s="48">
        <v>2.0</v>
      </c>
      <c r="M10" s="8"/>
      <c r="N10" s="14">
        <v>2.0</v>
      </c>
      <c r="O10" s="14"/>
      <c r="P10" s="14">
        <v>1.0</v>
      </c>
      <c r="Q10" s="14">
        <v>1.0</v>
      </c>
      <c r="R10" s="8"/>
      <c r="S10" s="14">
        <v>2.0</v>
      </c>
      <c r="T10" s="8"/>
      <c r="U10" s="8"/>
      <c r="V10" s="8"/>
      <c r="W10" s="8"/>
      <c r="X10" s="8"/>
      <c r="Y10" s="8"/>
      <c r="Z10" s="14">
        <v>1.0</v>
      </c>
      <c r="AA10" s="14">
        <v>1.0</v>
      </c>
      <c r="AB10" s="14">
        <v>0.0</v>
      </c>
      <c r="AC10" s="14">
        <v>2.0</v>
      </c>
      <c r="AD10" s="14"/>
      <c r="AE10" s="14">
        <v>5.0</v>
      </c>
      <c r="AF10" s="14"/>
      <c r="AG10" s="14"/>
      <c r="AH10" s="14"/>
      <c r="AI10" s="14">
        <v>4.0</v>
      </c>
      <c r="AJ10" s="14"/>
      <c r="AK10" s="14">
        <v>4.0</v>
      </c>
      <c r="AL10" s="14"/>
      <c r="AM10" s="14"/>
      <c r="AN10" s="14"/>
      <c r="AO10" s="14"/>
      <c r="AP10" s="14"/>
      <c r="AQ10" s="16" t="s">
        <v>97</v>
      </c>
      <c r="AR10" s="16"/>
      <c r="AS10" s="16"/>
      <c r="AT10" s="16"/>
      <c r="AU10" s="16">
        <v>2.0</v>
      </c>
      <c r="AV10" s="16"/>
      <c r="AW10" s="16">
        <v>2.0</v>
      </c>
      <c r="AX10" s="16"/>
      <c r="AY10" s="16"/>
      <c r="AZ10" s="16">
        <v>1.0</v>
      </c>
      <c r="BA10" s="16">
        <v>3.0</v>
      </c>
      <c r="BB10" s="16"/>
      <c r="BC10" s="16"/>
      <c r="BD10" s="16">
        <v>1.0</v>
      </c>
      <c r="BE10" s="54">
        <v>3.0</v>
      </c>
    </row>
    <row r="11">
      <c r="A11" s="24">
        <v>3.121313122E9</v>
      </c>
      <c r="B11" s="38" t="s">
        <v>46</v>
      </c>
      <c r="C11" s="38" t="s">
        <v>46</v>
      </c>
      <c r="D11" s="24" t="s">
        <v>50</v>
      </c>
      <c r="E11" s="7"/>
      <c r="F11" s="7"/>
      <c r="G11" s="13"/>
      <c r="H11" s="7"/>
      <c r="I11" s="8"/>
      <c r="J11" s="8"/>
      <c r="K11" s="8"/>
      <c r="L11" s="3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4"/>
      <c r="AA11" s="8"/>
      <c r="AB11" s="14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</row>
    <row r="12">
      <c r="A12" s="24">
        <v>3.121291122E9</v>
      </c>
      <c r="B12" s="38" t="s">
        <v>60</v>
      </c>
      <c r="C12" s="38" t="s">
        <v>60</v>
      </c>
      <c r="D12" s="24" t="s">
        <v>50</v>
      </c>
      <c r="E12" s="7"/>
      <c r="F12" s="7"/>
      <c r="G12" s="7"/>
      <c r="H12" s="7"/>
      <c r="I12" s="8"/>
      <c r="J12" s="8"/>
      <c r="K12" s="8"/>
      <c r="L12" s="3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4"/>
      <c r="AA12" s="8"/>
      <c r="AB12" s="14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</row>
    <row r="13">
      <c r="A13" s="24">
        <v>3.55594119E9</v>
      </c>
      <c r="B13" s="38" t="s">
        <v>108</v>
      </c>
      <c r="C13" s="38" t="s">
        <v>108</v>
      </c>
      <c r="D13" s="24" t="s">
        <v>76</v>
      </c>
      <c r="E13" s="7"/>
      <c r="F13" s="7"/>
      <c r="G13" s="7"/>
      <c r="H13" s="7"/>
      <c r="I13" s="8"/>
      <c r="J13" s="8"/>
      <c r="K13" s="8"/>
      <c r="L13" s="3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</row>
    <row r="14">
      <c r="A14" s="24">
        <v>6.53385019E9</v>
      </c>
      <c r="B14" s="38" t="s">
        <v>114</v>
      </c>
      <c r="C14" s="38" t="s">
        <v>114</v>
      </c>
      <c r="D14" s="24" t="s">
        <v>76</v>
      </c>
      <c r="E14" s="7"/>
      <c r="F14" s="7"/>
      <c r="G14" s="7"/>
      <c r="H14" s="7"/>
      <c r="I14" s="8"/>
      <c r="J14" s="8"/>
      <c r="K14" s="8"/>
      <c r="L14" s="3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</row>
    <row r="15">
      <c r="A15" s="24">
        <v>1.2146401216E10</v>
      </c>
      <c r="B15" s="38" t="s">
        <v>118</v>
      </c>
      <c r="C15" s="38" t="s">
        <v>118</v>
      </c>
      <c r="D15" s="24" t="s">
        <v>119</v>
      </c>
      <c r="E15" s="7"/>
      <c r="F15" s="7"/>
      <c r="G15" s="7"/>
      <c r="H15" s="7"/>
      <c r="I15" s="8"/>
      <c r="J15" s="8"/>
      <c r="K15" s="8"/>
      <c r="L15" s="4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</row>
    <row r="16">
      <c r="A16" s="24">
        <v>1.1355279216E10</v>
      </c>
      <c r="B16" s="38" t="s">
        <v>43</v>
      </c>
      <c r="C16" s="38" t="s">
        <v>43</v>
      </c>
      <c r="D16" s="24" t="s">
        <v>93</v>
      </c>
      <c r="E16" s="7"/>
      <c r="F16" s="7"/>
      <c r="G16" s="13">
        <v>4.0</v>
      </c>
      <c r="H16" s="13">
        <v>2.0</v>
      </c>
      <c r="I16" s="8"/>
      <c r="J16" s="8"/>
      <c r="K16" s="8"/>
      <c r="L16" s="48"/>
      <c r="M16" s="8"/>
      <c r="N16" s="14">
        <v>1.0</v>
      </c>
      <c r="O16" s="14">
        <v>1.0</v>
      </c>
      <c r="P16" s="14">
        <v>2.0</v>
      </c>
      <c r="Q16" s="8"/>
      <c r="R16" s="8"/>
      <c r="S16" s="14">
        <v>2.0</v>
      </c>
      <c r="T16" s="8"/>
      <c r="U16" s="8"/>
      <c r="V16" s="8"/>
      <c r="W16" s="8"/>
      <c r="X16" s="8"/>
      <c r="Y16" s="8"/>
      <c r="Z16" s="14">
        <v>2.0</v>
      </c>
      <c r="AA16" s="8"/>
      <c r="AB16" s="14">
        <v>0.0</v>
      </c>
      <c r="AC16" s="14">
        <v>2.0</v>
      </c>
      <c r="AD16" s="14"/>
      <c r="AE16" s="14">
        <v>4.0</v>
      </c>
      <c r="AF16" s="14"/>
      <c r="AG16" s="14"/>
      <c r="AH16" s="14"/>
      <c r="AI16" s="14">
        <v>4.0</v>
      </c>
      <c r="AJ16" s="14"/>
      <c r="AK16" s="14">
        <v>4.0</v>
      </c>
      <c r="AL16" s="14"/>
      <c r="AM16" s="14"/>
      <c r="AN16" s="14"/>
      <c r="AO16" s="14"/>
      <c r="AP16" s="14"/>
      <c r="AQ16" s="14">
        <v>2.0</v>
      </c>
      <c r="AR16" s="14">
        <v>1.0</v>
      </c>
      <c r="AS16" s="14"/>
      <c r="AT16" s="14"/>
      <c r="AU16" s="14">
        <v>2.0</v>
      </c>
      <c r="AV16" s="14"/>
      <c r="AW16" s="14">
        <v>1.0</v>
      </c>
      <c r="AX16" s="14">
        <v>1.0</v>
      </c>
      <c r="AY16" s="14"/>
      <c r="AZ16" s="14">
        <v>1.0</v>
      </c>
      <c r="BA16" s="14" t="s">
        <v>59</v>
      </c>
      <c r="BB16" s="45">
        <v>1.0</v>
      </c>
      <c r="BC16" s="14"/>
      <c r="BD16" s="14" t="s">
        <v>59</v>
      </c>
      <c r="BE16" s="45">
        <v>2.0</v>
      </c>
    </row>
    <row r="17">
      <c r="A17" s="24">
        <v>5.11700319E9</v>
      </c>
      <c r="B17" s="38" t="s">
        <v>132</v>
      </c>
      <c r="C17" s="38" t="s">
        <v>132</v>
      </c>
      <c r="D17" s="24" t="s">
        <v>134</v>
      </c>
      <c r="E17" s="7"/>
      <c r="F17" s="7"/>
      <c r="G17" s="13">
        <v>13.0</v>
      </c>
      <c r="H17" s="7"/>
      <c r="I17" s="8"/>
      <c r="J17" s="8"/>
      <c r="K17" s="8"/>
      <c r="L17" s="30"/>
      <c r="M17" s="8"/>
      <c r="N17" s="14">
        <v>14.0</v>
      </c>
      <c r="O17" s="14"/>
      <c r="P17" s="14">
        <v>11.0</v>
      </c>
      <c r="Q17" s="8"/>
      <c r="R17" s="8"/>
      <c r="S17" s="14">
        <v>9.0</v>
      </c>
      <c r="T17" s="8"/>
      <c r="U17" s="8"/>
      <c r="V17" s="8"/>
      <c r="W17" s="8"/>
      <c r="X17" s="8"/>
      <c r="Y17" s="8"/>
      <c r="Z17" s="14">
        <v>4.0</v>
      </c>
      <c r="AA17" s="14">
        <v>4.0</v>
      </c>
      <c r="AB17" s="14">
        <v>2.0</v>
      </c>
      <c r="AC17" s="14">
        <v>6.0</v>
      </c>
      <c r="AD17" s="14"/>
      <c r="AE17" s="14">
        <v>10.0</v>
      </c>
      <c r="AF17" s="14"/>
      <c r="AG17" s="14"/>
      <c r="AH17" s="14"/>
      <c r="AI17" s="14">
        <v>7.0</v>
      </c>
      <c r="AJ17" s="14"/>
      <c r="AK17" s="14">
        <v>4.0</v>
      </c>
      <c r="AL17" s="14"/>
      <c r="AM17" s="14"/>
      <c r="AN17" s="14"/>
      <c r="AO17" s="14"/>
      <c r="AP17" s="14"/>
      <c r="AQ17" s="14">
        <v>1.0</v>
      </c>
      <c r="AR17" s="14">
        <v>3.0</v>
      </c>
      <c r="AS17" s="14"/>
      <c r="AT17" s="14"/>
      <c r="AU17" s="14">
        <v>2.0</v>
      </c>
      <c r="AV17" s="14">
        <v>2.0</v>
      </c>
      <c r="AW17" s="14">
        <v>2.0</v>
      </c>
      <c r="AX17" s="14">
        <v>2.0</v>
      </c>
      <c r="AY17" s="14"/>
      <c r="AZ17" s="14">
        <v>1.0</v>
      </c>
      <c r="BA17" s="14">
        <v>0.0</v>
      </c>
      <c r="BB17" s="45">
        <v>3.0</v>
      </c>
      <c r="BC17" s="52"/>
      <c r="BD17" s="14">
        <v>1.0</v>
      </c>
      <c r="BE17" s="45">
        <v>3.0</v>
      </c>
    </row>
    <row r="18">
      <c r="A18" s="24">
        <v>5.11721619E9</v>
      </c>
      <c r="B18" s="38" t="s">
        <v>142</v>
      </c>
      <c r="C18" s="38" t="s">
        <v>142</v>
      </c>
      <c r="D18" s="24" t="s">
        <v>134</v>
      </c>
      <c r="E18" s="7"/>
      <c r="F18" s="7"/>
      <c r="G18" s="13">
        <v>13.0</v>
      </c>
      <c r="H18" s="7"/>
      <c r="I18" s="8"/>
      <c r="J18" s="8"/>
      <c r="K18" s="8"/>
      <c r="L18" s="30"/>
      <c r="M18" s="8"/>
      <c r="N18" s="14">
        <v>15.0</v>
      </c>
      <c r="O18" s="14"/>
      <c r="P18" s="14">
        <v>12.0</v>
      </c>
      <c r="Q18" s="8"/>
      <c r="R18" s="8"/>
      <c r="S18" s="14">
        <v>10.0</v>
      </c>
      <c r="T18" s="8"/>
      <c r="U18" s="8"/>
      <c r="V18" s="8"/>
      <c r="W18" s="8"/>
      <c r="X18" s="8"/>
      <c r="Y18" s="8"/>
      <c r="Z18" s="14">
        <v>5.0</v>
      </c>
      <c r="AA18" s="14">
        <v>4.0</v>
      </c>
      <c r="AB18" s="14">
        <v>3.0</v>
      </c>
      <c r="AC18" s="14">
        <v>5.0</v>
      </c>
      <c r="AD18" s="14"/>
      <c r="AE18" s="14">
        <v>10.0</v>
      </c>
      <c r="AF18" s="14"/>
      <c r="AG18" s="14"/>
      <c r="AH18" s="14"/>
      <c r="AI18" s="14">
        <v>7.0</v>
      </c>
      <c r="AJ18" s="14"/>
      <c r="AK18" s="14">
        <v>4.0</v>
      </c>
      <c r="AL18" s="14"/>
      <c r="AM18" s="14"/>
      <c r="AN18" s="14"/>
      <c r="AO18" s="14"/>
      <c r="AP18" s="14"/>
      <c r="AQ18" s="14">
        <v>1.0</v>
      </c>
      <c r="AR18" s="14">
        <v>3.0</v>
      </c>
      <c r="AS18" s="14"/>
      <c r="AT18" s="14"/>
      <c r="AU18" s="14">
        <v>2.0</v>
      </c>
      <c r="AV18" s="14">
        <v>2.0</v>
      </c>
      <c r="AW18" s="14">
        <v>2.0</v>
      </c>
      <c r="AX18" s="14">
        <v>2.0</v>
      </c>
      <c r="AY18" s="14"/>
      <c r="AZ18" s="14">
        <v>1.0</v>
      </c>
      <c r="BA18" s="14">
        <v>0.0</v>
      </c>
      <c r="BB18" s="45">
        <v>3.0</v>
      </c>
      <c r="BC18" s="14"/>
      <c r="BD18" s="62">
        <v>1.0</v>
      </c>
      <c r="BE18" s="63">
        <v>5.0</v>
      </c>
    </row>
    <row r="19">
      <c r="A19" s="24">
        <v>5.117208922E9</v>
      </c>
      <c r="B19" s="38" t="s">
        <v>154</v>
      </c>
      <c r="C19" s="38" t="s">
        <v>154</v>
      </c>
      <c r="D19" s="24" t="s">
        <v>134</v>
      </c>
      <c r="E19" s="7"/>
      <c r="F19" s="7"/>
      <c r="G19" s="7"/>
      <c r="H19" s="7"/>
      <c r="I19" s="8"/>
      <c r="J19" s="8"/>
      <c r="K19" s="8"/>
      <c r="L19" s="4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4" t="s">
        <v>106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</row>
    <row r="20">
      <c r="A20" s="24">
        <v>5.117291922E9</v>
      </c>
      <c r="B20" s="38" t="s">
        <v>158</v>
      </c>
      <c r="C20" s="38" t="s">
        <v>158</v>
      </c>
      <c r="D20" s="24" t="s">
        <v>134</v>
      </c>
      <c r="E20" s="7"/>
      <c r="F20" s="7"/>
      <c r="G20" s="7"/>
      <c r="H20" s="7"/>
      <c r="I20" s="8"/>
      <c r="J20" s="8"/>
      <c r="K20" s="8"/>
      <c r="L20" s="4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</row>
    <row r="21">
      <c r="A21" s="24">
        <v>2.0766321322E10</v>
      </c>
      <c r="B21" s="38" t="s">
        <v>163</v>
      </c>
      <c r="C21" s="38" t="s">
        <v>163</v>
      </c>
      <c r="D21" s="24" t="s">
        <v>164</v>
      </c>
      <c r="E21" s="7"/>
      <c r="F21" s="7"/>
      <c r="G21" s="7"/>
      <c r="H21" s="7"/>
      <c r="I21" s="8"/>
      <c r="J21" s="8"/>
      <c r="K21" s="8"/>
      <c r="L21" s="30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</row>
    <row r="22">
      <c r="A22" s="24">
        <v>5.94762619E9</v>
      </c>
      <c r="B22" s="38" t="s">
        <v>167</v>
      </c>
      <c r="C22" s="38" t="s">
        <v>167</v>
      </c>
      <c r="D22" s="24" t="s">
        <v>168</v>
      </c>
      <c r="E22" s="7"/>
      <c r="F22" s="7"/>
      <c r="H22" s="7"/>
      <c r="I22" s="8"/>
      <c r="J22" s="8"/>
      <c r="K22" s="8"/>
      <c r="L22" s="3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</row>
    <row r="23">
      <c r="A23" s="24">
        <v>5.94777419E9</v>
      </c>
      <c r="B23" s="38" t="s">
        <v>172</v>
      </c>
      <c r="C23" s="38" t="s">
        <v>172</v>
      </c>
      <c r="D23" s="24" t="s">
        <v>173</v>
      </c>
      <c r="E23" s="7"/>
      <c r="F23" s="7"/>
      <c r="H23" s="7"/>
      <c r="I23" s="8"/>
      <c r="J23" s="8"/>
      <c r="K23" s="8"/>
      <c r="L23" s="3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</row>
    <row r="24">
      <c r="A24" s="24">
        <v>4.52841719E9</v>
      </c>
      <c r="B24" s="38" t="s">
        <v>44</v>
      </c>
      <c r="C24" s="38" t="s">
        <v>44</v>
      </c>
      <c r="D24" s="24" t="s">
        <v>178</v>
      </c>
      <c r="E24" s="7"/>
      <c r="F24" s="7"/>
      <c r="G24" s="13">
        <v>4.0</v>
      </c>
      <c r="H24" s="7"/>
      <c r="I24" s="14">
        <v>2.0</v>
      </c>
      <c r="J24" s="8"/>
      <c r="K24" s="8"/>
      <c r="L24" s="48">
        <v>1.0</v>
      </c>
      <c r="M24" s="8"/>
      <c r="N24" s="14">
        <v>2.0</v>
      </c>
      <c r="O24" s="14"/>
      <c r="P24" s="14">
        <v>2.0</v>
      </c>
      <c r="Q24" s="8"/>
      <c r="R24" s="8"/>
      <c r="S24" s="14">
        <v>2.0</v>
      </c>
      <c r="T24" s="8"/>
      <c r="U24" s="8"/>
      <c r="V24" s="8"/>
      <c r="W24" s="8"/>
      <c r="X24" s="8"/>
      <c r="Y24" s="8"/>
      <c r="Z24" s="14">
        <v>2.0</v>
      </c>
      <c r="AA24" s="14"/>
      <c r="AB24" s="14">
        <v>2.0</v>
      </c>
      <c r="AC24" s="14"/>
      <c r="AD24" s="14"/>
      <c r="AE24" s="14">
        <v>2.0</v>
      </c>
      <c r="AF24" s="14"/>
      <c r="AG24" s="14"/>
      <c r="AH24" s="14"/>
      <c r="AI24" s="14">
        <v>1.0</v>
      </c>
      <c r="AJ24" s="14">
        <v>1.0</v>
      </c>
      <c r="AK24" s="14">
        <v>2.0</v>
      </c>
      <c r="AL24" s="14"/>
      <c r="AM24" s="14"/>
      <c r="AN24" s="14"/>
      <c r="AO24" s="14"/>
      <c r="AP24" s="14"/>
      <c r="AQ24" s="14">
        <v>1.0</v>
      </c>
      <c r="AR24" s="14">
        <v>1.0</v>
      </c>
      <c r="AS24" s="14"/>
      <c r="AT24" s="14"/>
      <c r="AU24" s="14">
        <v>1.0</v>
      </c>
      <c r="AV24" s="14">
        <v>1.0</v>
      </c>
      <c r="AW24" s="14">
        <v>1.0</v>
      </c>
      <c r="AX24" s="14">
        <v>1.0</v>
      </c>
      <c r="AY24" s="14"/>
      <c r="AZ24" s="14">
        <v>1.0</v>
      </c>
      <c r="BA24" s="14">
        <v>3.0</v>
      </c>
      <c r="BB24" s="14"/>
      <c r="BC24" s="14"/>
      <c r="BD24" s="14" t="s">
        <v>59</v>
      </c>
      <c r="BE24" s="45">
        <v>1.0</v>
      </c>
    </row>
    <row r="25">
      <c r="A25" s="24">
        <v>5.47920719E9</v>
      </c>
      <c r="B25" s="38" t="s">
        <v>67</v>
      </c>
      <c r="C25" s="38" t="s">
        <v>67</v>
      </c>
      <c r="D25" s="24" t="s">
        <v>54</v>
      </c>
      <c r="E25" s="7"/>
      <c r="F25" s="7"/>
      <c r="G25" s="13">
        <v>10.0</v>
      </c>
      <c r="H25" s="7"/>
      <c r="I25" s="14">
        <v>4.0</v>
      </c>
      <c r="J25" s="8"/>
      <c r="K25" s="8"/>
      <c r="L25" s="48">
        <v>2.0</v>
      </c>
      <c r="M25" s="8"/>
      <c r="N25" s="14">
        <v>5.0</v>
      </c>
      <c r="O25" s="14"/>
      <c r="P25" s="14">
        <v>5.0</v>
      </c>
      <c r="Q25" s="8"/>
      <c r="R25" s="8"/>
      <c r="S25" s="14">
        <v>5.0</v>
      </c>
      <c r="T25" s="8"/>
      <c r="U25" s="8"/>
      <c r="V25" s="8"/>
      <c r="W25" s="8"/>
      <c r="X25" s="8"/>
      <c r="Y25" s="8"/>
      <c r="Z25" s="14">
        <v>0.0</v>
      </c>
      <c r="AA25" s="14">
        <v>2.0</v>
      </c>
      <c r="AB25" s="14">
        <v>2.0</v>
      </c>
      <c r="AC25" s="14">
        <v>1.0</v>
      </c>
      <c r="AD25" s="14"/>
      <c r="AE25" s="14">
        <v>3.0</v>
      </c>
      <c r="AF25" s="14"/>
      <c r="AG25" s="14"/>
      <c r="AH25" s="14"/>
      <c r="AI25" s="14">
        <v>3.0</v>
      </c>
      <c r="AJ25" s="14"/>
      <c r="AK25" s="14">
        <v>3.0</v>
      </c>
      <c r="AL25" s="14"/>
      <c r="AM25" s="14"/>
      <c r="AN25" s="14"/>
      <c r="AO25" s="14"/>
      <c r="AP25" s="14"/>
      <c r="AQ25" s="16" t="s">
        <v>193</v>
      </c>
      <c r="AR25" s="16"/>
      <c r="AS25" s="16"/>
      <c r="AT25" s="16"/>
      <c r="AU25" s="16" t="s">
        <v>193</v>
      </c>
      <c r="AV25" s="16">
        <v>2.0</v>
      </c>
      <c r="AW25" s="16">
        <v>1.0</v>
      </c>
      <c r="AX25" s="16">
        <v>1.0</v>
      </c>
      <c r="AY25" s="16"/>
      <c r="AZ25" s="16">
        <v>1.0</v>
      </c>
      <c r="BA25" s="16">
        <v>3.0</v>
      </c>
      <c r="BB25" s="16"/>
      <c r="BC25" s="16"/>
      <c r="BD25" s="16">
        <v>2.0</v>
      </c>
      <c r="BE25" s="54">
        <v>1.0</v>
      </c>
    </row>
    <row r="26">
      <c r="A26" s="24">
        <v>5.91250419E9</v>
      </c>
      <c r="B26" s="38" t="s">
        <v>69</v>
      </c>
      <c r="C26" s="38" t="s">
        <v>69</v>
      </c>
      <c r="D26" s="24" t="s">
        <v>54</v>
      </c>
      <c r="E26" s="7"/>
      <c r="F26" s="7"/>
      <c r="G26" s="13">
        <v>10.0</v>
      </c>
      <c r="H26" s="7"/>
      <c r="I26" s="14">
        <v>4.0</v>
      </c>
      <c r="J26" s="8"/>
      <c r="K26" s="8"/>
      <c r="L26" s="48">
        <v>2.0</v>
      </c>
      <c r="M26" s="8"/>
      <c r="N26" s="14">
        <v>5.0</v>
      </c>
      <c r="O26" s="14"/>
      <c r="P26" s="14">
        <v>5.0</v>
      </c>
      <c r="Q26" s="8"/>
      <c r="R26" s="8"/>
      <c r="S26" s="14">
        <v>5.0</v>
      </c>
      <c r="T26" s="8"/>
      <c r="U26" s="8"/>
      <c r="V26" s="8"/>
      <c r="W26" s="8"/>
      <c r="X26" s="8"/>
      <c r="Y26" s="8"/>
      <c r="Z26" s="14">
        <v>0.0</v>
      </c>
      <c r="AA26" s="14">
        <v>2.0</v>
      </c>
      <c r="AB26" s="14">
        <v>2.0</v>
      </c>
      <c r="AC26" s="14">
        <v>1.0</v>
      </c>
      <c r="AD26" s="14"/>
      <c r="AE26" s="14">
        <v>3.0</v>
      </c>
      <c r="AF26" s="14"/>
      <c r="AG26" s="14"/>
      <c r="AH26" s="14"/>
      <c r="AI26" s="14">
        <v>3.0</v>
      </c>
      <c r="AJ26" s="14"/>
      <c r="AK26" s="14">
        <v>3.0</v>
      </c>
      <c r="AL26" s="14"/>
      <c r="AM26" s="14"/>
      <c r="AN26" s="14"/>
      <c r="AO26" s="14"/>
      <c r="AP26" s="14"/>
      <c r="AQ26" s="14">
        <v>2.0</v>
      </c>
      <c r="AR26" s="14"/>
      <c r="AS26" s="14"/>
      <c r="AT26" s="14"/>
      <c r="AU26" s="16" t="s">
        <v>196</v>
      </c>
      <c r="AV26" s="16">
        <v>1.0</v>
      </c>
      <c r="AW26" s="16">
        <v>1.0</v>
      </c>
      <c r="AX26" s="16">
        <v>1.0</v>
      </c>
      <c r="AY26" s="16"/>
      <c r="AZ26" s="16">
        <v>1.0</v>
      </c>
      <c r="BA26" s="16">
        <v>3.0</v>
      </c>
      <c r="BB26" s="16"/>
      <c r="BC26" s="16"/>
      <c r="BD26" s="16">
        <v>2.0</v>
      </c>
      <c r="BE26" s="54">
        <v>1.0</v>
      </c>
    </row>
    <row r="27">
      <c r="A27" s="24">
        <v>5.05090119E9</v>
      </c>
      <c r="B27" s="38" t="s">
        <v>47</v>
      </c>
      <c r="C27" s="7"/>
      <c r="D27" s="24" t="s">
        <v>197</v>
      </c>
      <c r="E27" s="7"/>
      <c r="F27" s="7"/>
      <c r="G27" s="7"/>
      <c r="H27" s="7"/>
      <c r="I27" s="8"/>
      <c r="J27" s="8"/>
      <c r="K27" s="8"/>
      <c r="L27" s="3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</row>
    <row r="28">
      <c r="A28" s="24">
        <v>5.05093619E9</v>
      </c>
      <c r="B28" s="38" t="s">
        <v>71</v>
      </c>
      <c r="C28" s="7"/>
      <c r="D28" s="24" t="s">
        <v>200</v>
      </c>
      <c r="E28" s="7"/>
      <c r="F28" s="7"/>
      <c r="G28" s="7"/>
      <c r="H28" s="7"/>
      <c r="I28" s="8"/>
      <c r="J28" s="8"/>
      <c r="K28" s="8"/>
      <c r="L28" s="3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</row>
    <row r="29">
      <c r="A29" s="24">
        <v>8.04754519E9</v>
      </c>
      <c r="B29" s="38" t="s">
        <v>203</v>
      </c>
      <c r="C29" s="7"/>
      <c r="D29" s="24" t="s">
        <v>204</v>
      </c>
      <c r="E29" s="7"/>
      <c r="F29" s="7"/>
      <c r="G29" s="7"/>
      <c r="H29" s="7"/>
      <c r="I29" s="8"/>
      <c r="J29" s="8"/>
      <c r="K29" s="8"/>
      <c r="L29" s="3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14" t="s">
        <v>106</v>
      </c>
      <c r="AV29" s="14"/>
      <c r="AW29" s="14"/>
      <c r="AX29" s="14"/>
      <c r="AY29" s="14"/>
      <c r="AZ29" s="14"/>
      <c r="BA29" s="14"/>
      <c r="BB29" s="14"/>
      <c r="BC29" s="14"/>
      <c r="BD29" s="14"/>
      <c r="BE29" s="14"/>
    </row>
    <row r="30">
      <c r="A30" s="24">
        <v>8.36278519E9</v>
      </c>
      <c r="B30" s="38" t="s">
        <v>206</v>
      </c>
      <c r="C30" s="7"/>
      <c r="D30" s="24" t="s">
        <v>200</v>
      </c>
      <c r="E30" s="7"/>
      <c r="F30" s="7"/>
      <c r="G30" s="7"/>
      <c r="H30" s="7"/>
      <c r="I30" s="8"/>
      <c r="J30" s="8"/>
      <c r="K30" s="8"/>
      <c r="L30" s="3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D30" s="8"/>
      <c r="BE30" s="8"/>
    </row>
    <row r="31">
      <c r="A31" s="24">
        <v>5.85264119E9</v>
      </c>
      <c r="B31" s="38" t="s">
        <v>212</v>
      </c>
      <c r="C31" s="7"/>
      <c r="D31" s="24" t="s">
        <v>93</v>
      </c>
      <c r="E31" s="7"/>
      <c r="F31" s="7"/>
      <c r="G31" s="7"/>
      <c r="H31" s="7"/>
      <c r="I31" s="8"/>
      <c r="J31" s="8"/>
      <c r="K31" s="8"/>
      <c r="L31" s="4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</row>
    <row r="32">
      <c r="A32" s="24">
        <v>5.85265019E9</v>
      </c>
      <c r="B32" s="38" t="s">
        <v>217</v>
      </c>
      <c r="C32" s="7"/>
      <c r="D32" s="24" t="s">
        <v>200</v>
      </c>
      <c r="E32" s="7"/>
      <c r="F32" s="7"/>
      <c r="G32" s="7"/>
      <c r="H32" s="7"/>
      <c r="I32" s="8"/>
      <c r="J32" s="8"/>
      <c r="K32" s="8"/>
      <c r="L32" s="3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</row>
    <row r="33">
      <c r="A33" s="24">
        <v>4.97590119E9</v>
      </c>
      <c r="B33" s="38" t="s">
        <v>222</v>
      </c>
      <c r="C33" s="7"/>
      <c r="D33" s="24" t="s">
        <v>54</v>
      </c>
      <c r="E33" s="7"/>
      <c r="F33" s="7"/>
      <c r="G33" s="7"/>
      <c r="H33" s="7"/>
      <c r="I33" s="8"/>
      <c r="J33" s="8"/>
      <c r="K33" s="8"/>
      <c r="L33" s="4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</row>
    <row r="34">
      <c r="A34" s="24">
        <v>6.72937119E9</v>
      </c>
      <c r="B34" s="38" t="s">
        <v>227</v>
      </c>
      <c r="C34" s="7"/>
      <c r="D34" s="24" t="s">
        <v>230</v>
      </c>
      <c r="E34" s="7"/>
      <c r="F34" s="7"/>
      <c r="G34" s="7"/>
      <c r="H34" s="7"/>
      <c r="I34" s="8"/>
      <c r="J34" s="8"/>
      <c r="K34" s="8"/>
      <c r="L34" s="3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</row>
    <row r="35">
      <c r="A35" s="24">
        <v>5.38550419E9</v>
      </c>
      <c r="B35" s="38" t="s">
        <v>236</v>
      </c>
      <c r="C35" s="7"/>
      <c r="D35" s="24" t="s">
        <v>237</v>
      </c>
      <c r="E35" s="7"/>
      <c r="F35" s="7"/>
      <c r="G35" s="7"/>
      <c r="H35" s="7"/>
      <c r="I35" s="8"/>
      <c r="J35" s="8"/>
      <c r="K35" s="8"/>
      <c r="L35" s="3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</row>
    <row r="36">
      <c r="A36" s="24">
        <v>5.14242319E9</v>
      </c>
      <c r="B36" s="38" t="s">
        <v>239</v>
      </c>
      <c r="C36" s="7"/>
      <c r="D36" s="24" t="s">
        <v>241</v>
      </c>
      <c r="E36" s="7"/>
      <c r="F36" s="7"/>
      <c r="G36" s="7"/>
      <c r="H36" s="7"/>
      <c r="I36" s="8"/>
      <c r="J36" s="8"/>
      <c r="K36" s="8"/>
      <c r="L36" s="3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</row>
    <row r="37">
      <c r="A37" s="24">
        <v>2.075199519E10</v>
      </c>
      <c r="B37" s="38" t="s">
        <v>251</v>
      </c>
      <c r="C37" s="38" t="s">
        <v>252</v>
      </c>
      <c r="D37" s="24" t="s">
        <v>253</v>
      </c>
      <c r="E37" s="7"/>
      <c r="F37" s="7"/>
      <c r="G37" s="7"/>
      <c r="H37" s="7"/>
      <c r="I37" s="8"/>
      <c r="J37" s="8"/>
      <c r="K37" s="8"/>
      <c r="L37" s="3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</row>
    <row r="38">
      <c r="A38" s="24">
        <v>2.075240119E10</v>
      </c>
      <c r="B38" s="38" t="s">
        <v>256</v>
      </c>
      <c r="C38" s="38" t="s">
        <v>257</v>
      </c>
      <c r="D38" s="24" t="s">
        <v>258</v>
      </c>
      <c r="E38" s="7"/>
      <c r="F38" s="7"/>
      <c r="G38" s="7"/>
      <c r="H38" s="7"/>
      <c r="I38" s="8"/>
      <c r="J38" s="8"/>
      <c r="K38" s="8"/>
      <c r="L38" s="3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</row>
    <row r="39">
      <c r="A39" s="24">
        <v>2.075300919E10</v>
      </c>
      <c r="B39" s="38" t="s">
        <v>260</v>
      </c>
      <c r="C39" s="38" t="s">
        <v>261</v>
      </c>
      <c r="D39" s="24" t="s">
        <v>258</v>
      </c>
      <c r="E39" s="7"/>
      <c r="F39" s="7"/>
      <c r="G39" s="7"/>
      <c r="H39" s="7"/>
      <c r="I39" s="8"/>
      <c r="J39" s="8"/>
      <c r="K39" s="8"/>
      <c r="L39" s="3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</row>
    <row r="40">
      <c r="A40" s="24">
        <v>1.1098993122E10</v>
      </c>
      <c r="B40" s="38" t="s">
        <v>264</v>
      </c>
      <c r="C40" s="38" t="s">
        <v>266</v>
      </c>
      <c r="D40" s="24" t="s">
        <v>76</v>
      </c>
      <c r="E40" s="7"/>
      <c r="F40" s="7"/>
      <c r="G40" s="7"/>
      <c r="H40" s="7"/>
      <c r="I40" s="8"/>
      <c r="J40" s="8"/>
      <c r="K40" s="8"/>
      <c r="L40" s="3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</row>
    <row r="41">
      <c r="A41" s="24">
        <v>1.1098985122E10</v>
      </c>
      <c r="B41" s="38" t="s">
        <v>269</v>
      </c>
      <c r="C41" s="7"/>
      <c r="D41" s="24" t="s">
        <v>76</v>
      </c>
      <c r="E41" s="7"/>
      <c r="F41" s="7"/>
      <c r="G41" s="7"/>
      <c r="H41" s="7"/>
      <c r="I41" s="8"/>
      <c r="J41" s="8"/>
      <c r="K41" s="8"/>
      <c r="L41" s="3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</row>
    <row r="42">
      <c r="A42" s="24">
        <v>1.1174118122E10</v>
      </c>
      <c r="B42" s="38" t="s">
        <v>277</v>
      </c>
      <c r="C42" s="7"/>
      <c r="D42" s="24" t="s">
        <v>76</v>
      </c>
      <c r="E42" s="7"/>
      <c r="F42" s="7"/>
      <c r="G42" s="7"/>
      <c r="H42" s="7"/>
      <c r="I42" s="8"/>
      <c r="J42" s="8"/>
      <c r="K42" s="8"/>
      <c r="L42" s="3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</row>
    <row r="43">
      <c r="A43" s="24">
        <v>4.58004419E9</v>
      </c>
      <c r="B43" s="38" t="s">
        <v>285</v>
      </c>
      <c r="C43" s="7"/>
      <c r="D43" s="24" t="s">
        <v>76</v>
      </c>
      <c r="E43" s="7"/>
      <c r="F43" s="7"/>
      <c r="G43" s="7"/>
      <c r="H43" s="7"/>
      <c r="I43" s="8"/>
      <c r="J43" s="8"/>
      <c r="K43" s="8"/>
      <c r="L43" s="3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</row>
    <row r="44">
      <c r="A44" s="24">
        <v>1.1730835216E10</v>
      </c>
      <c r="B44" s="38" t="s">
        <v>288</v>
      </c>
      <c r="C44" s="7"/>
      <c r="D44" s="24" t="s">
        <v>241</v>
      </c>
      <c r="E44" s="7"/>
      <c r="F44" s="7"/>
      <c r="G44" s="7"/>
      <c r="H44" s="7"/>
      <c r="I44" s="8"/>
      <c r="J44" s="8"/>
      <c r="K44" s="8"/>
      <c r="L44" s="3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</row>
    <row r="45">
      <c r="A45" s="24">
        <v>1.2172828322E10</v>
      </c>
      <c r="B45" s="38" t="s">
        <v>51</v>
      </c>
      <c r="C45" s="7"/>
      <c r="D45" s="24" t="s">
        <v>93</v>
      </c>
      <c r="E45" s="7"/>
      <c r="F45" s="7"/>
      <c r="G45" s="7"/>
      <c r="H45" s="7"/>
      <c r="I45" s="8"/>
      <c r="J45" s="8"/>
      <c r="K45" s="8"/>
      <c r="L45" s="3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</row>
    <row r="46">
      <c r="A46" s="24">
        <v>3.005496122E9</v>
      </c>
      <c r="B46" s="38" t="s">
        <v>73</v>
      </c>
      <c r="C46" s="7"/>
      <c r="D46" s="24" t="s">
        <v>292</v>
      </c>
      <c r="E46" s="7"/>
      <c r="F46" s="7"/>
      <c r="G46" s="7"/>
      <c r="H46" s="7"/>
      <c r="I46" s="8"/>
      <c r="J46" s="8"/>
      <c r="K46" s="8"/>
      <c r="L46" s="3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</row>
    <row r="47">
      <c r="A47" s="24">
        <v>3.37579019E9</v>
      </c>
      <c r="B47" s="38" t="s">
        <v>294</v>
      </c>
      <c r="C47" s="7"/>
      <c r="D47" s="24" t="s">
        <v>295</v>
      </c>
      <c r="E47" s="7"/>
      <c r="F47" s="7"/>
      <c r="G47" s="7"/>
      <c r="H47" s="7"/>
      <c r="I47" s="8"/>
      <c r="J47" s="8"/>
      <c r="K47" s="8"/>
      <c r="L47" s="3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</row>
    <row r="48">
      <c r="A48" s="24">
        <v>4.52153619E9</v>
      </c>
      <c r="B48" s="38" t="s">
        <v>301</v>
      </c>
      <c r="C48" s="7"/>
      <c r="D48" s="24" t="s">
        <v>302</v>
      </c>
      <c r="E48" s="7"/>
      <c r="F48" s="7"/>
      <c r="G48" s="7"/>
      <c r="H48" s="7"/>
      <c r="I48" s="8"/>
      <c r="J48" s="8"/>
      <c r="K48" s="8"/>
      <c r="L48" s="3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</row>
    <row r="49">
      <c r="A49" s="87" t="s">
        <v>77</v>
      </c>
      <c r="B49" s="88"/>
      <c r="C49" s="88"/>
      <c r="D49" s="89" t="s">
        <v>306</v>
      </c>
      <c r="E49" s="88"/>
      <c r="F49" s="88"/>
      <c r="G49" s="88"/>
      <c r="H49" s="7"/>
      <c r="I49" s="8"/>
      <c r="J49" s="8"/>
      <c r="K49" s="8"/>
      <c r="L49" s="3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</row>
    <row r="50">
      <c r="A50" s="24">
        <v>7.700814001E9</v>
      </c>
      <c r="B50" s="38" t="s">
        <v>78</v>
      </c>
      <c r="C50" s="38" t="s">
        <v>308</v>
      </c>
      <c r="D50" s="7"/>
      <c r="E50" s="7"/>
      <c r="F50" s="7"/>
      <c r="G50" s="13">
        <v>7.0</v>
      </c>
      <c r="H50" s="7"/>
      <c r="I50" s="8"/>
      <c r="J50" s="8"/>
      <c r="K50" s="8"/>
      <c r="L50" s="4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4">
        <v>0.0</v>
      </c>
      <c r="AA50" s="14">
        <v>1.0</v>
      </c>
      <c r="AB50" s="14">
        <v>1.0</v>
      </c>
      <c r="AC50" s="14"/>
      <c r="AD50" s="14"/>
      <c r="AE50" s="16" t="s">
        <v>310</v>
      </c>
      <c r="AF50" s="14">
        <v>1.0</v>
      </c>
      <c r="AG50" s="14"/>
      <c r="AH50" s="14"/>
      <c r="AI50" s="14">
        <v>1.0</v>
      </c>
      <c r="AJ50" s="14"/>
      <c r="AK50" s="14">
        <v>1.0</v>
      </c>
      <c r="AL50" s="14"/>
      <c r="AM50" s="14"/>
      <c r="AN50" s="14"/>
      <c r="AO50" s="14"/>
      <c r="AP50" s="14">
        <v>1.0</v>
      </c>
      <c r="AQ50" s="14">
        <v>1.0</v>
      </c>
      <c r="AR50" s="14"/>
      <c r="AS50" s="14"/>
      <c r="AT50" s="14"/>
      <c r="AU50" s="14">
        <v>1.0</v>
      </c>
      <c r="AV50" s="14"/>
      <c r="AW50" s="16" t="s">
        <v>312</v>
      </c>
      <c r="AX50" s="16">
        <v>1.0</v>
      </c>
      <c r="AY50" s="16"/>
      <c r="AZ50" s="16"/>
      <c r="BA50" s="16" t="s">
        <v>313</v>
      </c>
      <c r="BB50" s="16"/>
      <c r="BC50" s="16"/>
      <c r="BD50" s="16" t="s">
        <v>314</v>
      </c>
      <c r="BE50" s="16">
        <v>2.0</v>
      </c>
    </row>
    <row r="51">
      <c r="A51" s="24">
        <v>8.06331119E9</v>
      </c>
      <c r="B51" s="38" t="s">
        <v>315</v>
      </c>
      <c r="C51" s="38" t="s">
        <v>316</v>
      </c>
      <c r="D51" s="7"/>
      <c r="E51" s="7"/>
      <c r="F51" s="7"/>
      <c r="G51" s="7"/>
      <c r="H51" s="7"/>
      <c r="I51" s="8"/>
      <c r="J51" s="8"/>
      <c r="K51" s="8"/>
      <c r="L51" s="3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</row>
    <row r="52">
      <c r="A52" s="24">
        <v>8.06300119E9</v>
      </c>
      <c r="B52" s="38" t="s">
        <v>319</v>
      </c>
      <c r="C52" s="38" t="s">
        <v>316</v>
      </c>
      <c r="D52" s="7"/>
      <c r="E52" s="7"/>
      <c r="F52" s="7"/>
      <c r="G52" s="7"/>
      <c r="H52" s="7"/>
      <c r="I52" s="8"/>
      <c r="J52" s="8"/>
      <c r="K52" s="8"/>
      <c r="L52" s="3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</row>
    <row r="53">
      <c r="A53" s="24">
        <v>2.0757144322E10</v>
      </c>
      <c r="B53" s="38" t="s">
        <v>320</v>
      </c>
      <c r="C53" s="38" t="s">
        <v>316</v>
      </c>
      <c r="D53" s="24">
        <v>25.0</v>
      </c>
      <c r="E53" s="7"/>
      <c r="F53" s="7"/>
      <c r="G53" s="7"/>
      <c r="H53" s="7"/>
      <c r="I53" s="8"/>
      <c r="J53" s="8"/>
      <c r="K53" s="8"/>
      <c r="L53" s="3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</row>
    <row r="54">
      <c r="A54" s="24">
        <v>8.06335419E9</v>
      </c>
      <c r="B54" s="38" t="s">
        <v>79</v>
      </c>
      <c r="C54" s="38" t="s">
        <v>316</v>
      </c>
      <c r="D54" s="24">
        <v>40.0</v>
      </c>
      <c r="E54" s="7"/>
      <c r="F54" s="7"/>
      <c r="G54" s="13">
        <v>30.0</v>
      </c>
      <c r="H54" s="13">
        <v>6.0</v>
      </c>
      <c r="I54" s="8"/>
      <c r="J54" s="8"/>
      <c r="K54" s="8"/>
      <c r="L54" s="30"/>
      <c r="M54" s="8"/>
      <c r="N54" s="14">
        <v>2.0</v>
      </c>
      <c r="O54" s="14">
        <v>4.0</v>
      </c>
      <c r="P54" s="14">
        <v>8.0</v>
      </c>
      <c r="Q54" s="14">
        <v>2.0</v>
      </c>
      <c r="R54" s="8"/>
      <c r="S54" s="14">
        <v>8.0</v>
      </c>
      <c r="T54" s="8"/>
      <c r="U54" s="8"/>
      <c r="V54" s="8"/>
      <c r="W54" s="8"/>
      <c r="X54" s="8"/>
      <c r="Y54" s="8"/>
      <c r="Z54" s="14">
        <v>6.0</v>
      </c>
      <c r="AA54" s="14">
        <v>4.0</v>
      </c>
      <c r="AB54" s="14">
        <v>6.0</v>
      </c>
      <c r="AC54" s="14">
        <v>2.0</v>
      </c>
      <c r="AD54" s="14"/>
      <c r="AE54" s="14">
        <v>4.0</v>
      </c>
      <c r="AF54" s="14">
        <v>4.0</v>
      </c>
      <c r="AG54" s="14"/>
      <c r="AH54" s="14"/>
      <c r="AI54" s="14">
        <v>11.0</v>
      </c>
      <c r="AJ54" s="14"/>
      <c r="AK54" s="14">
        <v>8.0</v>
      </c>
      <c r="AL54" s="14"/>
      <c r="AM54" s="14"/>
      <c r="AN54" s="14"/>
      <c r="AO54" s="14"/>
      <c r="AP54" s="14"/>
      <c r="AQ54" s="14">
        <v>5.0</v>
      </c>
      <c r="AR54" s="14">
        <v>2.0</v>
      </c>
      <c r="AS54" s="14"/>
      <c r="AT54" s="14"/>
      <c r="AU54" s="14">
        <v>6.0</v>
      </c>
      <c r="AV54" s="14"/>
      <c r="AW54" s="14">
        <v>4.0</v>
      </c>
      <c r="AX54" s="14">
        <v>2.0</v>
      </c>
      <c r="AY54" s="14"/>
      <c r="AZ54" s="14"/>
      <c r="BA54" s="14">
        <v>4.0</v>
      </c>
      <c r="BB54" s="45">
        <v>2.0</v>
      </c>
      <c r="BC54" s="14"/>
      <c r="BD54" s="14">
        <v>5.0</v>
      </c>
      <c r="BE54" s="90">
        <v>8.0</v>
      </c>
    </row>
    <row r="55">
      <c r="A55" s="24">
        <v>8.06345119E9</v>
      </c>
      <c r="B55" s="38" t="s">
        <v>81</v>
      </c>
      <c r="C55" s="38" t="s">
        <v>316</v>
      </c>
      <c r="D55" s="24">
        <v>120.0</v>
      </c>
      <c r="E55" s="7"/>
      <c r="F55" s="7"/>
      <c r="G55" s="13">
        <v>45.0</v>
      </c>
      <c r="H55" s="13">
        <v>5.0</v>
      </c>
      <c r="I55" s="8"/>
      <c r="J55" s="8"/>
      <c r="K55" s="8"/>
      <c r="L55" s="30"/>
      <c r="M55" s="8"/>
      <c r="N55" s="14">
        <v>4.0</v>
      </c>
      <c r="O55" s="14">
        <v>4.0</v>
      </c>
      <c r="P55" s="14">
        <v>6.0</v>
      </c>
      <c r="Q55" s="14">
        <v>4.0</v>
      </c>
      <c r="R55" s="8"/>
      <c r="S55" s="14">
        <v>7.0</v>
      </c>
      <c r="T55" s="14">
        <v>2.0</v>
      </c>
      <c r="U55" s="8"/>
      <c r="V55" s="14">
        <v>3.0</v>
      </c>
      <c r="W55" s="8"/>
      <c r="X55" s="8"/>
      <c r="Y55" s="8"/>
      <c r="Z55" s="14">
        <v>6.0</v>
      </c>
      <c r="AA55" s="14">
        <v>4.0</v>
      </c>
      <c r="AB55" s="14">
        <v>6.0</v>
      </c>
      <c r="AC55" s="14">
        <v>2.0</v>
      </c>
      <c r="AD55" s="14"/>
      <c r="AE55" s="14">
        <v>1.0</v>
      </c>
      <c r="AF55" s="14">
        <v>9.0</v>
      </c>
      <c r="AG55" s="14"/>
      <c r="AH55" s="14"/>
      <c r="AI55" s="14">
        <v>10.0</v>
      </c>
      <c r="AJ55" s="14"/>
      <c r="AK55" s="14">
        <v>4.0</v>
      </c>
      <c r="AL55" s="14">
        <v>4.0</v>
      </c>
      <c r="AM55" s="14"/>
      <c r="AN55" s="14"/>
      <c r="AO55" s="14"/>
      <c r="AP55" s="14"/>
      <c r="AQ55" s="14">
        <v>2.0</v>
      </c>
      <c r="AR55" s="14">
        <v>6.0</v>
      </c>
      <c r="AS55" s="14"/>
      <c r="AT55" s="14"/>
      <c r="AU55" s="14">
        <v>4.0</v>
      </c>
      <c r="AV55" s="14">
        <v>4.0</v>
      </c>
      <c r="AW55" s="14">
        <v>4.0</v>
      </c>
      <c r="AX55" s="14">
        <v>4.0</v>
      </c>
      <c r="AY55" s="14"/>
      <c r="AZ55" s="14"/>
      <c r="BA55" s="14">
        <v>2.0</v>
      </c>
      <c r="BB55" s="45">
        <v>6.0</v>
      </c>
      <c r="BC55" s="14"/>
      <c r="BD55" s="14">
        <v>5.0</v>
      </c>
      <c r="BE55" s="45">
        <v>8.0</v>
      </c>
    </row>
    <row r="56">
      <c r="A56" s="24">
        <v>8.06349419E9</v>
      </c>
      <c r="B56" s="38" t="s">
        <v>83</v>
      </c>
      <c r="C56" s="38" t="s">
        <v>316</v>
      </c>
      <c r="D56" s="24">
        <v>123.0</v>
      </c>
      <c r="E56" s="7"/>
      <c r="F56" s="7"/>
      <c r="G56" s="13">
        <v>6.0</v>
      </c>
      <c r="H56" s="13">
        <v>1.0</v>
      </c>
      <c r="I56" s="8"/>
      <c r="J56" s="8"/>
      <c r="K56" s="8"/>
      <c r="L56" s="30"/>
      <c r="M56" s="8"/>
      <c r="N56" s="14">
        <v>1.0</v>
      </c>
      <c r="O56" s="14">
        <v>1.0</v>
      </c>
      <c r="P56" s="14">
        <v>2.0</v>
      </c>
      <c r="Q56" s="8"/>
      <c r="R56" s="8"/>
      <c r="S56" s="14">
        <v>2.0</v>
      </c>
      <c r="T56" s="8"/>
      <c r="U56" s="8"/>
      <c r="V56" s="8"/>
      <c r="W56" s="8"/>
      <c r="X56" s="8"/>
      <c r="Y56" s="8"/>
      <c r="Z56" s="62">
        <v>2.0</v>
      </c>
      <c r="AA56" s="14"/>
      <c r="AB56" s="14">
        <v>2.0</v>
      </c>
      <c r="AC56" s="14"/>
      <c r="AD56" s="14"/>
      <c r="AE56" s="14">
        <v>2.0</v>
      </c>
      <c r="AF56" s="14"/>
      <c r="AG56" s="14"/>
      <c r="AH56" s="14"/>
      <c r="AI56" s="14">
        <v>2.0</v>
      </c>
      <c r="AJ56" s="14"/>
      <c r="AK56" s="14">
        <v>2.0</v>
      </c>
      <c r="AL56" s="14"/>
      <c r="AM56" s="14"/>
      <c r="AN56" s="14"/>
      <c r="AO56" s="14"/>
      <c r="AP56" s="14"/>
      <c r="AQ56" s="16" t="s">
        <v>326</v>
      </c>
      <c r="AR56" s="16"/>
      <c r="AS56" s="16"/>
      <c r="AT56" s="16"/>
      <c r="AU56" s="16" t="s">
        <v>326</v>
      </c>
      <c r="AV56" s="16">
        <v>1.0</v>
      </c>
      <c r="AW56" s="16">
        <v>0.0</v>
      </c>
      <c r="AX56" s="16">
        <v>1.0</v>
      </c>
      <c r="AY56" s="16"/>
      <c r="AZ56" s="16"/>
      <c r="BA56" s="16">
        <v>1.0</v>
      </c>
      <c r="BB56" s="16"/>
      <c r="BC56" s="16"/>
      <c r="BD56" s="16">
        <v>1.0</v>
      </c>
      <c r="BE56" s="54">
        <v>1.0</v>
      </c>
    </row>
    <row r="57">
      <c r="A57" s="24">
        <v>8.06347819E9</v>
      </c>
      <c r="B57" s="38" t="s">
        <v>85</v>
      </c>
      <c r="C57" s="38" t="s">
        <v>316</v>
      </c>
      <c r="D57" s="24">
        <v>123.0</v>
      </c>
      <c r="E57" s="7"/>
      <c r="F57" s="7"/>
      <c r="G57" s="13">
        <v>6.0</v>
      </c>
      <c r="H57" s="13"/>
      <c r="I57" s="8"/>
      <c r="J57" s="8"/>
      <c r="K57" s="8"/>
      <c r="L57" s="30"/>
      <c r="M57" s="8"/>
      <c r="N57" s="8"/>
      <c r="O57" s="8"/>
      <c r="P57" s="14">
        <v>1.0</v>
      </c>
      <c r="Q57" s="8"/>
      <c r="R57" s="8"/>
      <c r="S57" s="14">
        <v>1.0</v>
      </c>
      <c r="T57" s="8"/>
      <c r="U57" s="8"/>
      <c r="V57" s="8"/>
      <c r="W57" s="8"/>
      <c r="X57" s="8"/>
      <c r="Y57" s="8"/>
      <c r="Z57" s="14">
        <v>0.0</v>
      </c>
      <c r="AA57" s="14">
        <v>2.0</v>
      </c>
      <c r="AB57" s="14">
        <v>2.0</v>
      </c>
      <c r="AC57" s="14"/>
      <c r="AD57" s="14"/>
      <c r="AE57" s="14">
        <v>1.0</v>
      </c>
      <c r="AF57" s="14">
        <v>1.0</v>
      </c>
      <c r="AG57" s="14"/>
      <c r="AH57" s="14"/>
      <c r="AI57" s="14">
        <v>1.0</v>
      </c>
      <c r="AJ57" s="14"/>
      <c r="AK57" s="14">
        <v>2.0</v>
      </c>
      <c r="AL57" s="14"/>
      <c r="AM57" s="14"/>
      <c r="AN57" s="14"/>
      <c r="AO57" s="14"/>
      <c r="AP57" s="14"/>
      <c r="AQ57" s="14">
        <v>2.0</v>
      </c>
      <c r="AR57" s="14"/>
      <c r="AS57" s="14"/>
      <c r="AT57" s="14"/>
      <c r="AU57" s="14">
        <v>2.0</v>
      </c>
      <c r="AV57" s="14"/>
      <c r="AW57" s="14">
        <v>2.0</v>
      </c>
      <c r="AX57" s="14"/>
      <c r="AY57" s="14"/>
      <c r="AZ57" s="14"/>
      <c r="BA57" s="14">
        <v>2.0</v>
      </c>
      <c r="BB57" s="14"/>
      <c r="BC57" s="14"/>
      <c r="BD57" s="91">
        <v>0.0</v>
      </c>
      <c r="BE57" s="45">
        <v>2.0</v>
      </c>
    </row>
    <row r="58">
      <c r="A58" s="24">
        <v>8.30272319E9</v>
      </c>
      <c r="B58" s="38" t="s">
        <v>330</v>
      </c>
      <c r="C58" s="38" t="s">
        <v>331</v>
      </c>
      <c r="D58" s="24" t="s">
        <v>332</v>
      </c>
      <c r="E58" s="7"/>
      <c r="F58" s="7"/>
      <c r="G58" s="13">
        <v>4.0</v>
      </c>
      <c r="H58" s="13">
        <v>2.0</v>
      </c>
      <c r="I58" s="8"/>
      <c r="J58" s="8"/>
      <c r="K58" s="8"/>
      <c r="L58" s="30"/>
      <c r="M58" s="8"/>
      <c r="N58" s="8"/>
      <c r="O58" s="8"/>
      <c r="P58" s="14">
        <v>3.0</v>
      </c>
      <c r="Q58" s="14">
        <v>3.0</v>
      </c>
      <c r="R58" s="8"/>
      <c r="S58" s="14">
        <v>1.0</v>
      </c>
      <c r="T58" s="14">
        <v>1.0</v>
      </c>
      <c r="U58" s="8"/>
      <c r="V58" s="8"/>
      <c r="W58" s="8"/>
      <c r="X58" s="8"/>
      <c r="Y58" s="8"/>
      <c r="Z58" s="14">
        <v>5.0</v>
      </c>
      <c r="AA58" s="14">
        <v>4.0</v>
      </c>
      <c r="AB58" s="14">
        <v>4.0</v>
      </c>
      <c r="AC58" s="14"/>
      <c r="AD58" s="14"/>
      <c r="AE58" s="14">
        <v>10.0</v>
      </c>
      <c r="AF58" s="14">
        <v>2.0</v>
      </c>
      <c r="AG58" s="14"/>
      <c r="AH58" s="14"/>
      <c r="AI58" s="14">
        <v>11.0</v>
      </c>
      <c r="AJ58" s="14"/>
      <c r="AK58" s="14">
        <v>11.0</v>
      </c>
      <c r="AL58" s="14"/>
      <c r="AM58" s="14"/>
      <c r="AN58" s="14"/>
      <c r="AO58" s="14"/>
      <c r="AP58" s="14"/>
      <c r="AQ58" s="14">
        <v>8.0</v>
      </c>
      <c r="AR58" s="14"/>
      <c r="AS58" s="14"/>
      <c r="AT58" s="14"/>
      <c r="AU58" s="14">
        <v>11.0</v>
      </c>
      <c r="AV58" s="14"/>
      <c r="AW58" s="14">
        <v>11.0</v>
      </c>
      <c r="AX58" s="14"/>
      <c r="AY58" s="14"/>
      <c r="AZ58" s="14"/>
      <c r="BA58" s="14">
        <v>8.0</v>
      </c>
      <c r="BB58" s="45">
        <v>4.0</v>
      </c>
      <c r="BC58" s="52"/>
      <c r="BD58" s="52">
        <v>9.0</v>
      </c>
      <c r="BE58" s="90">
        <v>10.0</v>
      </c>
    </row>
    <row r="59">
      <c r="A59" s="24">
        <v>8.46309319E9</v>
      </c>
      <c r="B59" s="38" t="s">
        <v>89</v>
      </c>
      <c r="C59" s="38" t="s">
        <v>316</v>
      </c>
      <c r="D59" s="24">
        <v>50.0</v>
      </c>
      <c r="E59" s="7"/>
      <c r="F59" s="7"/>
      <c r="G59" s="13">
        <v>36.0</v>
      </c>
      <c r="H59" s="7"/>
      <c r="I59" s="14">
        <v>4.0</v>
      </c>
      <c r="J59" s="8"/>
      <c r="K59" s="14" t="s">
        <v>334</v>
      </c>
      <c r="L59" s="92">
        <v>3.0</v>
      </c>
      <c r="M59" s="14" t="s">
        <v>335</v>
      </c>
      <c r="N59" s="14">
        <v>2.0</v>
      </c>
      <c r="O59" s="14">
        <v>2.0</v>
      </c>
      <c r="P59" s="14">
        <v>3.0</v>
      </c>
      <c r="Q59" s="14">
        <v>2.0</v>
      </c>
      <c r="R59" s="8"/>
      <c r="S59" s="14">
        <v>4.0</v>
      </c>
      <c r="T59" s="8"/>
      <c r="U59" s="8"/>
      <c r="V59" s="8"/>
      <c r="W59" s="8"/>
      <c r="X59" s="8"/>
      <c r="Y59" s="8"/>
      <c r="Z59" s="14">
        <v>2.0</v>
      </c>
      <c r="AA59" s="14">
        <v>2.0</v>
      </c>
      <c r="AB59" s="14">
        <v>3.0</v>
      </c>
      <c r="AC59" s="14"/>
      <c r="AD59" s="14"/>
      <c r="AE59" s="14">
        <v>1.0</v>
      </c>
      <c r="AF59" s="14">
        <v>3.0</v>
      </c>
      <c r="AG59" s="14"/>
      <c r="AH59" s="14"/>
      <c r="AI59" s="14">
        <v>3.0</v>
      </c>
      <c r="AJ59" s="14">
        <v>1.0</v>
      </c>
      <c r="AK59" s="14">
        <v>3.0</v>
      </c>
      <c r="AL59" s="14"/>
      <c r="AM59" s="14"/>
      <c r="AN59" s="14"/>
      <c r="AO59" s="14"/>
      <c r="AP59" s="14"/>
      <c r="AQ59" s="14">
        <v>2.0</v>
      </c>
      <c r="AR59" s="14"/>
      <c r="AS59" s="14"/>
      <c r="AT59" s="14"/>
      <c r="AU59" s="14">
        <v>2.0</v>
      </c>
      <c r="AV59" s="14"/>
      <c r="AW59" s="14">
        <v>2.0</v>
      </c>
      <c r="AX59" s="14"/>
      <c r="AY59" s="14"/>
      <c r="AZ59" s="14"/>
      <c r="BA59" s="14">
        <v>2.0</v>
      </c>
      <c r="BB59" s="52"/>
      <c r="BC59" s="52"/>
      <c r="BD59" s="52">
        <v>1.0</v>
      </c>
      <c r="BE59" s="52">
        <v>2.0</v>
      </c>
    </row>
    <row r="60">
      <c r="A60" s="24">
        <v>8.30254519E9</v>
      </c>
      <c r="B60" s="38" t="s">
        <v>336</v>
      </c>
      <c r="C60" s="38" t="s">
        <v>331</v>
      </c>
      <c r="D60" s="24" t="s">
        <v>332</v>
      </c>
      <c r="E60" s="7"/>
      <c r="F60" s="7"/>
      <c r="G60" s="13">
        <v>60.0</v>
      </c>
      <c r="H60" s="13">
        <v>15.0</v>
      </c>
      <c r="I60" s="8"/>
      <c r="J60" s="8"/>
      <c r="K60" s="8"/>
      <c r="L60" s="30"/>
      <c r="M60" s="8"/>
      <c r="N60" s="14">
        <v>14.0</v>
      </c>
      <c r="O60" s="14">
        <v>6.0</v>
      </c>
      <c r="P60" s="14">
        <v>20.0</v>
      </c>
      <c r="Q60" s="8"/>
      <c r="R60" s="8"/>
      <c r="S60" s="14">
        <v>20.0</v>
      </c>
      <c r="T60" s="14">
        <v>10.0</v>
      </c>
      <c r="U60" s="8"/>
      <c r="V60" s="8"/>
      <c r="W60" s="8"/>
      <c r="X60" s="8"/>
      <c r="Y60" s="8"/>
      <c r="Z60" s="14">
        <v>29.0</v>
      </c>
      <c r="AA60" s="14">
        <v>6.0</v>
      </c>
      <c r="AB60" s="14">
        <v>28.0</v>
      </c>
      <c r="AC60" s="14"/>
      <c r="AD60" s="14"/>
      <c r="AE60" s="14">
        <v>25.0</v>
      </c>
      <c r="AF60" s="14"/>
      <c r="AG60" s="14"/>
      <c r="AH60" s="14"/>
      <c r="AI60" s="14">
        <v>20.0</v>
      </c>
      <c r="AJ60" s="14"/>
      <c r="AK60" s="14">
        <v>17.0</v>
      </c>
      <c r="AL60" s="14"/>
      <c r="AM60" s="14"/>
      <c r="AN60" s="14"/>
      <c r="AO60" s="14"/>
      <c r="AP60" s="14"/>
      <c r="AQ60" s="14">
        <v>9.0</v>
      </c>
      <c r="AR60" s="14">
        <v>10.0</v>
      </c>
      <c r="AS60" s="14"/>
      <c r="AT60" s="14"/>
      <c r="AU60" s="14">
        <v>17.0</v>
      </c>
      <c r="AV60" s="14"/>
      <c r="AW60" s="14">
        <v>13.0</v>
      </c>
      <c r="AX60" s="14"/>
      <c r="AY60" s="14"/>
      <c r="AZ60" s="14"/>
      <c r="BA60" s="14">
        <v>7.0</v>
      </c>
      <c r="BB60" s="45">
        <v>10.0</v>
      </c>
      <c r="BC60" s="52"/>
      <c r="BD60" s="52">
        <v>12.0</v>
      </c>
      <c r="BE60" s="90">
        <v>20.0</v>
      </c>
    </row>
    <row r="61">
      <c r="A61" s="24">
        <v>4.444191001E9</v>
      </c>
      <c r="B61" s="38" t="s">
        <v>337</v>
      </c>
      <c r="C61" s="7"/>
      <c r="D61" s="24">
        <v>250.0</v>
      </c>
      <c r="E61" s="7"/>
      <c r="F61" s="7"/>
      <c r="G61" s="93"/>
      <c r="H61" s="13">
        <v>4.0</v>
      </c>
      <c r="I61" s="8"/>
      <c r="J61" s="8"/>
      <c r="K61" s="8"/>
      <c r="L61" s="30"/>
      <c r="M61" s="8"/>
      <c r="N61" s="8"/>
      <c r="O61" s="14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</row>
    <row r="62">
      <c r="A62" s="24">
        <v>1.0394246001E10</v>
      </c>
      <c r="B62" s="38" t="s">
        <v>267</v>
      </c>
      <c r="C62" s="7"/>
      <c r="D62" s="24">
        <v>5000.0</v>
      </c>
      <c r="E62" s="7"/>
      <c r="F62" s="7"/>
      <c r="G62" s="13">
        <v>54.0</v>
      </c>
      <c r="H62" s="7"/>
      <c r="I62" s="8"/>
      <c r="J62" s="8"/>
      <c r="K62" s="8"/>
      <c r="L62" s="30"/>
      <c r="M62" s="8"/>
      <c r="N62" s="14">
        <v>6.0</v>
      </c>
      <c r="O62" s="14"/>
      <c r="P62" s="14">
        <v>5.0</v>
      </c>
      <c r="Q62" s="8"/>
      <c r="R62" s="8"/>
      <c r="S62" s="14">
        <v>6.0</v>
      </c>
      <c r="T62" s="8"/>
      <c r="U62" s="8"/>
      <c r="V62" s="8"/>
      <c r="W62" s="8"/>
      <c r="X62" s="8"/>
      <c r="Y62" s="8"/>
      <c r="Z62" s="14">
        <v>3.0</v>
      </c>
      <c r="AA62" s="14">
        <v>2.0</v>
      </c>
      <c r="AB62" s="14">
        <v>4.0</v>
      </c>
      <c r="AC62" s="14">
        <v>2.0</v>
      </c>
      <c r="AD62" s="14"/>
      <c r="AE62" s="14">
        <v>4.0</v>
      </c>
      <c r="AF62" s="14">
        <v>1.0</v>
      </c>
      <c r="AG62" s="14"/>
      <c r="AH62" s="14"/>
      <c r="AI62" s="14"/>
      <c r="AJ62" s="14">
        <v>1.0</v>
      </c>
      <c r="AK62" s="14">
        <v>0.0</v>
      </c>
      <c r="AL62" s="14"/>
      <c r="AM62" s="14"/>
      <c r="AN62" s="14"/>
      <c r="AO62" s="14"/>
      <c r="AP62" s="14"/>
      <c r="AQ62" s="14"/>
      <c r="AR62" s="14"/>
      <c r="AS62" s="14">
        <v>1.0</v>
      </c>
      <c r="AT62" s="14"/>
      <c r="AU62" s="14">
        <v>0.0</v>
      </c>
      <c r="AV62" s="14">
        <v>1.0</v>
      </c>
      <c r="AW62" s="14">
        <v>0.0</v>
      </c>
      <c r="AX62" s="14"/>
      <c r="AY62" s="14"/>
      <c r="AZ62" s="14"/>
      <c r="BA62" s="14">
        <v>2.0</v>
      </c>
      <c r="BB62" s="45">
        <v>4.0</v>
      </c>
      <c r="BC62" s="14"/>
      <c r="BD62" s="14">
        <v>0.0</v>
      </c>
      <c r="BE62" s="45">
        <v>10.0</v>
      </c>
    </row>
    <row r="63">
      <c r="A63" s="24">
        <v>8.46310719E9</v>
      </c>
      <c r="B63" s="38" t="s">
        <v>94</v>
      </c>
      <c r="C63" s="38" t="s">
        <v>316</v>
      </c>
      <c r="D63" s="24">
        <v>50.0</v>
      </c>
      <c r="E63" s="7"/>
      <c r="F63" s="7"/>
      <c r="G63" s="13">
        <v>18.0</v>
      </c>
      <c r="H63" s="7"/>
      <c r="I63" s="14">
        <v>2.0</v>
      </c>
      <c r="J63" s="8"/>
      <c r="K63" s="14" t="s">
        <v>343</v>
      </c>
      <c r="L63" s="30"/>
      <c r="M63" s="8"/>
      <c r="N63" s="14">
        <v>1.0</v>
      </c>
      <c r="O63" s="14">
        <v>1.0</v>
      </c>
      <c r="P63" s="14">
        <v>1.0</v>
      </c>
      <c r="Q63" s="14">
        <v>1.0</v>
      </c>
      <c r="R63" s="8"/>
      <c r="S63" s="14">
        <v>1.0</v>
      </c>
      <c r="T63" s="8"/>
      <c r="U63" s="8"/>
      <c r="V63" s="8"/>
      <c r="W63" s="8"/>
      <c r="X63" s="8"/>
      <c r="Y63" s="8"/>
      <c r="Z63" s="14">
        <v>0.0</v>
      </c>
      <c r="AA63" s="14">
        <v>2.0</v>
      </c>
      <c r="AB63" s="14">
        <v>1.0</v>
      </c>
      <c r="AC63" s="14">
        <v>1.0</v>
      </c>
      <c r="AD63" s="14"/>
      <c r="AE63" s="14">
        <v>1.0</v>
      </c>
      <c r="AF63" s="14">
        <v>1.0</v>
      </c>
      <c r="AG63" s="14"/>
      <c r="AH63" s="14"/>
      <c r="AI63" s="14">
        <v>1.0</v>
      </c>
      <c r="AJ63" s="14">
        <v>1.0</v>
      </c>
      <c r="AK63" s="14">
        <v>1.0</v>
      </c>
      <c r="AL63" s="14"/>
      <c r="AM63" s="14"/>
      <c r="AN63" s="14"/>
      <c r="AO63" s="14"/>
      <c r="AP63" s="14"/>
      <c r="AQ63" s="14"/>
      <c r="AR63" s="14">
        <v>1.0</v>
      </c>
      <c r="AS63" s="14"/>
      <c r="AT63" s="14"/>
      <c r="AU63" s="16" t="s">
        <v>345</v>
      </c>
      <c r="AV63" s="16">
        <v>1.0</v>
      </c>
      <c r="AW63" s="16" t="s">
        <v>345</v>
      </c>
      <c r="AX63" s="16"/>
      <c r="AY63" s="16"/>
      <c r="AZ63" s="16"/>
      <c r="BA63" s="16"/>
      <c r="BB63" s="16"/>
      <c r="BC63" s="16"/>
      <c r="BD63" s="16"/>
      <c r="BE63" s="16"/>
    </row>
    <row r="64">
      <c r="A64" s="24">
        <v>1.1488457122E10</v>
      </c>
      <c r="B64" s="38" t="s">
        <v>346</v>
      </c>
      <c r="C64" s="7"/>
      <c r="D64" s="24" t="s">
        <v>347</v>
      </c>
      <c r="E64" s="7"/>
      <c r="F64" s="7"/>
      <c r="G64" s="7"/>
      <c r="H64" s="7"/>
      <c r="I64" s="8"/>
      <c r="J64" s="8"/>
      <c r="K64" s="8"/>
      <c r="L64" s="3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4">
        <v>2.0</v>
      </c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>
      <c r="A65" s="24">
        <v>8.05932219E9</v>
      </c>
      <c r="B65" s="38" t="s">
        <v>348</v>
      </c>
      <c r="C65" s="38" t="s">
        <v>349</v>
      </c>
      <c r="D65" s="24" t="s">
        <v>350</v>
      </c>
      <c r="E65" s="7"/>
      <c r="F65" s="7"/>
      <c r="G65" s="7"/>
      <c r="H65" s="7"/>
      <c r="I65" s="8"/>
      <c r="J65" s="8"/>
      <c r="K65" s="8"/>
      <c r="L65" s="3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14" t="s">
        <v>106</v>
      </c>
      <c r="AW65" s="8"/>
      <c r="AX65" s="8"/>
      <c r="AY65" s="8"/>
      <c r="AZ65" s="8"/>
      <c r="BA65" s="8"/>
      <c r="BB65" s="8"/>
      <c r="BC65" s="8"/>
      <c r="BD65" s="8"/>
      <c r="BE65" s="8"/>
    </row>
    <row r="66">
      <c r="A66" s="24">
        <v>8.06298619E9</v>
      </c>
      <c r="B66" s="38" t="s">
        <v>351</v>
      </c>
      <c r="C66" s="38" t="s">
        <v>352</v>
      </c>
      <c r="D66" s="7"/>
      <c r="E66" s="7"/>
      <c r="F66" s="7"/>
      <c r="G66" s="13">
        <v>0.0</v>
      </c>
      <c r="H66" s="7"/>
      <c r="I66" s="8"/>
      <c r="J66" s="8"/>
      <c r="K66" s="8"/>
      <c r="L66" s="3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</row>
    <row r="67">
      <c r="A67" s="24">
        <v>5.870020001E9</v>
      </c>
      <c r="B67" s="38" t="s">
        <v>279</v>
      </c>
      <c r="C67" s="7"/>
      <c r="D67" s="24" t="s">
        <v>280</v>
      </c>
      <c r="E67" s="7"/>
      <c r="F67" s="7"/>
      <c r="G67" s="13">
        <v>144.0</v>
      </c>
      <c r="H67" s="7"/>
      <c r="I67" s="8"/>
      <c r="J67" s="8"/>
      <c r="K67" s="8"/>
      <c r="L67" s="30"/>
      <c r="M67" s="8"/>
      <c r="N67" s="14">
        <v>9.0</v>
      </c>
      <c r="O67" s="14"/>
      <c r="P67" s="14">
        <v>5.0</v>
      </c>
      <c r="Q67" s="14">
        <v>9.0</v>
      </c>
      <c r="R67" s="8"/>
      <c r="S67" s="14">
        <v>9.0</v>
      </c>
      <c r="T67" s="8"/>
      <c r="U67" s="14">
        <v>5.0</v>
      </c>
      <c r="V67" s="8"/>
      <c r="W67" s="8"/>
      <c r="X67" s="8"/>
      <c r="Y67" s="8"/>
      <c r="Z67" s="14">
        <v>7.0</v>
      </c>
      <c r="AA67" s="14">
        <v>10.0</v>
      </c>
      <c r="AB67" s="14">
        <v>10.0</v>
      </c>
      <c r="AC67" s="14">
        <v>10.0</v>
      </c>
      <c r="AD67" s="14"/>
      <c r="AE67" s="14">
        <v>10.0</v>
      </c>
      <c r="AF67" s="14">
        <v>5.0</v>
      </c>
      <c r="AG67" s="14"/>
      <c r="AH67" s="14"/>
      <c r="AI67" s="14">
        <v>2.0</v>
      </c>
      <c r="AJ67" s="14">
        <v>10.0</v>
      </c>
      <c r="AK67" s="14">
        <v>4.0</v>
      </c>
      <c r="AL67" s="14">
        <v>10.0</v>
      </c>
      <c r="AM67" s="14"/>
      <c r="AN67" s="14"/>
      <c r="AO67" s="14"/>
      <c r="AP67" s="14"/>
      <c r="AQ67" s="14">
        <v>6.0</v>
      </c>
      <c r="AR67" s="14">
        <v>10.0</v>
      </c>
      <c r="AS67" s="14"/>
      <c r="AT67" s="14"/>
      <c r="AU67" s="14">
        <v>6.0</v>
      </c>
      <c r="AV67" s="14">
        <v>10.0</v>
      </c>
      <c r="AW67" s="14">
        <v>5.0</v>
      </c>
      <c r="AX67" s="14">
        <v>10.0</v>
      </c>
      <c r="AY67" s="14"/>
      <c r="AZ67" s="14">
        <v>10.0</v>
      </c>
      <c r="BA67" s="14">
        <v>8.0</v>
      </c>
      <c r="BB67" s="45">
        <v>10.0</v>
      </c>
      <c r="BC67" s="14"/>
      <c r="BD67" s="14">
        <v>8.0</v>
      </c>
      <c r="BE67" s="90">
        <v>20.0</v>
      </c>
    </row>
    <row r="68">
      <c r="A68" s="24">
        <v>4.419987001E9</v>
      </c>
      <c r="B68" s="38" t="s">
        <v>281</v>
      </c>
      <c r="C68" s="7"/>
      <c r="D68" s="24" t="s">
        <v>282</v>
      </c>
      <c r="E68" s="7"/>
      <c r="F68" s="7"/>
      <c r="G68" s="13">
        <v>120.0</v>
      </c>
      <c r="H68" s="7"/>
      <c r="I68" s="8"/>
      <c r="J68" s="8"/>
      <c r="K68" s="14">
        <v>20.0</v>
      </c>
      <c r="L68" s="30"/>
      <c r="M68" s="8"/>
      <c r="N68" s="8"/>
      <c r="O68" s="8"/>
      <c r="P68" s="14">
        <v>2.0</v>
      </c>
      <c r="Q68" s="14">
        <v>20.0</v>
      </c>
      <c r="R68" s="8"/>
      <c r="S68" s="14">
        <v>17.0</v>
      </c>
      <c r="T68" s="8"/>
      <c r="U68" s="8"/>
      <c r="V68" s="8"/>
      <c r="W68" s="8"/>
      <c r="X68" s="8"/>
      <c r="Y68" s="14">
        <v>20.0</v>
      </c>
      <c r="Z68" s="14">
        <v>10.0</v>
      </c>
      <c r="AA68" s="14">
        <v>20.0</v>
      </c>
      <c r="AB68" s="14"/>
      <c r="AC68" s="14"/>
      <c r="AD68" s="14"/>
      <c r="AE68" s="14"/>
      <c r="AF68" s="14"/>
      <c r="AG68" s="14"/>
      <c r="AH68" s="14"/>
      <c r="AI68" s="14">
        <v>0.0</v>
      </c>
      <c r="AJ68" s="14">
        <v>20.0</v>
      </c>
      <c r="AK68" s="14">
        <v>10.0</v>
      </c>
      <c r="AL68" s="14"/>
      <c r="AM68" s="14"/>
      <c r="AN68" s="14"/>
      <c r="AO68" s="14"/>
      <c r="AP68" s="14"/>
      <c r="AQ68" s="14"/>
      <c r="AR68" s="14">
        <v>20.0</v>
      </c>
      <c r="AS68" s="14"/>
      <c r="AT68" s="14"/>
      <c r="AU68" s="14">
        <v>10.0</v>
      </c>
      <c r="AV68" s="14">
        <v>10.0</v>
      </c>
      <c r="AW68" s="14">
        <v>10.0</v>
      </c>
      <c r="AX68" s="14">
        <v>10.0</v>
      </c>
      <c r="AY68" s="14" t="s">
        <v>358</v>
      </c>
      <c r="AZ68" s="14"/>
      <c r="BA68" s="14">
        <v>14.0</v>
      </c>
      <c r="BB68" s="14"/>
      <c r="BC68" s="14"/>
      <c r="BD68" s="14">
        <v>4.0</v>
      </c>
      <c r="BE68" s="45">
        <v>20.0</v>
      </c>
    </row>
    <row r="69">
      <c r="A69" s="24">
        <v>4.740955001E9</v>
      </c>
      <c r="B69" s="38" t="s">
        <v>96</v>
      </c>
      <c r="C69" s="7"/>
      <c r="D69" s="24">
        <v>2000.0</v>
      </c>
      <c r="E69" s="7"/>
      <c r="F69" s="7"/>
      <c r="G69" s="13">
        <v>1.0</v>
      </c>
      <c r="H69" s="7"/>
      <c r="I69" s="8"/>
      <c r="J69" s="14">
        <v>1.0</v>
      </c>
      <c r="K69" s="8"/>
      <c r="L69" s="3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</row>
    <row r="70">
      <c r="A70" s="24">
        <v>4.813707001E9</v>
      </c>
      <c r="B70" s="38" t="s">
        <v>113</v>
      </c>
      <c r="C70" s="7"/>
      <c r="D70" s="7"/>
      <c r="E70" s="7"/>
      <c r="F70" s="7"/>
      <c r="G70" s="13">
        <v>18.0</v>
      </c>
      <c r="H70" s="13">
        <v>1.0</v>
      </c>
      <c r="I70" s="8"/>
      <c r="J70" s="8"/>
      <c r="K70" s="8"/>
      <c r="L70" s="30"/>
      <c r="M70" s="8"/>
      <c r="N70" s="8"/>
      <c r="O70" s="14">
        <v>1.0</v>
      </c>
      <c r="P70" s="14">
        <v>0.0</v>
      </c>
      <c r="Q70" s="14">
        <v>1.0</v>
      </c>
      <c r="R70" s="8"/>
      <c r="S70" s="14">
        <v>1.0</v>
      </c>
      <c r="T70" s="8"/>
      <c r="U70" s="8"/>
      <c r="V70" s="8"/>
      <c r="W70" s="8"/>
      <c r="X70" s="14">
        <v>1.0</v>
      </c>
      <c r="Y70" s="8"/>
      <c r="Z70" s="14">
        <v>0.0</v>
      </c>
      <c r="AA70" s="14">
        <v>1.0</v>
      </c>
      <c r="AB70" s="14">
        <v>0.0</v>
      </c>
      <c r="AC70" s="14">
        <v>2.0</v>
      </c>
      <c r="AD70" s="14"/>
      <c r="AE70" s="14">
        <v>0.0</v>
      </c>
      <c r="AF70" s="14">
        <v>2.0</v>
      </c>
      <c r="AG70" s="14"/>
      <c r="AH70" s="14"/>
      <c r="AI70" s="14">
        <v>2.0</v>
      </c>
      <c r="AJ70" s="14"/>
      <c r="AK70" s="14">
        <v>1.0</v>
      </c>
      <c r="AL70" s="14"/>
      <c r="AM70" s="14"/>
      <c r="AN70" s="14"/>
      <c r="AO70" s="14"/>
      <c r="AP70" s="14"/>
      <c r="AQ70" s="14">
        <v>1.0</v>
      </c>
      <c r="AR70" s="14">
        <v>1.0</v>
      </c>
      <c r="AS70" s="14"/>
      <c r="AT70" s="14"/>
      <c r="AU70" s="14">
        <v>0.0</v>
      </c>
      <c r="AV70" s="14">
        <v>2.0</v>
      </c>
      <c r="AW70" s="14">
        <v>2.0</v>
      </c>
      <c r="AX70" s="14"/>
      <c r="AY70" s="14"/>
      <c r="AZ70" s="14">
        <v>1.0</v>
      </c>
      <c r="BA70" s="14">
        <v>2.0</v>
      </c>
      <c r="BB70" s="14"/>
      <c r="BC70" s="14"/>
      <c r="BD70" s="14">
        <v>1.0</v>
      </c>
      <c r="BE70" s="45">
        <v>3.0</v>
      </c>
    </row>
    <row r="71">
      <c r="A71" s="87" t="s">
        <v>363</v>
      </c>
      <c r="B71" s="88"/>
      <c r="C71" s="88"/>
      <c r="D71" s="88"/>
      <c r="E71" s="95">
        <v>19200.0</v>
      </c>
      <c r="F71" s="88"/>
      <c r="G71" s="88"/>
      <c r="H71" s="7"/>
      <c r="I71" s="8"/>
      <c r="J71" s="8"/>
      <c r="K71" s="8"/>
      <c r="L71" s="3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</row>
    <row r="72">
      <c r="A72" s="24">
        <v>1.1183974216E10</v>
      </c>
      <c r="B72" s="38" t="s">
        <v>368</v>
      </c>
      <c r="C72" s="38" t="s">
        <v>369</v>
      </c>
      <c r="D72" s="24" t="s">
        <v>371</v>
      </c>
      <c r="E72" s="7"/>
      <c r="F72" s="7"/>
      <c r="G72" s="13">
        <v>60.0</v>
      </c>
      <c r="H72" s="13">
        <v>30.0</v>
      </c>
      <c r="I72" s="8"/>
      <c r="J72" s="8"/>
      <c r="K72" s="8"/>
      <c r="L72" s="30"/>
      <c r="M72" s="8"/>
      <c r="N72" s="14">
        <v>30.0</v>
      </c>
      <c r="O72" s="14"/>
      <c r="P72" s="14">
        <v>30.0</v>
      </c>
      <c r="Q72" s="8"/>
      <c r="R72" s="8"/>
      <c r="S72" s="14">
        <v>30.0</v>
      </c>
      <c r="T72" s="14">
        <v>10.0</v>
      </c>
      <c r="U72" s="8"/>
      <c r="V72" s="8"/>
      <c r="W72" s="8"/>
      <c r="X72" s="8"/>
      <c r="Y72" s="8"/>
      <c r="Z72" s="14">
        <v>30.0</v>
      </c>
      <c r="AA72" s="14">
        <v>10.0</v>
      </c>
      <c r="AB72" s="14">
        <v>10.0</v>
      </c>
      <c r="AC72" s="14">
        <v>30.0</v>
      </c>
      <c r="AD72" s="14"/>
      <c r="AE72" s="14">
        <v>0.0</v>
      </c>
      <c r="AF72" s="14">
        <v>40.0</v>
      </c>
      <c r="AG72" s="14"/>
      <c r="AH72" s="14"/>
      <c r="AI72" s="14">
        <v>10.0</v>
      </c>
      <c r="AJ72" s="14">
        <v>30.0</v>
      </c>
      <c r="AK72" s="14">
        <v>9.0</v>
      </c>
      <c r="AL72" s="14">
        <v>40.0</v>
      </c>
      <c r="AM72" s="14"/>
      <c r="AN72" s="14"/>
      <c r="AO72" s="14">
        <v>40.0</v>
      </c>
      <c r="AP72" s="14"/>
      <c r="AQ72" s="14">
        <v>22.0</v>
      </c>
      <c r="AR72" s="14">
        <v>20.0</v>
      </c>
      <c r="AS72" s="14"/>
      <c r="AT72" s="14"/>
      <c r="AU72" s="14">
        <v>17.0</v>
      </c>
      <c r="AV72" s="14">
        <v>30.0</v>
      </c>
      <c r="AW72" s="14">
        <v>12.0</v>
      </c>
      <c r="AX72" s="14">
        <v>30.0</v>
      </c>
      <c r="AY72" s="14"/>
      <c r="AZ72" s="14">
        <v>30.0</v>
      </c>
      <c r="BA72" s="14">
        <v>23.0</v>
      </c>
      <c r="BB72" s="45">
        <v>10.0</v>
      </c>
      <c r="BC72" s="96" t="s">
        <v>374</v>
      </c>
      <c r="BD72" s="97">
        <v>7.0</v>
      </c>
      <c r="BE72" s="98" t="s">
        <v>376</v>
      </c>
    </row>
    <row r="73">
      <c r="A73" s="24">
        <v>1.1183982216E10</v>
      </c>
      <c r="B73" s="38" t="s">
        <v>377</v>
      </c>
      <c r="C73" s="38" t="s">
        <v>369</v>
      </c>
      <c r="D73" s="24" t="s">
        <v>371</v>
      </c>
      <c r="E73" s="7"/>
      <c r="F73" s="7"/>
      <c r="G73" s="13">
        <v>60.0</v>
      </c>
      <c r="H73" s="13">
        <v>30.0</v>
      </c>
      <c r="I73" s="8"/>
      <c r="J73" s="8"/>
      <c r="K73" s="8"/>
      <c r="L73" s="30"/>
      <c r="M73" s="8"/>
      <c r="N73" s="14">
        <v>30.0</v>
      </c>
      <c r="O73" s="14"/>
      <c r="P73" s="14">
        <v>30.0</v>
      </c>
      <c r="Q73" s="8"/>
      <c r="R73" s="8"/>
      <c r="S73" s="14">
        <v>20.0</v>
      </c>
      <c r="T73" s="14">
        <v>20.0</v>
      </c>
      <c r="U73" s="8"/>
      <c r="V73" s="8"/>
      <c r="W73" s="8"/>
      <c r="X73" s="8"/>
      <c r="Y73" s="8"/>
      <c r="Z73" s="14">
        <v>40.0</v>
      </c>
      <c r="AA73" s="8"/>
      <c r="AB73" s="14">
        <v>10.0</v>
      </c>
      <c r="AC73" s="14">
        <v>30.0</v>
      </c>
      <c r="AD73" s="14"/>
      <c r="AE73" s="14">
        <v>0.0</v>
      </c>
      <c r="AF73" s="14">
        <v>40.0</v>
      </c>
      <c r="AG73" s="14"/>
      <c r="AH73" s="14"/>
      <c r="AI73" s="14">
        <v>10.0</v>
      </c>
      <c r="AJ73" s="14">
        <v>30.0</v>
      </c>
      <c r="AK73" s="14">
        <v>5.0</v>
      </c>
      <c r="AL73" s="14">
        <v>40.0</v>
      </c>
      <c r="AM73" s="14"/>
      <c r="AN73" s="14"/>
      <c r="AO73" s="14">
        <v>40.0</v>
      </c>
      <c r="AP73" s="14"/>
      <c r="AQ73" s="14">
        <v>18.0</v>
      </c>
      <c r="AR73" s="14">
        <v>20.0</v>
      </c>
      <c r="AS73" s="14"/>
      <c r="AT73" s="14"/>
      <c r="AU73" s="14">
        <v>12.0</v>
      </c>
      <c r="AV73" s="14">
        <v>30.0</v>
      </c>
      <c r="AW73" s="14">
        <v>17.0</v>
      </c>
      <c r="AX73" s="14">
        <v>30.0</v>
      </c>
      <c r="AY73" s="14"/>
      <c r="AZ73" s="14">
        <v>30.0</v>
      </c>
      <c r="BA73" s="14">
        <v>28.0</v>
      </c>
      <c r="BB73" s="45">
        <v>10.0</v>
      </c>
      <c r="BC73" s="96" t="s">
        <v>374</v>
      </c>
      <c r="BD73" s="97">
        <v>7.0</v>
      </c>
      <c r="BE73" s="98" t="s">
        <v>376</v>
      </c>
    </row>
    <row r="74">
      <c r="A74" s="24">
        <v>1.1298500316E10</v>
      </c>
      <c r="B74" s="38" t="s">
        <v>138</v>
      </c>
      <c r="C74" s="38" t="s">
        <v>289</v>
      </c>
      <c r="D74" s="24" t="s">
        <v>378</v>
      </c>
      <c r="E74" s="7"/>
      <c r="F74" s="7"/>
      <c r="G74" s="13">
        <v>5.0</v>
      </c>
      <c r="H74" s="13">
        <v>5.0</v>
      </c>
      <c r="I74" s="8"/>
      <c r="J74" s="8"/>
      <c r="K74" s="8"/>
      <c r="L74" s="30"/>
      <c r="M74" s="8"/>
      <c r="N74" s="14">
        <v>1.0</v>
      </c>
      <c r="O74" s="14"/>
      <c r="P74" s="14">
        <v>9.0</v>
      </c>
      <c r="Q74" s="8"/>
      <c r="R74" s="8"/>
      <c r="S74" s="14">
        <v>9.0</v>
      </c>
      <c r="T74" s="8"/>
      <c r="U74" s="8"/>
      <c r="V74" s="8"/>
      <c r="W74" s="8"/>
      <c r="X74" s="8"/>
      <c r="Y74" s="8"/>
      <c r="Z74" s="14">
        <v>7.0</v>
      </c>
      <c r="AA74" s="14"/>
      <c r="AB74" s="14">
        <v>5.0</v>
      </c>
      <c r="AC74" s="14"/>
      <c r="AD74" s="14"/>
      <c r="AE74" s="14">
        <v>7.0</v>
      </c>
      <c r="AF74" s="14">
        <v>4.0</v>
      </c>
      <c r="AG74" s="14"/>
      <c r="AH74" s="14"/>
      <c r="AI74" s="14">
        <v>11.0</v>
      </c>
      <c r="AJ74" s="14"/>
      <c r="AK74" s="14">
        <v>11.0</v>
      </c>
      <c r="AL74" s="14"/>
      <c r="AM74" s="14"/>
      <c r="AN74" s="14"/>
      <c r="AO74" s="14"/>
      <c r="AP74" s="14"/>
      <c r="AQ74" s="62">
        <v>10.0</v>
      </c>
      <c r="AR74" s="62"/>
      <c r="AS74" s="62"/>
      <c r="AT74" s="62"/>
      <c r="AU74" s="62">
        <v>9.0</v>
      </c>
      <c r="AV74" s="62"/>
      <c r="AW74" s="62">
        <v>8.0</v>
      </c>
      <c r="AX74" s="62"/>
      <c r="AY74" s="62"/>
      <c r="AZ74" s="62"/>
      <c r="BA74" s="62">
        <v>7.0</v>
      </c>
      <c r="BB74" s="63">
        <v>2.0</v>
      </c>
      <c r="BC74" s="99"/>
      <c r="BD74" s="99">
        <v>5.0</v>
      </c>
      <c r="BE74" s="63">
        <v>10.0</v>
      </c>
    </row>
    <row r="75">
      <c r="A75" s="24">
        <v>4.66363219E9</v>
      </c>
      <c r="B75" s="38" t="s">
        <v>143</v>
      </c>
      <c r="C75" s="38" t="s">
        <v>381</v>
      </c>
      <c r="D75" s="24" t="s">
        <v>382</v>
      </c>
      <c r="E75" s="7"/>
      <c r="F75" s="7"/>
      <c r="G75" s="13">
        <v>6.0</v>
      </c>
      <c r="H75" s="13">
        <v>8.0</v>
      </c>
      <c r="I75" s="8"/>
      <c r="J75" s="8"/>
      <c r="K75" s="8"/>
      <c r="L75" s="30"/>
      <c r="M75" s="8"/>
      <c r="N75" s="14">
        <v>6.0</v>
      </c>
      <c r="O75" s="14">
        <v>4.0</v>
      </c>
      <c r="P75" s="14">
        <v>16.0</v>
      </c>
      <c r="Q75" s="8"/>
      <c r="R75" s="8"/>
      <c r="S75" s="14">
        <v>14.0</v>
      </c>
      <c r="T75" s="8"/>
      <c r="U75" s="8"/>
      <c r="V75" s="8"/>
      <c r="W75" s="8"/>
      <c r="X75" s="8"/>
      <c r="Y75" s="8"/>
      <c r="Z75" s="14">
        <v>9.0</v>
      </c>
      <c r="AA75" s="14"/>
      <c r="AB75" s="14">
        <v>6.0</v>
      </c>
      <c r="AC75" s="14"/>
      <c r="AD75" s="14"/>
      <c r="AE75" s="14">
        <v>6.0</v>
      </c>
      <c r="AF75" s="14">
        <v>2.0</v>
      </c>
      <c r="AG75" s="14"/>
      <c r="AH75" s="14"/>
      <c r="AI75" s="14">
        <v>5.0</v>
      </c>
      <c r="AJ75" s="14">
        <v>2.0</v>
      </c>
      <c r="AK75" s="14">
        <v>5.0</v>
      </c>
      <c r="AL75" s="14"/>
      <c r="AM75" s="14"/>
      <c r="AN75" s="14"/>
      <c r="AO75" s="14"/>
      <c r="AP75" s="14"/>
      <c r="AQ75" s="14" t="s">
        <v>49</v>
      </c>
      <c r="AR75" s="14">
        <v>5.0</v>
      </c>
      <c r="AS75" s="14"/>
      <c r="AT75" s="14"/>
      <c r="AU75" s="14">
        <v>5.0</v>
      </c>
      <c r="AV75" s="14"/>
      <c r="AW75" s="14">
        <v>3.0</v>
      </c>
      <c r="AX75" s="14">
        <v>2.0</v>
      </c>
      <c r="AY75" s="14">
        <v>3.0</v>
      </c>
      <c r="AZ75" s="14"/>
      <c r="BA75" s="14">
        <v>4.0</v>
      </c>
      <c r="BB75" s="45">
        <v>4.0</v>
      </c>
      <c r="BC75" s="52"/>
      <c r="BD75" s="52">
        <v>3.0</v>
      </c>
      <c r="BE75" s="45">
        <v>8.0</v>
      </c>
    </row>
    <row r="76">
      <c r="A76" s="24">
        <v>2.0763071122E10</v>
      </c>
      <c r="B76" s="38" t="s">
        <v>384</v>
      </c>
      <c r="C76" s="38" t="s">
        <v>386</v>
      </c>
      <c r="D76" s="24" t="s">
        <v>387</v>
      </c>
      <c r="E76" s="7"/>
      <c r="F76" s="7"/>
      <c r="G76" s="13">
        <v>1.0</v>
      </c>
      <c r="H76" s="7"/>
      <c r="I76" s="8"/>
      <c r="J76" s="8"/>
      <c r="K76" s="8"/>
      <c r="L76" s="3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14">
        <v>6.0</v>
      </c>
      <c r="BB76" s="14"/>
      <c r="BC76" s="14"/>
      <c r="BD76" s="14">
        <v>6.0</v>
      </c>
      <c r="BE76" s="14"/>
    </row>
    <row r="77">
      <c r="A77" s="24">
        <v>4.88048019E9</v>
      </c>
      <c r="B77" s="38" t="s">
        <v>391</v>
      </c>
      <c r="C77" s="38" t="s">
        <v>331</v>
      </c>
      <c r="D77" s="24" t="s">
        <v>332</v>
      </c>
      <c r="E77" s="7"/>
      <c r="F77" s="7"/>
      <c r="G77" s="13">
        <v>38.0</v>
      </c>
      <c r="H77" s="13">
        <v>20.0</v>
      </c>
      <c r="I77" s="8"/>
      <c r="J77" s="8"/>
      <c r="K77" s="8"/>
      <c r="L77" s="30"/>
      <c r="M77" s="8"/>
      <c r="N77" s="14">
        <v>20.0</v>
      </c>
      <c r="O77" s="14">
        <v>4.0</v>
      </c>
      <c r="P77" s="14">
        <v>24.0</v>
      </c>
      <c r="Q77" s="14">
        <v>4.0</v>
      </c>
      <c r="R77" s="8"/>
      <c r="S77" s="14">
        <v>24.0</v>
      </c>
      <c r="T77" s="8"/>
      <c r="U77" s="8"/>
      <c r="V77" s="8"/>
      <c r="W77" s="8"/>
      <c r="X77" s="8"/>
      <c r="Y77" s="8"/>
      <c r="Z77" s="14">
        <v>29.0</v>
      </c>
      <c r="AA77" s="8"/>
      <c r="AB77" s="14">
        <v>24.0</v>
      </c>
      <c r="AC77" s="14"/>
      <c r="AD77" s="14"/>
      <c r="AE77" s="14">
        <v>25.0</v>
      </c>
      <c r="AF77" s="14"/>
      <c r="AG77" s="14"/>
      <c r="AH77" s="14"/>
      <c r="AI77" s="14">
        <v>21.0</v>
      </c>
      <c r="AJ77" s="14"/>
      <c r="AK77" s="14">
        <v>18.0</v>
      </c>
      <c r="AL77" s="14"/>
      <c r="AM77" s="14"/>
      <c r="AN77" s="14"/>
      <c r="AO77" s="14"/>
      <c r="AP77" s="14"/>
      <c r="AQ77" s="14">
        <v>13.0</v>
      </c>
      <c r="AR77" s="14"/>
      <c r="AS77" s="14"/>
      <c r="AT77" s="14"/>
      <c r="AU77" s="14">
        <v>11.0</v>
      </c>
      <c r="AV77" s="14">
        <v>4.0</v>
      </c>
      <c r="AW77" s="14">
        <v>12.0</v>
      </c>
      <c r="AX77" s="14"/>
      <c r="AY77" s="14"/>
      <c r="AZ77" s="14"/>
      <c r="BA77" s="14">
        <v>7.0</v>
      </c>
      <c r="BB77" s="45">
        <v>6.0</v>
      </c>
      <c r="BC77" s="52"/>
      <c r="BD77" s="52">
        <v>10.0</v>
      </c>
      <c r="BE77" s="45">
        <v>8.0</v>
      </c>
    </row>
    <row r="78">
      <c r="A78" s="24">
        <v>4.88045519E9</v>
      </c>
      <c r="B78" s="38" t="s">
        <v>395</v>
      </c>
      <c r="C78" s="38" t="s">
        <v>331</v>
      </c>
      <c r="D78" s="24" t="s">
        <v>332</v>
      </c>
      <c r="E78" s="7"/>
      <c r="F78" s="7"/>
      <c r="G78" s="13">
        <v>38.0</v>
      </c>
      <c r="H78" s="13">
        <v>26.0</v>
      </c>
      <c r="I78" s="8"/>
      <c r="J78" s="8"/>
      <c r="K78" s="8"/>
      <c r="L78" s="30"/>
      <c r="M78" s="8"/>
      <c r="N78" s="14">
        <v>36.0</v>
      </c>
      <c r="O78" s="14">
        <v>8.0</v>
      </c>
      <c r="P78" s="14">
        <v>44.0</v>
      </c>
      <c r="Q78" s="14">
        <v>4.0</v>
      </c>
      <c r="R78" s="8"/>
      <c r="S78" s="14">
        <v>48.0</v>
      </c>
      <c r="T78" s="8"/>
      <c r="U78" s="8"/>
      <c r="V78" s="8"/>
      <c r="W78" s="8"/>
      <c r="X78" s="8"/>
      <c r="Y78" s="8"/>
      <c r="Z78" s="14">
        <v>46.0</v>
      </c>
      <c r="AA78" s="8"/>
      <c r="AB78" s="14">
        <v>40.0</v>
      </c>
      <c r="AC78" s="14"/>
      <c r="AD78" s="14"/>
      <c r="AE78" s="14">
        <v>38.0</v>
      </c>
      <c r="AF78" s="14"/>
      <c r="AG78" s="14"/>
      <c r="AH78" s="14"/>
      <c r="AI78" s="14">
        <v>33.0</v>
      </c>
      <c r="AJ78" s="14"/>
      <c r="AK78" s="14">
        <v>29.0</v>
      </c>
      <c r="AL78" s="14"/>
      <c r="AM78" s="14"/>
      <c r="AN78" s="14"/>
      <c r="AO78" s="14"/>
      <c r="AP78" s="14"/>
      <c r="AQ78" s="14">
        <v>23.0</v>
      </c>
      <c r="AR78" s="14"/>
      <c r="AS78" s="14"/>
      <c r="AT78" s="14"/>
      <c r="AU78" s="14">
        <v>20.0</v>
      </c>
      <c r="AV78" s="14"/>
      <c r="AW78" s="14">
        <v>16.0</v>
      </c>
      <c r="AX78" s="14"/>
      <c r="AY78" s="14"/>
      <c r="AZ78" s="14"/>
      <c r="BA78" s="14">
        <v>11.0</v>
      </c>
      <c r="BB78" s="45">
        <v>8.0</v>
      </c>
      <c r="BC78" s="91"/>
      <c r="BD78" s="62">
        <v>14.0</v>
      </c>
      <c r="BE78" s="63">
        <v>6.0</v>
      </c>
    </row>
    <row r="79">
      <c r="A79" s="24">
        <v>8.39201319E9</v>
      </c>
      <c r="B79" s="38" t="s">
        <v>149</v>
      </c>
      <c r="C79" s="38" t="s">
        <v>400</v>
      </c>
      <c r="D79" s="24" t="s">
        <v>332</v>
      </c>
      <c r="E79" s="7"/>
      <c r="F79" s="7"/>
      <c r="G79" s="13">
        <v>27.0</v>
      </c>
      <c r="H79" s="13">
        <v>16.0</v>
      </c>
      <c r="I79" s="8"/>
      <c r="J79" s="8"/>
      <c r="K79" s="8"/>
      <c r="L79" s="30"/>
      <c r="M79" s="8"/>
      <c r="N79" s="14">
        <v>12.0</v>
      </c>
      <c r="O79" s="14">
        <v>6.0</v>
      </c>
      <c r="P79" s="14">
        <v>18.0</v>
      </c>
      <c r="Q79" s="14">
        <v>6.0</v>
      </c>
      <c r="R79" s="8"/>
      <c r="S79" s="14">
        <v>24.0</v>
      </c>
      <c r="T79" s="8"/>
      <c r="U79" s="8"/>
      <c r="V79" s="8"/>
      <c r="W79" s="8"/>
      <c r="X79" s="8"/>
      <c r="Y79" s="8"/>
      <c r="Z79" s="14">
        <v>31.0</v>
      </c>
      <c r="AA79" s="8"/>
      <c r="AB79" s="14">
        <v>22.0</v>
      </c>
      <c r="AC79" s="14"/>
      <c r="AD79" s="14"/>
      <c r="AE79" s="14">
        <v>30.0</v>
      </c>
      <c r="AF79" s="14"/>
      <c r="AG79" s="14"/>
      <c r="AH79" s="14"/>
      <c r="AI79" s="14">
        <v>29.0</v>
      </c>
      <c r="AJ79" s="14"/>
      <c r="AK79" s="14">
        <v>28.0</v>
      </c>
      <c r="AL79" s="14"/>
      <c r="AM79" s="14"/>
      <c r="AN79" s="14"/>
      <c r="AO79" s="14"/>
      <c r="AP79" s="14"/>
      <c r="AQ79" s="14">
        <v>27.0</v>
      </c>
      <c r="AR79" s="14"/>
      <c r="AS79" s="14"/>
      <c r="AT79" s="14"/>
      <c r="AU79" s="14">
        <v>26.0</v>
      </c>
      <c r="AV79" s="14"/>
      <c r="AW79" s="14">
        <v>25.0</v>
      </c>
      <c r="AX79" s="14"/>
      <c r="AY79" s="14"/>
      <c r="AZ79" s="14"/>
      <c r="BA79" s="14" t="s">
        <v>408</v>
      </c>
      <c r="BB79" s="45">
        <v>10.0</v>
      </c>
      <c r="BC79" s="52"/>
      <c r="BD79" s="91">
        <v>9.0</v>
      </c>
      <c r="BE79" s="90">
        <v>10.0</v>
      </c>
    </row>
    <row r="80">
      <c r="A80" s="24">
        <v>1.0820652216E10</v>
      </c>
      <c r="B80" s="38" t="s">
        <v>409</v>
      </c>
      <c r="C80" s="38" t="s">
        <v>410</v>
      </c>
      <c r="D80" s="24">
        <v>500.0</v>
      </c>
      <c r="E80" s="7"/>
      <c r="F80" s="7"/>
      <c r="G80" s="7"/>
      <c r="H80" s="7"/>
      <c r="I80" s="8"/>
      <c r="J80" s="8"/>
      <c r="K80" s="8"/>
      <c r="L80" s="3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</row>
    <row r="81">
      <c r="A81" s="24">
        <v>3.149501001E9</v>
      </c>
      <c r="B81" s="38" t="s">
        <v>152</v>
      </c>
      <c r="C81" s="38" t="s">
        <v>412</v>
      </c>
      <c r="D81" s="7"/>
      <c r="E81" s="7"/>
      <c r="F81" s="7"/>
      <c r="G81" s="13">
        <v>3.0</v>
      </c>
      <c r="H81" s="7"/>
      <c r="I81" s="8"/>
      <c r="J81" s="8"/>
      <c r="K81" s="8"/>
      <c r="L81" s="30"/>
      <c r="M81" s="8"/>
      <c r="N81" s="8"/>
      <c r="O81" s="8"/>
      <c r="P81" s="8"/>
      <c r="Q81" s="8"/>
      <c r="R81" s="8"/>
      <c r="S81" s="14">
        <v>0.0</v>
      </c>
      <c r="T81" s="8"/>
      <c r="U81" s="8"/>
      <c r="V81" s="14">
        <v>1.0</v>
      </c>
      <c r="W81" s="8"/>
      <c r="X81" s="8"/>
      <c r="Y81" s="8"/>
      <c r="Z81" s="14">
        <v>0.0</v>
      </c>
      <c r="AA81" s="14"/>
      <c r="AB81" s="14">
        <v>0.0</v>
      </c>
      <c r="AC81" s="14">
        <v>1.0</v>
      </c>
      <c r="AD81" s="14"/>
      <c r="AE81" s="16" t="s">
        <v>413</v>
      </c>
      <c r="AF81" s="14"/>
      <c r="AG81" s="14"/>
      <c r="AH81" s="14" t="s">
        <v>106</v>
      </c>
      <c r="AI81" s="16" t="s">
        <v>413</v>
      </c>
      <c r="AJ81" s="14"/>
      <c r="AK81" s="14">
        <v>0.0</v>
      </c>
      <c r="AL81" s="14"/>
      <c r="AM81" s="14"/>
      <c r="AN81" s="14">
        <v>1.0</v>
      </c>
      <c r="AO81" s="14"/>
      <c r="AP81" s="14"/>
      <c r="AQ81" s="14">
        <v>0.0</v>
      </c>
      <c r="AR81" s="14"/>
      <c r="AS81" s="14">
        <v>1.0</v>
      </c>
      <c r="AT81" s="14"/>
      <c r="AU81" s="14">
        <v>0.0</v>
      </c>
      <c r="AV81" s="14"/>
      <c r="AW81" s="14">
        <v>0.0</v>
      </c>
      <c r="AX81" s="14"/>
      <c r="AY81" s="14"/>
      <c r="AZ81" s="14">
        <v>1.0</v>
      </c>
      <c r="BA81" s="14">
        <v>0.0</v>
      </c>
      <c r="BB81" s="14"/>
      <c r="BC81" s="14"/>
      <c r="BD81" s="14">
        <v>0.0</v>
      </c>
      <c r="BE81" s="14"/>
    </row>
    <row r="82">
      <c r="A82" s="24">
        <v>1.0825468001E10</v>
      </c>
      <c r="B82" s="38" t="s">
        <v>156</v>
      </c>
      <c r="C82" s="7"/>
      <c r="D82" s="7"/>
      <c r="E82" s="7"/>
      <c r="F82" s="7"/>
      <c r="G82" s="13">
        <v>9.0</v>
      </c>
      <c r="H82" s="7"/>
      <c r="I82" s="8"/>
      <c r="J82" s="8"/>
      <c r="K82" s="8"/>
      <c r="L82" s="30"/>
      <c r="M82" s="8"/>
      <c r="N82" s="8"/>
      <c r="O82" s="8"/>
      <c r="P82" s="8"/>
      <c r="Q82" s="14">
        <v>1.0</v>
      </c>
      <c r="R82" s="8"/>
      <c r="S82" s="14">
        <v>1.0</v>
      </c>
      <c r="T82" s="8"/>
      <c r="U82" s="8"/>
      <c r="V82" s="8"/>
      <c r="W82" s="8"/>
      <c r="X82" s="8"/>
      <c r="Y82" s="8"/>
      <c r="Z82" s="14">
        <v>0.0</v>
      </c>
      <c r="AA82" s="14"/>
      <c r="AB82" s="14">
        <v>0.0</v>
      </c>
      <c r="AC82" s="14">
        <v>1.0</v>
      </c>
      <c r="AD82" s="14"/>
      <c r="AE82" s="14">
        <v>1.0</v>
      </c>
      <c r="AF82" s="14"/>
      <c r="AG82" s="14"/>
      <c r="AH82" s="14"/>
      <c r="AI82" s="14">
        <v>1.0</v>
      </c>
      <c r="AJ82" s="14"/>
      <c r="AK82" s="14">
        <v>0.0</v>
      </c>
      <c r="AL82" s="14"/>
      <c r="AM82" s="14"/>
      <c r="AN82" s="14"/>
      <c r="AO82" s="14"/>
      <c r="AP82" s="14"/>
      <c r="AQ82" s="14">
        <v>0.0</v>
      </c>
      <c r="AR82" s="14"/>
      <c r="AS82" s="14">
        <v>1.0</v>
      </c>
      <c r="AT82" s="14"/>
      <c r="AU82" s="14">
        <v>0.0</v>
      </c>
      <c r="AV82" s="14"/>
      <c r="AW82" s="14">
        <v>0.0</v>
      </c>
      <c r="AX82" s="14">
        <v>1.0</v>
      </c>
      <c r="AY82" s="14"/>
      <c r="AZ82" s="14"/>
      <c r="BA82" s="14">
        <v>0.0</v>
      </c>
      <c r="BB82" s="14"/>
      <c r="BC82" s="14"/>
      <c r="BD82" s="14">
        <v>0.0</v>
      </c>
      <c r="BE82" s="45">
        <v>1.0</v>
      </c>
    </row>
    <row r="83">
      <c r="A83" s="24">
        <v>1.0825441001E10</v>
      </c>
      <c r="B83" s="38" t="s">
        <v>160</v>
      </c>
      <c r="C83" s="7"/>
      <c r="D83" s="7"/>
      <c r="E83" s="7"/>
      <c r="F83" s="7"/>
      <c r="G83" s="13">
        <v>9.0</v>
      </c>
      <c r="H83" s="7"/>
      <c r="I83" s="8"/>
      <c r="J83" s="8"/>
      <c r="K83" s="8"/>
      <c r="L83" s="30"/>
      <c r="M83" s="8"/>
      <c r="N83" s="8"/>
      <c r="O83" s="8"/>
      <c r="P83" s="8"/>
      <c r="Q83" s="14">
        <v>1.0</v>
      </c>
      <c r="R83" s="8"/>
      <c r="S83" s="14">
        <v>1.0</v>
      </c>
      <c r="T83" s="8"/>
      <c r="U83" s="8"/>
      <c r="V83" s="8"/>
      <c r="W83" s="8"/>
      <c r="X83" s="8"/>
      <c r="Y83" s="8"/>
      <c r="Z83" s="14">
        <v>0.0</v>
      </c>
      <c r="AA83" s="14"/>
      <c r="AB83" s="14">
        <v>1.0</v>
      </c>
      <c r="AC83" s="14"/>
      <c r="AD83" s="14"/>
      <c r="AE83" s="14">
        <v>1.0</v>
      </c>
      <c r="AF83" s="14"/>
      <c r="AG83" s="14"/>
      <c r="AH83" s="14"/>
      <c r="AI83" s="14">
        <v>1.0</v>
      </c>
      <c r="AJ83" s="14"/>
      <c r="AK83" s="14">
        <v>0.0</v>
      </c>
      <c r="AL83" s="14"/>
      <c r="AM83" s="14"/>
      <c r="AN83" s="14"/>
      <c r="AO83" s="14"/>
      <c r="AP83" s="14"/>
      <c r="AQ83" s="14">
        <v>0.0</v>
      </c>
      <c r="AR83" s="14"/>
      <c r="AS83" s="14">
        <v>1.0</v>
      </c>
      <c r="AT83" s="14"/>
      <c r="AU83" s="14">
        <v>0.0</v>
      </c>
      <c r="AV83" s="14"/>
      <c r="AW83" s="14">
        <v>0.0</v>
      </c>
      <c r="AX83" s="14">
        <v>1.0</v>
      </c>
      <c r="AY83" s="14"/>
      <c r="AZ83" s="14"/>
      <c r="BA83" s="14">
        <v>0.0</v>
      </c>
      <c r="BB83" s="14"/>
      <c r="BC83" s="14"/>
      <c r="BD83" s="14">
        <v>0.0</v>
      </c>
      <c r="BE83" s="45">
        <v>1.0</v>
      </c>
    </row>
    <row r="84">
      <c r="A84" s="24">
        <v>3.246353001E9</v>
      </c>
      <c r="B84" s="38" t="s">
        <v>161</v>
      </c>
      <c r="C84" s="7"/>
      <c r="D84" s="7"/>
      <c r="E84" s="7"/>
      <c r="F84" s="7"/>
      <c r="G84" s="13">
        <v>9.0</v>
      </c>
      <c r="H84" s="7"/>
      <c r="I84" s="8"/>
      <c r="J84" s="8"/>
      <c r="K84" s="8"/>
      <c r="L84" s="30"/>
      <c r="M84" s="8"/>
      <c r="N84" s="8"/>
      <c r="O84" s="8"/>
      <c r="P84" s="8"/>
      <c r="Q84" s="14">
        <v>1.0</v>
      </c>
      <c r="R84" s="8"/>
      <c r="S84" s="14">
        <v>1.0</v>
      </c>
      <c r="T84" s="8"/>
      <c r="U84" s="8"/>
      <c r="V84" s="14">
        <v>1.0</v>
      </c>
      <c r="W84" s="8"/>
      <c r="X84" s="8"/>
      <c r="Y84" s="8"/>
      <c r="Z84" s="14">
        <v>1.0</v>
      </c>
      <c r="AA84" s="8"/>
      <c r="AB84" s="14">
        <v>1.0</v>
      </c>
      <c r="AC84" s="8"/>
      <c r="AD84" s="8"/>
      <c r="AE84" s="14">
        <v>1.0</v>
      </c>
      <c r="AF84" s="14"/>
      <c r="AG84" s="14"/>
      <c r="AH84" s="14"/>
      <c r="AI84" s="14">
        <v>1.0</v>
      </c>
      <c r="AJ84" s="14"/>
      <c r="AK84" s="14">
        <v>0.0</v>
      </c>
      <c r="AL84" s="14"/>
      <c r="AM84" s="14"/>
      <c r="AN84" s="14"/>
      <c r="AO84" s="14"/>
      <c r="AP84" s="14"/>
      <c r="AQ84" s="14">
        <v>0.0</v>
      </c>
      <c r="AR84" s="14"/>
      <c r="AS84" s="14">
        <v>1.0</v>
      </c>
      <c r="AT84" s="14"/>
      <c r="AU84" s="14">
        <v>0.0</v>
      </c>
      <c r="AV84" s="14"/>
      <c r="AW84" s="14">
        <v>0.0</v>
      </c>
      <c r="AX84" s="14">
        <v>1.0</v>
      </c>
      <c r="AY84" s="14"/>
      <c r="AZ84" s="14"/>
      <c r="BA84" s="14">
        <v>0.0</v>
      </c>
      <c r="BB84" s="14"/>
      <c r="BC84" s="14"/>
      <c r="BD84" s="14">
        <v>0.0</v>
      </c>
      <c r="BE84" s="45">
        <v>1.0</v>
      </c>
    </row>
    <row r="85">
      <c r="A85" s="76"/>
      <c r="B85" s="60" t="s">
        <v>121</v>
      </c>
      <c r="C85" s="8"/>
      <c r="D85" s="8"/>
      <c r="E85" s="8"/>
      <c r="F85" s="8"/>
      <c r="G85" s="7"/>
      <c r="H85" s="8"/>
      <c r="I85" s="8"/>
      <c r="J85" s="8"/>
      <c r="K85" s="8"/>
      <c r="L85" s="30"/>
      <c r="M85" s="8"/>
      <c r="N85" s="8"/>
      <c r="O85" s="8"/>
      <c r="P85" s="8"/>
      <c r="Q85" s="8"/>
      <c r="R85" s="14">
        <v>1.0</v>
      </c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14">
        <v>1.0</v>
      </c>
      <c r="AE85" s="14"/>
      <c r="AF85" s="14"/>
      <c r="AG85" s="14"/>
      <c r="AH85" s="14"/>
      <c r="AI85" s="14"/>
      <c r="AJ85" s="14">
        <v>1.0</v>
      </c>
      <c r="AK85" s="14"/>
      <c r="AL85" s="14"/>
      <c r="AM85" s="14">
        <v>1.0</v>
      </c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>
        <v>1.0</v>
      </c>
      <c r="BA85" s="14"/>
      <c r="BB85" s="14"/>
      <c r="BC85" s="14"/>
      <c r="BD85" s="14"/>
      <c r="BE85" s="14"/>
    </row>
    <row r="86">
      <c r="A86" s="60" t="s">
        <v>123</v>
      </c>
      <c r="B86" s="60" t="s">
        <v>124</v>
      </c>
      <c r="C86" s="8"/>
      <c r="D86" s="8"/>
      <c r="E86" s="8"/>
      <c r="F86" s="8"/>
      <c r="G86" s="7"/>
      <c r="H86" s="8"/>
      <c r="I86" s="8"/>
      <c r="J86" s="8"/>
      <c r="K86" s="8"/>
      <c r="L86" s="30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</row>
    <row r="87">
      <c r="A87" s="76"/>
      <c r="B87" s="60" t="s">
        <v>125</v>
      </c>
      <c r="C87" s="8"/>
      <c r="D87" s="8"/>
      <c r="E87" s="8"/>
      <c r="F87" s="8"/>
      <c r="G87" s="7"/>
      <c r="H87" s="8"/>
      <c r="I87" s="8"/>
      <c r="J87" s="8"/>
      <c r="K87" s="8"/>
      <c r="L87" s="30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</row>
    <row r="88">
      <c r="A88" s="76"/>
      <c r="B88" s="60" t="s">
        <v>127</v>
      </c>
      <c r="C88" s="8"/>
      <c r="D88" s="8"/>
      <c r="E88" s="8"/>
      <c r="F88" s="8"/>
      <c r="G88" s="7"/>
      <c r="H88" s="8"/>
      <c r="I88" s="8"/>
      <c r="J88" s="8"/>
      <c r="K88" s="8"/>
      <c r="L88" s="30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</row>
    <row r="89">
      <c r="A89" s="76"/>
      <c r="B89" s="60" t="s">
        <v>128</v>
      </c>
      <c r="C89" s="8"/>
      <c r="D89" s="8"/>
      <c r="E89" s="8"/>
      <c r="F89" s="8"/>
      <c r="G89" s="7"/>
      <c r="H89" s="8"/>
      <c r="I89" s="8"/>
      <c r="J89" s="8"/>
      <c r="K89" s="8"/>
      <c r="L89" s="30"/>
      <c r="M89" s="8"/>
      <c r="N89" s="8"/>
      <c r="O89" s="8"/>
      <c r="P89" s="8"/>
      <c r="Q89" s="8"/>
      <c r="R89" s="8"/>
      <c r="S89" s="8"/>
      <c r="T89" s="8"/>
      <c r="U89" s="8"/>
      <c r="V89" s="8"/>
      <c r="W89" s="14">
        <v>1.0</v>
      </c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14">
        <v>1.0</v>
      </c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>
      <c r="A90" s="103">
        <v>4.516265001E9</v>
      </c>
      <c r="B90" s="103" t="s">
        <v>419</v>
      </c>
      <c r="C90" s="8"/>
      <c r="D90" s="8"/>
      <c r="E90" s="8"/>
      <c r="F90" s="8"/>
      <c r="G90" s="13">
        <v>13.0</v>
      </c>
      <c r="H90" s="8"/>
      <c r="I90" s="8"/>
      <c r="J90" s="8"/>
      <c r="K90" s="8"/>
      <c r="L90" s="30"/>
      <c r="M90" s="8"/>
      <c r="N90" s="8"/>
      <c r="O90" s="8"/>
      <c r="P90" s="8"/>
      <c r="Q90" s="8"/>
      <c r="R90" s="8"/>
      <c r="S90" s="14">
        <v>0.0</v>
      </c>
      <c r="T90" s="14">
        <v>2.0</v>
      </c>
      <c r="U90" s="8"/>
      <c r="V90" s="8"/>
      <c r="W90" s="8"/>
      <c r="X90" s="8"/>
      <c r="Y90" s="8"/>
      <c r="Z90" s="14">
        <v>0.0</v>
      </c>
      <c r="AA90" s="14">
        <v>1.0</v>
      </c>
      <c r="AB90" s="14">
        <v>1.0</v>
      </c>
      <c r="AC90" s="14">
        <v>1.0</v>
      </c>
      <c r="AD90" s="14"/>
      <c r="AE90" s="14">
        <v>2.0</v>
      </c>
      <c r="AF90" s="14"/>
      <c r="AG90" s="14"/>
      <c r="AH90" s="14"/>
      <c r="AI90" s="14">
        <v>2.0</v>
      </c>
      <c r="AJ90" s="14"/>
      <c r="AK90" s="14">
        <v>2.0</v>
      </c>
      <c r="AL90" s="14"/>
      <c r="AM90" s="14"/>
      <c r="AN90" s="14"/>
      <c r="AO90" s="14"/>
      <c r="AP90" s="14">
        <v>1.0</v>
      </c>
      <c r="AQ90" s="14">
        <v>0.0</v>
      </c>
      <c r="AR90" s="14">
        <v>2.0</v>
      </c>
      <c r="AS90" s="14"/>
      <c r="AT90" s="14"/>
      <c r="AU90" s="14">
        <v>1.0</v>
      </c>
      <c r="AV90" s="14">
        <v>1.0</v>
      </c>
      <c r="AW90" s="14">
        <v>2.0</v>
      </c>
      <c r="AX90" s="14"/>
      <c r="AY90" s="14"/>
      <c r="AZ90" s="14">
        <v>1.0</v>
      </c>
      <c r="BA90" s="14">
        <v>2.0</v>
      </c>
      <c r="BB90" s="14"/>
      <c r="BC90" s="14"/>
      <c r="BD90" s="14">
        <v>2.0</v>
      </c>
      <c r="BE90" s="45">
        <v>1.0</v>
      </c>
    </row>
    <row r="91">
      <c r="A91" s="103">
        <v>4.516273001E9</v>
      </c>
      <c r="B91" s="103" t="s">
        <v>422</v>
      </c>
      <c r="C91" s="8"/>
      <c r="D91" s="8"/>
      <c r="E91" s="8"/>
      <c r="F91" s="8"/>
      <c r="G91" s="13">
        <v>13.0</v>
      </c>
      <c r="H91" s="8"/>
      <c r="I91" s="8"/>
      <c r="J91" s="8"/>
      <c r="K91" s="8"/>
      <c r="L91" s="30"/>
      <c r="M91" s="8"/>
      <c r="N91" s="8"/>
      <c r="O91" s="8"/>
      <c r="P91" s="8"/>
      <c r="Q91" s="8"/>
      <c r="R91" s="8"/>
      <c r="S91" s="14">
        <v>0.0</v>
      </c>
      <c r="T91" s="14">
        <v>2.0</v>
      </c>
      <c r="U91" s="8"/>
      <c r="V91" s="8"/>
      <c r="W91" s="8"/>
      <c r="X91" s="8"/>
      <c r="Y91" s="8"/>
      <c r="Z91" s="14">
        <v>0.0</v>
      </c>
      <c r="AA91" s="14">
        <v>1.0</v>
      </c>
      <c r="AB91" s="14">
        <v>1.0</v>
      </c>
      <c r="AC91" s="14">
        <v>1.0</v>
      </c>
      <c r="AD91" s="14"/>
      <c r="AE91" s="14">
        <v>2.0</v>
      </c>
      <c r="AF91" s="14"/>
      <c r="AG91" s="14"/>
      <c r="AH91" s="14"/>
      <c r="AI91" s="14">
        <v>2.0</v>
      </c>
      <c r="AJ91" s="14"/>
      <c r="AK91" s="14">
        <v>2.0</v>
      </c>
      <c r="AL91" s="14"/>
      <c r="AM91" s="14"/>
      <c r="AN91" s="14"/>
      <c r="AO91" s="14"/>
      <c r="AP91" s="14">
        <v>1.0</v>
      </c>
      <c r="AQ91" s="14">
        <v>0.0</v>
      </c>
      <c r="AR91" s="14">
        <v>2.0</v>
      </c>
      <c r="AS91" s="14"/>
      <c r="AT91" s="14"/>
      <c r="AU91" s="14">
        <v>1.0</v>
      </c>
      <c r="AV91" s="14">
        <v>1.0</v>
      </c>
      <c r="AW91" s="14">
        <v>2.0</v>
      </c>
      <c r="AX91" s="14"/>
      <c r="AY91" s="14"/>
      <c r="AZ91" s="14">
        <v>1.0</v>
      </c>
      <c r="BA91" s="14">
        <v>2.0</v>
      </c>
      <c r="BB91" s="14"/>
      <c r="BC91" s="14"/>
      <c r="BD91" s="14">
        <v>2.0</v>
      </c>
      <c r="BE91" s="45">
        <v>1.0</v>
      </c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30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30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30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30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30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30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30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30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30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30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30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30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30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30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30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30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30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30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30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30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30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30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30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30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30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30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30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30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30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30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30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30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30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30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30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30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30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30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30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30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30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30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30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30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30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30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30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30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30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30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30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30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30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30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30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30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30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30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30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30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30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30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30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30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30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30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30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30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30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30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30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30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30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30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30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30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30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30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30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30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30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30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30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30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30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30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30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30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30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30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30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30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30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30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30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30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30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30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30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30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30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30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30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30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30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30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30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30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30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30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30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30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30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30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30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30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30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30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30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30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30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30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30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30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30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30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30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30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30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30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30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30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30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30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30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30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30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30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30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30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30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30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30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30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30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30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30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30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30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30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30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30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30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30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30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30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30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30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30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30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30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30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30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30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30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30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30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30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30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30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30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30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30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30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30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30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30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30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30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30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30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30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30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30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30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30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30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30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30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30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30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30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30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30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30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30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30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30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30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30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30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30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30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30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30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30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30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30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30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30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30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30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30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30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30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30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30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30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30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30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30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30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30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30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30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30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30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30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30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30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30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30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30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30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30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30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30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30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30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30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30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30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30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30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30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30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30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30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30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30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30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30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30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30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30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30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30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30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30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30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30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30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30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30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30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30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30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30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30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30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30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30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30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30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30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30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30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30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30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30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30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30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30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30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30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30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30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30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30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30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30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30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30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30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30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30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30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30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30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30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30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30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30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30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30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30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30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30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30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30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30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30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30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30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30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30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30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30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30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30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30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30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30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30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30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30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30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30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30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30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30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30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30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30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30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30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30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30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30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30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30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30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30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30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30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30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30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30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30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30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30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30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30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30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3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30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30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30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30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30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30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30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30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30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30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30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30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30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30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30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30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30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30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30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30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30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30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30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30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30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30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30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30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30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30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30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30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30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30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30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30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30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30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30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30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30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30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30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30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30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30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30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30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30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30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30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30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30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30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30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30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30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30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30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30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30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30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30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30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30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30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30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30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30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30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30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30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30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30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30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30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30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30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30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30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30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30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30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30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30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30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30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30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30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30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30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30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30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30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30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30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30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30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30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30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30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30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30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30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30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30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30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30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30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30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30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30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30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30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30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30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30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30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30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30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30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30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30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30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30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30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30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30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30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30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30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30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30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30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30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30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30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30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30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30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30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30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30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30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30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30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30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30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30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30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30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30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30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30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30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30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30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30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30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30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30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30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30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30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30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30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30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30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30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30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30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30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30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30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30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30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30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30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30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30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30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30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30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30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30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30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30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30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30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30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30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30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30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30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30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30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30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30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30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30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30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30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30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30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30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30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30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30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30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30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30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30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30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30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30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30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30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30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30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30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30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30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30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30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30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30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30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30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30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30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30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30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30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30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30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30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30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30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30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30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30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30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30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30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30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30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30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30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30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30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30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30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30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30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30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30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30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30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30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30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30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30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30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30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30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30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30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30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30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30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30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30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30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3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30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30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30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30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30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30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30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30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30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30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30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30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30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30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30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30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30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30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3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30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30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30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30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30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30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30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30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30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3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30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30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30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30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30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30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30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30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30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3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30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30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30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30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30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30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30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30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30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3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30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30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30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30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30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30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30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30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30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3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30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30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30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30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30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30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30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30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30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3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30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30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30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30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30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30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30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30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30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3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30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30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30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30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30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30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30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30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30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3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30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30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30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30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30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30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30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30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30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3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30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30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30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30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30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30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30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30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30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30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30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30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30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30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30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30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30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30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3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30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30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30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30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30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30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30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30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30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3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30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30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30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30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30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30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30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30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30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3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30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30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30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30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30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30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30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30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30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3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30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30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30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30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30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30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30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30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30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3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30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30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30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30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30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30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30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30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30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30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30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30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30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30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30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30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30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30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30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30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30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30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30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30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30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30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30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30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30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30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30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30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30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30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30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30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30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30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30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30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30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30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30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30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30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30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30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30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30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30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30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30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30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30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30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30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30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30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30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30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30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30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30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30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30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30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30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30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30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30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30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30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30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30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30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30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30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30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30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30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30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30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30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30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30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30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30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30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30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30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30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30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30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30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30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30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30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30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30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30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30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30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30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30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30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30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30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30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30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30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30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30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30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30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30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30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30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30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30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30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30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30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30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30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</row>
  </sheetData>
  <mergeCells count="1">
    <mergeCell ref="B3:C3"/>
  </mergeCells>
  <printOptions gridLines="1" horizontalCentered="1"/>
  <pageMargins bottom="0.75" footer="0.0" header="0.0" left="0.7" right="0.7" top="0.75"/>
  <pageSetup fitToWidth="0" paperSize="8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" width="16.71"/>
    <col customWidth="1" hidden="1" min="4" max="5" width="16.71"/>
    <col customWidth="1" min="6" max="6" width="16.71"/>
    <col customWidth="1" min="7" max="7" width="12.86"/>
    <col customWidth="1" min="8" max="8" width="11.57"/>
    <col customWidth="1" min="9" max="22" width="0.43"/>
    <col customWidth="1" min="23" max="23" width="0.57"/>
    <col customWidth="1" min="24" max="33" width="0.43"/>
    <col customWidth="1" min="34" max="36" width="11.29"/>
    <col customWidth="1" min="37" max="38" width="14.57"/>
    <col customWidth="1" min="39" max="39" width="11.57"/>
    <col customWidth="1" min="40" max="41" width="12.86"/>
  </cols>
  <sheetData>
    <row r="1">
      <c r="A1" s="1"/>
      <c r="B1" s="2" t="s">
        <v>0</v>
      </c>
      <c r="C1" s="4"/>
      <c r="D1" s="4"/>
      <c r="E1" s="4"/>
      <c r="F1" s="4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7"/>
      <c r="H3" s="7"/>
      <c r="I3" s="7"/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>
      <c r="A4" s="9" t="s">
        <v>2</v>
      </c>
      <c r="B4" s="4"/>
      <c r="C4" s="9" t="s">
        <v>9</v>
      </c>
      <c r="D4" s="4"/>
      <c r="E4" s="4"/>
      <c r="F4" s="10"/>
      <c r="G4" s="11">
        <v>45833.0</v>
      </c>
      <c r="H4" s="11">
        <v>45848.0</v>
      </c>
      <c r="I4" s="11">
        <v>45859.0</v>
      </c>
      <c r="J4" s="11">
        <v>45869.0</v>
      </c>
      <c r="K4" s="13" t="s">
        <v>10</v>
      </c>
      <c r="L4" s="11">
        <v>45881.0</v>
      </c>
      <c r="M4" s="14" t="s">
        <v>11</v>
      </c>
      <c r="N4" s="15">
        <v>45909.0</v>
      </c>
      <c r="O4" s="16" t="s">
        <v>12</v>
      </c>
      <c r="P4" s="15">
        <v>45932.0</v>
      </c>
      <c r="Q4" s="19">
        <v>45943.0</v>
      </c>
      <c r="R4" s="19">
        <v>45944.0</v>
      </c>
      <c r="S4" s="15">
        <v>45966.0</v>
      </c>
      <c r="T4" s="16" t="s">
        <v>13</v>
      </c>
      <c r="U4" s="19">
        <v>45979.0</v>
      </c>
      <c r="V4" s="16" t="s">
        <v>14</v>
      </c>
      <c r="W4" s="19">
        <v>46002.0</v>
      </c>
      <c r="X4" s="16" t="s">
        <v>16</v>
      </c>
      <c r="Y4" s="15">
        <v>46036.0</v>
      </c>
      <c r="Z4" s="15">
        <v>46063.0</v>
      </c>
      <c r="AA4" s="14" t="s">
        <v>17</v>
      </c>
      <c r="AB4" s="15">
        <v>46073.0</v>
      </c>
      <c r="AC4" s="16" t="s">
        <v>18</v>
      </c>
      <c r="AD4" s="16" t="s">
        <v>19</v>
      </c>
      <c r="AE4" s="21">
        <v>46161.0</v>
      </c>
      <c r="AF4" s="16" t="s">
        <v>21</v>
      </c>
      <c r="AG4" s="21">
        <v>46195.0</v>
      </c>
      <c r="AH4" s="21">
        <v>46211.0</v>
      </c>
      <c r="AI4" s="16" t="s">
        <v>22</v>
      </c>
      <c r="AJ4" s="21">
        <v>46223.0</v>
      </c>
      <c r="AK4" s="16" t="s">
        <v>24</v>
      </c>
      <c r="AL4" s="16" t="s">
        <v>25</v>
      </c>
      <c r="AM4" s="21">
        <v>46265.0</v>
      </c>
      <c r="AN4" s="16" t="s">
        <v>26</v>
      </c>
      <c r="AO4" s="21">
        <v>46293.0</v>
      </c>
    </row>
    <row r="5">
      <c r="A5" s="24">
        <v>8.44345919E9</v>
      </c>
      <c r="B5" s="38" t="s">
        <v>33</v>
      </c>
      <c r="C5" s="41" t="s">
        <v>35</v>
      </c>
      <c r="D5" s="7"/>
      <c r="E5" s="7"/>
      <c r="F5" s="42">
        <v>6.0</v>
      </c>
      <c r="G5" s="44"/>
      <c r="H5" s="7"/>
      <c r="I5" s="7"/>
      <c r="J5" s="7"/>
      <c r="K5" s="13">
        <v>1.0</v>
      </c>
      <c r="L5" s="7"/>
      <c r="M5" s="14" t="s">
        <v>41</v>
      </c>
      <c r="N5" s="14">
        <v>1.0</v>
      </c>
      <c r="O5" s="14">
        <v>2.0</v>
      </c>
      <c r="P5" s="8"/>
      <c r="Q5" s="8"/>
      <c r="R5" s="8"/>
      <c r="S5" s="8"/>
      <c r="T5" s="14">
        <v>1.0</v>
      </c>
      <c r="U5" s="14">
        <v>1.0</v>
      </c>
      <c r="V5" s="14">
        <v>2.0</v>
      </c>
      <c r="W5" s="8"/>
      <c r="X5" s="14">
        <v>2.0</v>
      </c>
      <c r="Y5" s="8"/>
      <c r="Z5" s="8"/>
      <c r="AA5" s="14">
        <v>1.0</v>
      </c>
      <c r="AB5" s="14">
        <v>1.0</v>
      </c>
      <c r="AC5" s="14">
        <v>2.0</v>
      </c>
      <c r="AD5" s="14">
        <v>0.0</v>
      </c>
      <c r="AE5" s="14">
        <v>2.0</v>
      </c>
      <c r="AF5" s="14">
        <v>2.0</v>
      </c>
      <c r="AG5" s="14"/>
      <c r="AH5" s="14"/>
      <c r="AI5" s="14" t="s">
        <v>49</v>
      </c>
      <c r="AJ5" s="14">
        <v>1.0</v>
      </c>
      <c r="AK5" s="14">
        <v>1.0</v>
      </c>
      <c r="AL5" s="14">
        <v>3.0</v>
      </c>
      <c r="AM5" s="14"/>
      <c r="AN5" s="14" t="s">
        <v>52</v>
      </c>
      <c r="AO5" s="14"/>
    </row>
    <row r="6">
      <c r="A6" s="24">
        <v>1.1731548122E10</v>
      </c>
      <c r="B6" s="38" t="s">
        <v>53</v>
      </c>
      <c r="C6" s="41" t="s">
        <v>54</v>
      </c>
      <c r="D6" s="7"/>
      <c r="E6" s="7"/>
      <c r="F6" s="42">
        <v>6.0</v>
      </c>
      <c r="G6" s="7"/>
      <c r="H6" s="7"/>
      <c r="I6" s="7"/>
      <c r="J6" s="7"/>
      <c r="K6" s="7"/>
      <c r="L6" s="7"/>
      <c r="M6" s="8"/>
      <c r="N6" s="8"/>
      <c r="O6" s="8"/>
      <c r="P6" s="8"/>
      <c r="Q6" s="8"/>
      <c r="R6" s="8"/>
      <c r="S6" s="8"/>
      <c r="T6" s="8"/>
      <c r="U6" s="14">
        <v>1.0</v>
      </c>
      <c r="V6" s="14">
        <v>0.0</v>
      </c>
      <c r="W6" s="14">
        <v>2.0</v>
      </c>
      <c r="X6" s="14">
        <v>1.0</v>
      </c>
      <c r="Y6" s="14">
        <v>1.0</v>
      </c>
      <c r="Z6" s="8"/>
      <c r="AA6" s="14">
        <v>2.0</v>
      </c>
      <c r="AB6" s="14"/>
      <c r="AC6" s="14">
        <v>2.0</v>
      </c>
      <c r="AD6" s="14">
        <v>1.0</v>
      </c>
      <c r="AE6" s="14">
        <v>1.0</v>
      </c>
      <c r="AF6" s="14">
        <v>2.0</v>
      </c>
      <c r="AG6" s="14"/>
      <c r="AH6" s="14"/>
      <c r="AI6" s="14">
        <v>2.0</v>
      </c>
      <c r="AJ6" s="14"/>
      <c r="AK6" s="14">
        <v>1.0</v>
      </c>
      <c r="AL6" s="14">
        <v>3.0</v>
      </c>
      <c r="AM6" s="14"/>
      <c r="AN6" s="14">
        <v>2.0</v>
      </c>
      <c r="AO6" s="45">
        <v>1.0</v>
      </c>
    </row>
    <row r="7">
      <c r="A7" s="24">
        <v>1.2017717122E10</v>
      </c>
      <c r="B7" s="38" t="s">
        <v>61</v>
      </c>
      <c r="C7" s="41" t="s">
        <v>54</v>
      </c>
      <c r="D7" s="7"/>
      <c r="E7" s="7"/>
      <c r="F7" s="7"/>
      <c r="G7" s="7"/>
      <c r="H7" s="7"/>
      <c r="I7" s="7"/>
      <c r="J7" s="7"/>
      <c r="K7" s="7"/>
      <c r="L7" s="7"/>
      <c r="M7" s="8"/>
      <c r="N7" s="8"/>
      <c r="O7" s="8"/>
      <c r="P7" s="8"/>
      <c r="Q7" s="8"/>
      <c r="R7" s="8"/>
      <c r="S7" s="8"/>
      <c r="T7" s="8"/>
      <c r="U7" s="51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>
      <c r="A8" s="24">
        <v>9.07787119E9</v>
      </c>
      <c r="B8" s="38" t="s">
        <v>74</v>
      </c>
      <c r="C8" s="41" t="s">
        <v>54</v>
      </c>
      <c r="D8" s="7"/>
      <c r="E8" s="7"/>
      <c r="F8" s="7"/>
      <c r="G8" s="7"/>
      <c r="H8" s="7"/>
      <c r="I8" s="7"/>
      <c r="J8" s="7"/>
      <c r="K8" s="7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>
      <c r="A9" s="24">
        <v>9.04329219E9</v>
      </c>
      <c r="B9" s="38" t="s">
        <v>80</v>
      </c>
      <c r="C9" s="41" t="s">
        <v>54</v>
      </c>
      <c r="D9" s="7"/>
      <c r="E9" s="7"/>
      <c r="F9" s="13">
        <v>6.0</v>
      </c>
      <c r="G9" s="7"/>
      <c r="H9" s="7"/>
      <c r="I9" s="7"/>
      <c r="J9" s="7"/>
      <c r="K9" s="7"/>
      <c r="L9" s="7"/>
      <c r="M9" s="8"/>
      <c r="N9" s="8"/>
      <c r="O9" s="8"/>
      <c r="P9" s="8"/>
      <c r="Q9" s="8"/>
      <c r="R9" s="8"/>
      <c r="S9" s="8"/>
      <c r="T9" s="8"/>
      <c r="U9" s="14">
        <v>1.0</v>
      </c>
      <c r="V9" s="14">
        <v>0.0</v>
      </c>
      <c r="W9" s="14">
        <v>2.0</v>
      </c>
      <c r="X9" s="14">
        <v>3.0</v>
      </c>
      <c r="Y9" s="8"/>
      <c r="Z9" s="8"/>
      <c r="AA9" s="14">
        <v>3.0</v>
      </c>
      <c r="AB9" s="14"/>
      <c r="AC9" s="14">
        <v>2.0</v>
      </c>
      <c r="AD9" s="16" t="s">
        <v>84</v>
      </c>
      <c r="AE9" s="16"/>
      <c r="AF9" s="16" t="s">
        <v>84</v>
      </c>
      <c r="AG9" s="16">
        <v>2.0</v>
      </c>
      <c r="AH9" s="16"/>
      <c r="AI9" s="16">
        <v>2.0</v>
      </c>
      <c r="AJ9" s="16"/>
      <c r="AK9" s="16">
        <v>1.0</v>
      </c>
      <c r="AL9" s="16">
        <v>3.0</v>
      </c>
      <c r="AM9" s="16"/>
      <c r="AN9" s="16">
        <v>3.0</v>
      </c>
      <c r="AO9" s="16"/>
    </row>
    <row r="10">
      <c r="A10" s="24">
        <v>6.52830919E9</v>
      </c>
      <c r="B10" s="38" t="s">
        <v>88</v>
      </c>
      <c r="C10" s="41" t="s">
        <v>54</v>
      </c>
      <c r="D10" s="7"/>
      <c r="E10" s="7"/>
      <c r="F10" s="7"/>
      <c r="G10" s="7"/>
      <c r="H10" s="7"/>
      <c r="I10" s="7"/>
      <c r="J10" s="7"/>
      <c r="K10" s="7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>
      <c r="A11" s="24">
        <v>8.99140519E9</v>
      </c>
      <c r="B11" s="38" t="s">
        <v>95</v>
      </c>
      <c r="C11" s="41" t="s">
        <v>54</v>
      </c>
      <c r="D11" s="7"/>
      <c r="E11" s="7"/>
      <c r="F11" s="7"/>
      <c r="G11" s="7"/>
      <c r="H11" s="7"/>
      <c r="I11" s="7"/>
      <c r="J11" s="7"/>
      <c r="K11" s="7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>
      <c r="A12" s="24">
        <v>6.47293119E9</v>
      </c>
      <c r="B12" s="38" t="s">
        <v>99</v>
      </c>
      <c r="C12" s="41" t="s">
        <v>100</v>
      </c>
      <c r="D12" s="7"/>
      <c r="E12" s="7"/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15.75" customHeight="1">
      <c r="A13" s="24">
        <v>9.00503019E9</v>
      </c>
      <c r="B13" s="38" t="s">
        <v>103</v>
      </c>
      <c r="C13" s="41" t="s">
        <v>100</v>
      </c>
      <c r="D13" s="7"/>
      <c r="E13" s="7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14" t="s">
        <v>106</v>
      </c>
      <c r="AG13" s="14"/>
      <c r="AH13" s="14"/>
      <c r="AI13" s="14"/>
      <c r="AJ13" s="14"/>
      <c r="AK13" s="14"/>
      <c r="AL13" s="14"/>
      <c r="AM13" s="14"/>
      <c r="AN13" s="14"/>
      <c r="AO13" s="14"/>
    </row>
    <row r="14">
      <c r="A14" s="24">
        <v>8.49664119E9</v>
      </c>
      <c r="B14" s="38" t="s">
        <v>109</v>
      </c>
      <c r="C14" s="41" t="s">
        <v>110</v>
      </c>
      <c r="D14" s="7"/>
      <c r="E14" s="7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>
      <c r="A15" s="58">
        <v>3.56109719E9</v>
      </c>
      <c r="B15" s="38" t="s">
        <v>116</v>
      </c>
      <c r="C15" s="41" t="s">
        <v>54</v>
      </c>
      <c r="D15" s="7"/>
      <c r="E15" s="7"/>
      <c r="F15" s="13">
        <v>3.0</v>
      </c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  <c r="R15" s="8"/>
      <c r="S15" s="8"/>
      <c r="T15" s="14">
        <v>0.0</v>
      </c>
      <c r="U15" s="14">
        <v>1.0</v>
      </c>
      <c r="V15" s="14">
        <v>0.0</v>
      </c>
      <c r="W15" s="14">
        <v>2.0</v>
      </c>
      <c r="X15" s="14">
        <v>3.0</v>
      </c>
      <c r="Y15" s="8"/>
      <c r="Z15" s="8"/>
      <c r="AA15" s="14">
        <v>2.0</v>
      </c>
      <c r="AB15" s="14"/>
      <c r="AC15" s="14">
        <v>2.0</v>
      </c>
      <c r="AD15" s="14">
        <v>2.0</v>
      </c>
      <c r="AE15" s="14"/>
      <c r="AF15" s="14">
        <v>2.0</v>
      </c>
      <c r="AG15" s="14"/>
      <c r="AH15" s="14"/>
      <c r="AI15" s="14">
        <v>1.0</v>
      </c>
      <c r="AJ15" s="14">
        <v>1.0</v>
      </c>
      <c r="AK15" s="14">
        <v>1.0</v>
      </c>
      <c r="AL15" s="14">
        <v>2.0</v>
      </c>
      <c r="AM15" s="14"/>
      <c r="AN15" s="14">
        <v>2.0</v>
      </c>
      <c r="AO15" s="14">
        <v>1.0</v>
      </c>
    </row>
    <row r="16">
      <c r="A16" s="24">
        <v>8.93241719E9</v>
      </c>
      <c r="B16" s="38" t="s">
        <v>122</v>
      </c>
      <c r="C16" s="41" t="s">
        <v>54</v>
      </c>
      <c r="D16" s="7"/>
      <c r="E16" s="7"/>
      <c r="F16" s="7"/>
      <c r="G16" s="7"/>
      <c r="H16" s="7"/>
      <c r="I16" s="7"/>
      <c r="J16" s="7"/>
      <c r="K16" s="7"/>
      <c r="L16" s="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>
      <c r="A17" s="24">
        <v>6.65604819E9</v>
      </c>
      <c r="B17" s="38" t="s">
        <v>126</v>
      </c>
      <c r="C17" s="41" t="s">
        <v>54</v>
      </c>
      <c r="D17" s="7"/>
      <c r="E17" s="7"/>
      <c r="F17" s="13">
        <v>8.0</v>
      </c>
      <c r="G17" s="7"/>
      <c r="H17" s="7"/>
      <c r="I17" s="7"/>
      <c r="J17" s="7"/>
      <c r="K17" s="7"/>
      <c r="L17" s="7"/>
      <c r="M17" s="8"/>
      <c r="N17" s="8"/>
      <c r="O17" s="8"/>
      <c r="P17" s="14">
        <v>1.0</v>
      </c>
      <c r="Q17" s="8"/>
      <c r="R17" s="8"/>
      <c r="S17" s="8"/>
      <c r="T17" s="14">
        <v>0.0</v>
      </c>
      <c r="U17" s="14">
        <v>1.0</v>
      </c>
      <c r="V17" s="14">
        <v>1.0</v>
      </c>
      <c r="W17" s="14">
        <v>1.0</v>
      </c>
      <c r="X17" s="14">
        <v>1.0</v>
      </c>
      <c r="Y17" s="14">
        <v>1.0</v>
      </c>
      <c r="Z17" s="8"/>
      <c r="AA17" s="14">
        <v>1.0</v>
      </c>
      <c r="AB17" s="14">
        <v>1.0</v>
      </c>
      <c r="AC17" s="14">
        <v>2.0</v>
      </c>
      <c r="AD17" s="14">
        <v>1.0</v>
      </c>
      <c r="AE17" s="14">
        <v>1.0</v>
      </c>
      <c r="AF17" s="14">
        <v>2.0</v>
      </c>
      <c r="AG17" s="14"/>
      <c r="AH17" s="14"/>
      <c r="AI17" s="14">
        <v>2.0</v>
      </c>
      <c r="AJ17" s="14"/>
      <c r="AK17" s="14">
        <v>1.0</v>
      </c>
      <c r="AL17" s="14">
        <v>3.0</v>
      </c>
      <c r="AM17" s="14"/>
      <c r="AN17" s="14">
        <v>2.0</v>
      </c>
      <c r="AO17" s="45">
        <v>1.0</v>
      </c>
    </row>
    <row r="18">
      <c r="A18" s="24">
        <v>7.09254719E9</v>
      </c>
      <c r="B18" s="38" t="s">
        <v>131</v>
      </c>
      <c r="C18" s="41" t="s">
        <v>54</v>
      </c>
      <c r="D18" s="7"/>
      <c r="E18" s="7"/>
      <c r="F18" s="7"/>
      <c r="G18" s="7"/>
      <c r="H18" s="7"/>
      <c r="I18" s="7"/>
      <c r="J18" s="7"/>
      <c r="K18" s="7"/>
      <c r="L18" s="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>
      <c r="A19" s="24">
        <v>3.27735619E9</v>
      </c>
      <c r="B19" s="38" t="s">
        <v>133</v>
      </c>
      <c r="C19" s="41" t="s">
        <v>54</v>
      </c>
      <c r="D19" s="7"/>
      <c r="E19" s="7"/>
      <c r="F19" s="13">
        <v>5.0</v>
      </c>
      <c r="G19" s="7"/>
      <c r="H19" s="7"/>
      <c r="I19" s="7"/>
      <c r="J19" s="7"/>
      <c r="K19" s="7"/>
      <c r="L19" s="7"/>
      <c r="M19" s="8"/>
      <c r="N19" s="8"/>
      <c r="O19" s="8"/>
      <c r="P19" s="8"/>
      <c r="Q19" s="8"/>
      <c r="R19" s="8"/>
      <c r="S19" s="8"/>
      <c r="T19" s="8"/>
      <c r="U19" s="14">
        <v>1.0</v>
      </c>
      <c r="V19" s="14">
        <v>1.0</v>
      </c>
      <c r="W19" s="14">
        <v>1.0</v>
      </c>
      <c r="X19" s="14">
        <v>2.0</v>
      </c>
      <c r="Y19" s="8"/>
      <c r="Z19" s="8"/>
      <c r="AA19" s="14">
        <v>2.0</v>
      </c>
      <c r="AB19" s="14"/>
      <c r="AC19" s="14">
        <v>2.0</v>
      </c>
      <c r="AD19" s="14">
        <v>2.0</v>
      </c>
      <c r="AE19" s="14"/>
      <c r="AF19" s="14">
        <v>2.0</v>
      </c>
      <c r="AG19" s="14"/>
      <c r="AH19" s="14"/>
      <c r="AI19" s="14">
        <v>2.0</v>
      </c>
      <c r="AJ19" s="14"/>
      <c r="AK19" s="14">
        <v>1.0</v>
      </c>
      <c r="AL19" s="14">
        <v>3.0</v>
      </c>
      <c r="AM19" s="14"/>
      <c r="AN19" s="14">
        <v>3.0</v>
      </c>
      <c r="AO19" s="14"/>
    </row>
    <row r="20">
      <c r="A20" s="24">
        <v>5.20223019E9</v>
      </c>
      <c r="B20" s="38" t="s">
        <v>141</v>
      </c>
      <c r="C20" s="41" t="s">
        <v>54</v>
      </c>
      <c r="D20" s="7"/>
      <c r="E20" s="7"/>
      <c r="F20" s="13">
        <v>5.0</v>
      </c>
      <c r="G20" s="13"/>
      <c r="H20" s="7"/>
      <c r="I20" s="7"/>
      <c r="J20" s="7"/>
      <c r="K20" s="13">
        <v>0.0</v>
      </c>
      <c r="L20" s="7"/>
      <c r="M20" s="14">
        <v>0.0</v>
      </c>
      <c r="N20" s="14">
        <v>1.0</v>
      </c>
      <c r="O20" s="14">
        <v>1.0</v>
      </c>
      <c r="P20" s="14"/>
      <c r="Q20" s="8"/>
      <c r="R20" s="8"/>
      <c r="S20" s="8"/>
      <c r="T20" s="14">
        <v>1.0</v>
      </c>
      <c r="U20" s="14"/>
      <c r="V20" s="14">
        <v>2.0</v>
      </c>
      <c r="W20" s="8"/>
      <c r="X20" s="14">
        <v>2.0</v>
      </c>
      <c r="Y20" s="8"/>
      <c r="Z20" s="8"/>
      <c r="AA20" s="14">
        <v>2.0</v>
      </c>
      <c r="AB20" s="14"/>
      <c r="AC20" s="14">
        <v>1.0</v>
      </c>
      <c r="AD20" s="14"/>
      <c r="AE20" s="14">
        <v>1.0</v>
      </c>
      <c r="AF20" s="14">
        <v>1.0</v>
      </c>
      <c r="AG20" s="14">
        <v>1.0</v>
      </c>
      <c r="AH20" s="14"/>
      <c r="AI20" s="14">
        <v>2.0</v>
      </c>
      <c r="AJ20" s="14"/>
      <c r="AK20" s="14">
        <v>1.0</v>
      </c>
      <c r="AL20" s="14">
        <v>3.0</v>
      </c>
      <c r="AM20" s="14"/>
      <c r="AN20" s="14">
        <v>3.0</v>
      </c>
      <c r="AO20" s="14"/>
    </row>
    <row r="21">
      <c r="A21" s="24">
        <v>3.05202819E9</v>
      </c>
      <c r="B21" s="38" t="s">
        <v>148</v>
      </c>
      <c r="C21" s="41" t="s">
        <v>54</v>
      </c>
      <c r="D21" s="7"/>
      <c r="E21" s="7"/>
      <c r="F21" s="7"/>
      <c r="G21" s="7"/>
      <c r="H21" s="7"/>
      <c r="I21" s="7"/>
      <c r="J21" s="7"/>
      <c r="K21" s="7"/>
      <c r="L21" s="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>
      <c r="A22" s="24">
        <v>3.000095122E9</v>
      </c>
      <c r="B22" s="38" t="s">
        <v>153</v>
      </c>
      <c r="C22" s="41" t="s">
        <v>54</v>
      </c>
      <c r="D22" s="7"/>
      <c r="E22" s="7"/>
      <c r="F22" s="7"/>
      <c r="G22" s="7"/>
      <c r="H22" s="7"/>
      <c r="I22" s="7"/>
      <c r="J22" s="7"/>
      <c r="K22" s="7"/>
      <c r="L22" s="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>
      <c r="A23" s="24">
        <v>3.30265219E9</v>
      </c>
      <c r="B23" s="38" t="s">
        <v>155</v>
      </c>
      <c r="C23" s="41" t="s">
        <v>54</v>
      </c>
      <c r="D23" s="7"/>
      <c r="E23" s="7"/>
      <c r="F23" s="7"/>
      <c r="G23" s="7"/>
      <c r="H23" s="7"/>
      <c r="I23" s="7"/>
      <c r="J23" s="7"/>
      <c r="K23" s="7"/>
      <c r="L23" s="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>
      <c r="A24" s="24">
        <v>9.01329619E9</v>
      </c>
      <c r="B24" s="38" t="s">
        <v>157</v>
      </c>
      <c r="C24" s="41" t="s">
        <v>54</v>
      </c>
      <c r="D24" s="7"/>
      <c r="E24" s="7"/>
      <c r="F24" s="7"/>
      <c r="G24" s="7"/>
      <c r="H24" s="7"/>
      <c r="I24" s="7"/>
      <c r="J24" s="7"/>
      <c r="K24" s="7"/>
      <c r="L24" s="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>
      <c r="A25" s="24">
        <v>4.8540802E9</v>
      </c>
      <c r="B25" s="38" t="s">
        <v>159</v>
      </c>
      <c r="C25" s="41" t="s">
        <v>54</v>
      </c>
      <c r="D25" s="7"/>
      <c r="E25" s="7"/>
      <c r="F25" s="7"/>
      <c r="G25" s="7"/>
      <c r="H25" s="7"/>
      <c r="I25" s="7"/>
      <c r="J25" s="7"/>
      <c r="K25" s="7"/>
      <c r="L25" s="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>
      <c r="A26" s="24">
        <v>4.8541012E9</v>
      </c>
      <c r="B26" s="38" t="s">
        <v>162</v>
      </c>
      <c r="C26" s="41" t="s">
        <v>54</v>
      </c>
      <c r="D26" s="7"/>
      <c r="E26" s="7"/>
      <c r="F26" s="7"/>
      <c r="G26" s="7"/>
      <c r="H26" s="7"/>
      <c r="I26" s="7"/>
      <c r="J26" s="7"/>
      <c r="K26" s="7"/>
      <c r="L26" s="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>
      <c r="A27" s="24">
        <v>7.67986619E9</v>
      </c>
      <c r="B27" s="38" t="s">
        <v>165</v>
      </c>
      <c r="C27" s="41" t="s">
        <v>54</v>
      </c>
      <c r="D27" s="7"/>
      <c r="E27" s="7"/>
      <c r="F27" s="7"/>
      <c r="G27" s="7"/>
      <c r="H27" s="7"/>
      <c r="I27" s="7"/>
      <c r="J27" s="7"/>
      <c r="K27" s="7"/>
      <c r="L27" s="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>
      <c r="A28" s="24">
        <v>5.14470119E9</v>
      </c>
      <c r="B28" s="38" t="s">
        <v>166</v>
      </c>
      <c r="C28" s="41" t="s">
        <v>54</v>
      </c>
      <c r="D28" s="7"/>
      <c r="E28" s="7"/>
      <c r="F28" s="7"/>
      <c r="G28" s="7"/>
      <c r="H28" s="7"/>
      <c r="I28" s="7"/>
      <c r="J28" s="7"/>
      <c r="K28" s="7"/>
      <c r="L28" s="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>
      <c r="A29" s="24">
        <v>5.10953119E9</v>
      </c>
      <c r="B29" s="38" t="s">
        <v>169</v>
      </c>
      <c r="C29" s="41" t="s">
        <v>54</v>
      </c>
      <c r="D29" s="7"/>
      <c r="E29" s="7"/>
      <c r="F29" s="7"/>
      <c r="G29" s="7"/>
      <c r="H29" s="7"/>
      <c r="I29" s="7"/>
      <c r="J29" s="7"/>
      <c r="K29" s="7"/>
      <c r="L29" s="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14.25" customHeight="1">
      <c r="A30" s="24">
        <v>3.18491919E9</v>
      </c>
      <c r="B30" s="38" t="s">
        <v>171</v>
      </c>
      <c r="C30" s="41" t="s">
        <v>54</v>
      </c>
      <c r="D30" s="7"/>
      <c r="E30" s="7"/>
      <c r="F30" s="13">
        <v>8.0</v>
      </c>
      <c r="G30" s="7"/>
      <c r="H30" s="7"/>
      <c r="I30" s="7"/>
      <c r="J30" s="7"/>
      <c r="K30" s="7"/>
      <c r="L30" s="7"/>
      <c r="M30" s="8"/>
      <c r="N30" s="8"/>
      <c r="O30" s="8"/>
      <c r="P30" s="8"/>
      <c r="Q30" s="8"/>
      <c r="R30" s="8"/>
      <c r="S30" s="14">
        <v>2.0</v>
      </c>
      <c r="T30" s="14">
        <v>0.0</v>
      </c>
      <c r="U30" s="14">
        <v>1.0</v>
      </c>
      <c r="V30" s="14">
        <v>0.0</v>
      </c>
      <c r="W30" s="14">
        <v>2.0</v>
      </c>
      <c r="X30" s="14">
        <v>2.0</v>
      </c>
      <c r="Y30" s="8"/>
      <c r="Z30" s="8"/>
      <c r="AA30" s="14">
        <v>2.0</v>
      </c>
      <c r="AB30" s="14"/>
      <c r="AC30" s="14">
        <v>2.0</v>
      </c>
      <c r="AD30" s="14">
        <v>2.0</v>
      </c>
      <c r="AE30" s="14"/>
      <c r="AF30" s="14">
        <v>2.0</v>
      </c>
      <c r="AG30" s="14"/>
      <c r="AH30" s="14"/>
      <c r="AI30" s="14">
        <v>2.0</v>
      </c>
      <c r="AJ30" s="14"/>
      <c r="AK30" s="14">
        <v>1.0</v>
      </c>
      <c r="AL30" s="14">
        <v>3.0</v>
      </c>
      <c r="AM30" s="14"/>
      <c r="AN30" s="14">
        <v>3.0</v>
      </c>
      <c r="AO30" s="14"/>
    </row>
    <row r="31">
      <c r="A31" s="24">
        <v>1.2017504122E10</v>
      </c>
      <c r="B31" s="38" t="s">
        <v>170</v>
      </c>
      <c r="C31" s="41" t="s">
        <v>54</v>
      </c>
      <c r="D31" s="7"/>
      <c r="E31" s="7"/>
      <c r="F31" s="13">
        <v>5.0</v>
      </c>
      <c r="G31" s="7"/>
      <c r="H31" s="7"/>
      <c r="I31" s="7"/>
      <c r="J31" s="7"/>
      <c r="K31" s="7"/>
      <c r="L31" s="7"/>
      <c r="M31" s="8"/>
      <c r="N31" s="8"/>
      <c r="O31" s="8"/>
      <c r="P31" s="8"/>
      <c r="Q31" s="8"/>
      <c r="R31" s="8"/>
      <c r="S31" s="8"/>
      <c r="T31" s="14">
        <v>0.0</v>
      </c>
      <c r="U31" s="14">
        <v>1.0</v>
      </c>
      <c r="V31" s="14">
        <v>0.0</v>
      </c>
      <c r="W31" s="14">
        <v>2.0</v>
      </c>
      <c r="X31" s="14">
        <v>2.0</v>
      </c>
      <c r="Y31" s="8"/>
      <c r="Z31" s="8"/>
      <c r="AA31" s="14">
        <v>2.0</v>
      </c>
      <c r="AB31" s="14"/>
      <c r="AC31" s="14">
        <v>2.0</v>
      </c>
      <c r="AD31" s="14">
        <v>1.0</v>
      </c>
      <c r="AE31" s="14"/>
      <c r="AF31" s="16" t="s">
        <v>176</v>
      </c>
      <c r="AG31" s="16"/>
      <c r="AH31" s="16"/>
      <c r="AI31" s="16"/>
      <c r="AJ31" s="16"/>
      <c r="AK31" s="16"/>
      <c r="AL31" s="16"/>
      <c r="AM31" s="16"/>
      <c r="AN31" s="16"/>
      <c r="AO31" s="16"/>
    </row>
    <row r="32">
      <c r="A32" s="24">
        <v>6.68775019E9</v>
      </c>
      <c r="B32" s="38" t="s">
        <v>179</v>
      </c>
      <c r="C32" s="41" t="s">
        <v>54</v>
      </c>
      <c r="D32" s="7"/>
      <c r="E32" s="7"/>
      <c r="F32" s="7"/>
      <c r="G32" s="7"/>
      <c r="H32" s="7"/>
      <c r="I32" s="7"/>
      <c r="J32" s="7"/>
      <c r="K32" s="7"/>
      <c r="L32" s="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>
      <c r="A33" s="24">
        <v>9.29094019E9</v>
      </c>
      <c r="B33" s="38" t="s">
        <v>182</v>
      </c>
      <c r="C33" s="41" t="s">
        <v>54</v>
      </c>
      <c r="D33" s="7"/>
      <c r="E33" s="7"/>
      <c r="F33" s="7"/>
      <c r="G33" s="7"/>
      <c r="H33" s="7"/>
      <c r="I33" s="7"/>
      <c r="J33" s="7"/>
      <c r="K33" s="7"/>
      <c r="L33" s="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>
      <c r="A34" s="58">
        <v>8.95982019E9</v>
      </c>
      <c r="B34" s="38" t="s">
        <v>183</v>
      </c>
      <c r="C34" s="41" t="s">
        <v>54</v>
      </c>
      <c r="D34" s="7"/>
      <c r="E34" s="7"/>
      <c r="F34" s="13">
        <v>9.0</v>
      </c>
      <c r="G34" s="24"/>
      <c r="H34" s="7"/>
      <c r="I34" s="7"/>
      <c r="J34" s="7"/>
      <c r="K34" s="7"/>
      <c r="L34" s="7"/>
      <c r="M34" s="8"/>
      <c r="N34" s="8"/>
      <c r="O34" s="8"/>
      <c r="P34" s="14">
        <v>1.0</v>
      </c>
      <c r="Q34" s="8"/>
      <c r="R34" s="8"/>
      <c r="S34" s="8"/>
      <c r="T34" s="14">
        <v>0.0</v>
      </c>
      <c r="U34" s="14">
        <v>1.0</v>
      </c>
      <c r="V34" s="14">
        <v>1.0</v>
      </c>
      <c r="W34" s="14">
        <v>1.0</v>
      </c>
      <c r="X34" s="14">
        <v>2.0</v>
      </c>
      <c r="Y34" s="8"/>
      <c r="Z34" s="8"/>
      <c r="AA34" s="14">
        <v>2.0</v>
      </c>
      <c r="AB34" s="14"/>
      <c r="AC34" s="14">
        <v>2.0</v>
      </c>
      <c r="AD34" s="16" t="s">
        <v>185</v>
      </c>
      <c r="AE34" s="16">
        <v>1.0</v>
      </c>
      <c r="AF34" s="16">
        <v>1.0</v>
      </c>
      <c r="AG34" s="16"/>
      <c r="AH34" s="16"/>
      <c r="AI34" s="16">
        <v>1.0</v>
      </c>
      <c r="AJ34" s="16">
        <v>1.0</v>
      </c>
      <c r="AK34" s="16">
        <v>1.0</v>
      </c>
      <c r="AL34" s="16" t="s">
        <v>49</v>
      </c>
      <c r="AM34" s="54">
        <v>1.0</v>
      </c>
      <c r="AN34" s="73">
        <v>1.0</v>
      </c>
      <c r="AO34" s="74">
        <v>2.0</v>
      </c>
    </row>
    <row r="35">
      <c r="A35" s="24">
        <v>5.39013319E9</v>
      </c>
      <c r="B35" s="38" t="s">
        <v>174</v>
      </c>
      <c r="C35" s="41" t="s">
        <v>54</v>
      </c>
      <c r="D35" s="7"/>
      <c r="E35" s="7"/>
      <c r="F35" s="7"/>
      <c r="G35" s="7"/>
      <c r="H35" s="7"/>
      <c r="I35" s="7"/>
      <c r="J35" s="7"/>
      <c r="K35" s="7"/>
      <c r="L35" s="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>
      <c r="A36" s="24">
        <v>9.01332619E9</v>
      </c>
      <c r="B36" s="38" t="s">
        <v>190</v>
      </c>
      <c r="C36" s="41" t="s">
        <v>54</v>
      </c>
      <c r="D36" s="7"/>
      <c r="E36" s="7"/>
      <c r="F36" s="7"/>
      <c r="G36" s="7"/>
      <c r="H36" s="7"/>
      <c r="I36" s="7"/>
      <c r="J36" s="7"/>
      <c r="K36" s="7"/>
      <c r="L36" s="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>
      <c r="A37" s="24">
        <v>7.95720319E9</v>
      </c>
      <c r="B37" s="38" t="s">
        <v>194</v>
      </c>
      <c r="C37" s="41" t="s">
        <v>54</v>
      </c>
      <c r="D37" s="7"/>
      <c r="E37" s="7"/>
      <c r="F37" s="7"/>
      <c r="G37" s="7"/>
      <c r="H37" s="7"/>
      <c r="I37" s="7"/>
      <c r="J37" s="7"/>
      <c r="K37" s="7"/>
      <c r="L37" s="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>
      <c r="A38" s="24">
        <v>8.83853419E9</v>
      </c>
      <c r="B38" s="38" t="s">
        <v>175</v>
      </c>
      <c r="C38" s="41" t="s">
        <v>54</v>
      </c>
      <c r="D38" s="7"/>
      <c r="E38" s="7"/>
      <c r="F38" s="7"/>
      <c r="G38" s="7"/>
      <c r="H38" s="7"/>
      <c r="I38" s="7"/>
      <c r="J38" s="7"/>
      <c r="K38" s="7"/>
      <c r="L38" s="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>
      <c r="A39" s="24">
        <v>8.85196419E9</v>
      </c>
      <c r="B39" s="38" t="s">
        <v>177</v>
      </c>
      <c r="C39" s="41" t="s">
        <v>54</v>
      </c>
      <c r="D39" s="7"/>
      <c r="E39" s="7"/>
      <c r="F39" s="7"/>
      <c r="G39" s="7"/>
      <c r="H39" s="7"/>
      <c r="I39" s="7"/>
      <c r="J39" s="7"/>
      <c r="K39" s="7"/>
      <c r="L39" s="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>
      <c r="A40" s="24">
        <v>9.22726119E9</v>
      </c>
      <c r="B40" s="38" t="s">
        <v>180</v>
      </c>
      <c r="C40" s="41" t="s">
        <v>54</v>
      </c>
      <c r="D40" s="7"/>
      <c r="E40" s="7"/>
      <c r="F40" s="7"/>
      <c r="G40" s="7"/>
      <c r="H40" s="7"/>
      <c r="I40" s="7"/>
      <c r="J40" s="7"/>
      <c r="K40" s="7"/>
      <c r="L40" s="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>
      <c r="A41" s="24">
        <v>1.1731645322E10</v>
      </c>
      <c r="B41" s="38" t="s">
        <v>181</v>
      </c>
      <c r="C41" s="41" t="s">
        <v>54</v>
      </c>
      <c r="D41" s="7"/>
      <c r="E41" s="7"/>
      <c r="F41" s="7"/>
      <c r="G41" s="7"/>
      <c r="H41" s="7"/>
      <c r="I41" s="7"/>
      <c r="J41" s="7"/>
      <c r="K41" s="7"/>
      <c r="L41" s="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>
      <c r="A42" s="24">
        <v>7.03020719E9</v>
      </c>
      <c r="B42" s="38" t="s">
        <v>184</v>
      </c>
      <c r="C42" s="41" t="s">
        <v>54</v>
      </c>
      <c r="D42" s="7"/>
      <c r="E42" s="7"/>
      <c r="F42" s="7"/>
      <c r="G42" s="7"/>
      <c r="H42" s="7"/>
      <c r="I42" s="7"/>
      <c r="J42" s="7"/>
      <c r="K42" s="7"/>
      <c r="L42" s="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>
      <c r="A43" s="24">
        <v>3.045846122E9</v>
      </c>
      <c r="B43" s="38" t="s">
        <v>186</v>
      </c>
      <c r="C43" s="41" t="s">
        <v>54</v>
      </c>
      <c r="D43" s="7"/>
      <c r="E43" s="7"/>
      <c r="F43" s="7"/>
      <c r="G43" s="7"/>
      <c r="H43" s="7"/>
      <c r="I43" s="7"/>
      <c r="J43" s="7"/>
      <c r="K43" s="7"/>
      <c r="L43" s="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>
      <c r="A44" s="24">
        <v>1.1776215122E10</v>
      </c>
      <c r="B44" s="38" t="s">
        <v>209</v>
      </c>
      <c r="C44" s="41" t="s">
        <v>54</v>
      </c>
      <c r="D44" s="7"/>
      <c r="E44" s="7"/>
      <c r="F44" s="7"/>
      <c r="G44" s="7"/>
      <c r="H44" s="7"/>
      <c r="I44" s="7"/>
      <c r="J44" s="7"/>
      <c r="K44" s="7"/>
      <c r="L44" s="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>
      <c r="A45" s="24">
        <v>1.1820974322E10</v>
      </c>
      <c r="B45" s="38" t="s">
        <v>214</v>
      </c>
      <c r="C45" s="41" t="s">
        <v>54</v>
      </c>
      <c r="D45" s="7"/>
      <c r="E45" s="7"/>
      <c r="F45" s="7"/>
      <c r="G45" s="7"/>
      <c r="H45" s="7"/>
      <c r="I45" s="7"/>
      <c r="J45" s="7"/>
      <c r="K45" s="7"/>
      <c r="L45" s="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>
      <c r="A46" s="24">
        <v>9.17513019E9</v>
      </c>
      <c r="B46" s="38" t="s">
        <v>216</v>
      </c>
      <c r="C46" s="41" t="s">
        <v>54</v>
      </c>
      <c r="D46" s="7"/>
      <c r="E46" s="7"/>
      <c r="F46" s="7"/>
      <c r="G46" s="7"/>
      <c r="H46" s="7"/>
      <c r="I46" s="7"/>
      <c r="J46" s="7"/>
      <c r="K46" s="7"/>
      <c r="L46" s="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>
      <c r="A47" s="24">
        <v>1.2133121122E10</v>
      </c>
      <c r="B47" s="38" t="s">
        <v>219</v>
      </c>
      <c r="C47" s="41" t="s">
        <v>54</v>
      </c>
      <c r="D47" s="7"/>
      <c r="E47" s="7"/>
      <c r="F47" s="7"/>
      <c r="G47" s="7"/>
      <c r="H47" s="7"/>
      <c r="I47" s="7"/>
      <c r="J47" s="7"/>
      <c r="K47" s="7"/>
      <c r="L47" s="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>
      <c r="A48" s="24">
        <v>3.28983419E9</v>
      </c>
      <c r="B48" s="38" t="s">
        <v>223</v>
      </c>
      <c r="C48" s="41" t="s">
        <v>54</v>
      </c>
      <c r="D48" s="7"/>
      <c r="E48" s="7"/>
      <c r="F48" s="7"/>
      <c r="G48" s="7"/>
      <c r="H48" s="7"/>
      <c r="I48" s="7"/>
      <c r="J48" s="7"/>
      <c r="K48" s="7"/>
      <c r="L48" s="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>
      <c r="A49" s="24">
        <v>5.95094519E9</v>
      </c>
      <c r="B49" s="38" t="s">
        <v>229</v>
      </c>
      <c r="C49" s="41" t="s">
        <v>54</v>
      </c>
      <c r="D49" s="7"/>
      <c r="E49" s="7"/>
      <c r="F49" s="7"/>
      <c r="G49" s="7"/>
      <c r="H49" s="7"/>
      <c r="I49" s="7"/>
      <c r="J49" s="7"/>
      <c r="K49" s="7"/>
      <c r="L49" s="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>
      <c r="A50" s="24">
        <v>8.33363719E9</v>
      </c>
      <c r="B50" s="38" t="s">
        <v>234</v>
      </c>
      <c r="C50" s="41" t="s">
        <v>54</v>
      </c>
      <c r="D50" s="7"/>
      <c r="E50" s="7"/>
      <c r="F50" s="7"/>
      <c r="G50" s="7"/>
      <c r="H50" s="7"/>
      <c r="I50" s="7"/>
      <c r="J50" s="7"/>
      <c r="K50" s="7"/>
      <c r="L50" s="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>
      <c r="A51" s="24">
        <v>6.50597019E9</v>
      </c>
      <c r="B51" s="38" t="s">
        <v>238</v>
      </c>
      <c r="C51" s="41" t="s">
        <v>54</v>
      </c>
      <c r="D51" s="7"/>
      <c r="E51" s="7"/>
      <c r="F51" s="7"/>
      <c r="G51" s="7"/>
      <c r="H51" s="7"/>
      <c r="I51" s="7"/>
      <c r="J51" s="7"/>
      <c r="K51" s="7"/>
      <c r="L51" s="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>
      <c r="A52" s="24">
        <v>7.12699919E9</v>
      </c>
      <c r="B52" s="38" t="s">
        <v>240</v>
      </c>
      <c r="C52" s="41" t="s">
        <v>54</v>
      </c>
      <c r="D52" s="7"/>
      <c r="E52" s="7"/>
      <c r="F52" s="7"/>
      <c r="G52" s="7"/>
      <c r="H52" s="7"/>
      <c r="I52" s="7"/>
      <c r="J52" s="7"/>
      <c r="K52" s="7"/>
      <c r="L52" s="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>
      <c r="A53" s="24">
        <v>1.1820907322E10</v>
      </c>
      <c r="B53" s="38" t="s">
        <v>243</v>
      </c>
      <c r="C53" s="41" t="s">
        <v>100</v>
      </c>
      <c r="D53" s="7"/>
      <c r="E53" s="7"/>
      <c r="F53" s="7"/>
      <c r="G53" s="7"/>
      <c r="H53" s="7"/>
      <c r="I53" s="7"/>
      <c r="J53" s="7"/>
      <c r="K53" s="7"/>
      <c r="L53" s="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>
      <c r="A54" s="24">
        <v>7.39466719E9</v>
      </c>
      <c r="B54" s="38" t="s">
        <v>248</v>
      </c>
      <c r="C54" s="41" t="s">
        <v>54</v>
      </c>
      <c r="D54" s="7"/>
      <c r="E54" s="7"/>
      <c r="F54" s="7"/>
      <c r="G54" s="7"/>
      <c r="H54" s="7"/>
      <c r="I54" s="7"/>
      <c r="J54" s="7"/>
      <c r="K54" s="7"/>
      <c r="L54" s="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>
      <c r="A55" s="24">
        <v>7.39467519E9</v>
      </c>
      <c r="B55" s="38" t="s">
        <v>255</v>
      </c>
      <c r="C55" s="41" t="s">
        <v>54</v>
      </c>
      <c r="D55" s="7"/>
      <c r="E55" s="7"/>
      <c r="F55" s="7"/>
      <c r="G55" s="7"/>
      <c r="H55" s="7"/>
      <c r="I55" s="7"/>
      <c r="J55" s="7"/>
      <c r="K55" s="7"/>
      <c r="L55" s="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>
      <c r="A56" s="24">
        <v>7.12594119E9</v>
      </c>
      <c r="B56" s="38" t="s">
        <v>262</v>
      </c>
      <c r="C56" s="41" t="s">
        <v>54</v>
      </c>
      <c r="D56" s="7"/>
      <c r="E56" s="7"/>
      <c r="F56" s="7"/>
      <c r="G56" s="7"/>
      <c r="H56" s="7"/>
      <c r="I56" s="7"/>
      <c r="J56" s="7"/>
      <c r="K56" s="7"/>
      <c r="L56" s="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>
      <c r="A57" s="24">
        <v>9.31537319E9</v>
      </c>
      <c r="B57" s="38" t="s">
        <v>189</v>
      </c>
      <c r="C57" s="41" t="s">
        <v>54</v>
      </c>
      <c r="D57" s="7"/>
      <c r="E57" s="7"/>
      <c r="F57" s="7"/>
      <c r="G57" s="7"/>
      <c r="H57" s="7"/>
      <c r="I57" s="7"/>
      <c r="J57" s="7"/>
      <c r="K57" s="7"/>
      <c r="L57" s="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>
      <c r="A58" s="24">
        <v>7.43954719E9</v>
      </c>
      <c r="B58" s="38" t="s">
        <v>273</v>
      </c>
      <c r="C58" s="41" t="s">
        <v>54</v>
      </c>
      <c r="D58" s="7"/>
      <c r="E58" s="7"/>
      <c r="F58" s="7"/>
      <c r="G58" s="7"/>
      <c r="H58" s="7"/>
      <c r="I58" s="7"/>
      <c r="J58" s="7"/>
      <c r="K58" s="7"/>
      <c r="L58" s="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>
      <c r="A59" s="24">
        <v>9.31531419E9</v>
      </c>
      <c r="B59" s="38" t="s">
        <v>278</v>
      </c>
      <c r="C59" s="41" t="s">
        <v>54</v>
      </c>
      <c r="D59" s="7"/>
      <c r="E59" s="7"/>
      <c r="F59" s="7"/>
      <c r="G59" s="7"/>
      <c r="H59" s="7"/>
      <c r="I59" s="7"/>
      <c r="J59" s="7"/>
      <c r="K59" s="7"/>
      <c r="L59" s="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>
      <c r="A60" s="24">
        <v>9.00568419E9</v>
      </c>
      <c r="B60" s="38" t="s">
        <v>283</v>
      </c>
      <c r="C60" s="41" t="s">
        <v>54</v>
      </c>
      <c r="D60" s="7"/>
      <c r="E60" s="7"/>
      <c r="F60" s="7"/>
      <c r="G60" s="7"/>
      <c r="H60" s="7"/>
      <c r="I60" s="7"/>
      <c r="J60" s="7"/>
      <c r="K60" s="7"/>
      <c r="L60" s="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4" t="s">
        <v>106</v>
      </c>
      <c r="AJ60" s="14"/>
      <c r="AK60" s="14"/>
      <c r="AL60" s="14"/>
      <c r="AM60" s="14"/>
      <c r="AN60" s="14"/>
      <c r="AO60" s="14"/>
    </row>
    <row r="61">
      <c r="A61" s="24">
        <v>5.10946919E9</v>
      </c>
      <c r="B61" s="38" t="s">
        <v>287</v>
      </c>
      <c r="C61" s="41" t="s">
        <v>110</v>
      </c>
      <c r="D61" s="7"/>
      <c r="E61" s="7"/>
      <c r="F61" s="7"/>
      <c r="G61" s="7"/>
      <c r="H61" s="7"/>
      <c r="I61" s="7"/>
      <c r="J61" s="7"/>
      <c r="K61" s="7"/>
      <c r="L61" s="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>
      <c r="A62" s="24">
        <v>3.73758619E9</v>
      </c>
      <c r="B62" s="38" t="s">
        <v>192</v>
      </c>
      <c r="C62" s="41" t="s">
        <v>54</v>
      </c>
      <c r="D62" s="7"/>
      <c r="E62" s="7"/>
      <c r="F62" s="7"/>
      <c r="G62" s="7"/>
      <c r="H62" s="7"/>
      <c r="I62" s="7"/>
      <c r="J62" s="7"/>
      <c r="K62" s="7"/>
      <c r="L62" s="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>
      <c r="A63" s="58">
        <v>7.39647319E9</v>
      </c>
      <c r="B63" s="38" t="s">
        <v>291</v>
      </c>
      <c r="C63" s="41" t="s">
        <v>54</v>
      </c>
      <c r="D63" s="7"/>
      <c r="E63" s="7"/>
      <c r="F63" s="13">
        <v>5.0</v>
      </c>
      <c r="G63" s="7"/>
      <c r="H63" s="13">
        <v>2.0</v>
      </c>
      <c r="I63" s="7"/>
      <c r="J63" s="7"/>
      <c r="K63" s="13">
        <v>1.0</v>
      </c>
      <c r="L63" s="7"/>
      <c r="M63" s="14">
        <v>1.0</v>
      </c>
      <c r="N63" s="8"/>
      <c r="O63" s="14">
        <v>1.0</v>
      </c>
      <c r="P63" s="8"/>
      <c r="Q63" s="8"/>
      <c r="R63" s="8"/>
      <c r="S63" s="8"/>
      <c r="T63" s="14">
        <v>1.0</v>
      </c>
      <c r="U63" s="14">
        <v>1.0</v>
      </c>
      <c r="V63" s="14">
        <v>1.0</v>
      </c>
      <c r="W63" s="14">
        <v>1.0</v>
      </c>
      <c r="X63" s="14">
        <v>3.0</v>
      </c>
      <c r="Y63" s="8"/>
      <c r="Z63" s="8"/>
      <c r="AA63" s="14">
        <v>2.0</v>
      </c>
      <c r="AB63" s="14"/>
      <c r="AC63" s="14">
        <v>3.0</v>
      </c>
      <c r="AD63" s="16" t="s">
        <v>193</v>
      </c>
      <c r="AE63" s="16"/>
      <c r="AF63" s="16" t="s">
        <v>193</v>
      </c>
      <c r="AG63" s="16">
        <v>2.0</v>
      </c>
      <c r="AH63" s="16"/>
      <c r="AI63" s="16"/>
      <c r="AJ63" s="16">
        <v>1.0</v>
      </c>
      <c r="AK63" s="16">
        <v>1.0</v>
      </c>
      <c r="AL63" s="16">
        <v>0.0</v>
      </c>
      <c r="AM63" s="16"/>
      <c r="AN63" s="16">
        <v>0.0</v>
      </c>
      <c r="AO63" s="16">
        <v>3.0</v>
      </c>
    </row>
    <row r="64">
      <c r="A64" s="58">
        <v>7.21278019E9</v>
      </c>
      <c r="B64" s="38" t="s">
        <v>293</v>
      </c>
      <c r="C64" s="41" t="s">
        <v>54</v>
      </c>
      <c r="D64" s="7"/>
      <c r="E64" s="7"/>
      <c r="F64" s="13">
        <v>5.0</v>
      </c>
      <c r="G64" s="13"/>
      <c r="H64" s="7"/>
      <c r="I64" s="13">
        <v>2.0</v>
      </c>
      <c r="J64" s="7"/>
      <c r="K64" s="13">
        <v>1.0</v>
      </c>
      <c r="L64" s="7"/>
      <c r="M64" s="14">
        <v>1.0</v>
      </c>
      <c r="N64" s="8"/>
      <c r="O64" s="14">
        <v>1.0</v>
      </c>
      <c r="P64" s="8"/>
      <c r="Q64" s="8"/>
      <c r="R64" s="8"/>
      <c r="S64" s="8"/>
      <c r="T64" s="14">
        <v>1.0</v>
      </c>
      <c r="U64" s="14">
        <v>1.0</v>
      </c>
      <c r="V64" s="14">
        <v>2.0</v>
      </c>
      <c r="W64" s="8"/>
      <c r="X64" s="14">
        <v>2.0</v>
      </c>
      <c r="Y64" s="8"/>
      <c r="Z64" s="8"/>
      <c r="AA64" s="14">
        <v>2.0</v>
      </c>
      <c r="AB64" s="14"/>
      <c r="AC64" s="14">
        <v>2.0</v>
      </c>
      <c r="AD64" s="14">
        <v>2.0</v>
      </c>
      <c r="AE64" s="14"/>
      <c r="AF64" s="14" t="s">
        <v>49</v>
      </c>
      <c r="AG64" s="14"/>
      <c r="AH64" s="14"/>
      <c r="AI64" s="14" t="s">
        <v>49</v>
      </c>
      <c r="AJ64" s="14"/>
      <c r="AK64" s="14">
        <v>1.0</v>
      </c>
      <c r="AL64" s="14" t="s">
        <v>59</v>
      </c>
      <c r="AM64" s="14"/>
      <c r="AN64" s="16" t="s">
        <v>296</v>
      </c>
      <c r="AO64" s="74">
        <v>2.0</v>
      </c>
    </row>
    <row r="65">
      <c r="A65" s="24">
        <v>7.72635019E9</v>
      </c>
      <c r="B65" s="38" t="s">
        <v>297</v>
      </c>
      <c r="C65" s="41" t="s">
        <v>54</v>
      </c>
      <c r="D65" s="7"/>
      <c r="E65" s="7"/>
      <c r="F65" s="7"/>
      <c r="G65" s="7"/>
      <c r="H65" s="7"/>
      <c r="I65" s="7"/>
      <c r="J65" s="7"/>
      <c r="K65" s="7"/>
      <c r="L65" s="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>
      <c r="A66" s="24">
        <v>1.1930427122E10</v>
      </c>
      <c r="B66" s="38" t="s">
        <v>298</v>
      </c>
      <c r="C66" s="41" t="s">
        <v>54</v>
      </c>
      <c r="D66" s="7"/>
      <c r="E66" s="7"/>
      <c r="F66" s="13">
        <v>5.0</v>
      </c>
      <c r="G66" s="13"/>
      <c r="H66" s="7"/>
      <c r="I66" s="7"/>
      <c r="J66" s="7"/>
      <c r="K66" s="13">
        <v>1.0</v>
      </c>
      <c r="L66" s="7"/>
      <c r="M66" s="14" t="s">
        <v>41</v>
      </c>
      <c r="N66" s="14">
        <v>1.0</v>
      </c>
      <c r="O66" s="14">
        <v>2.0</v>
      </c>
      <c r="P66" s="8"/>
      <c r="Q66" s="8"/>
      <c r="R66" s="8"/>
      <c r="S66" s="8"/>
      <c r="T66" s="14">
        <v>2.0</v>
      </c>
      <c r="U66" s="14"/>
      <c r="V66" s="14">
        <v>2.0</v>
      </c>
      <c r="W66" s="8"/>
      <c r="X66" s="14">
        <v>2.0</v>
      </c>
      <c r="Y66" s="8"/>
      <c r="Z66" s="8"/>
      <c r="AA66" s="14">
        <v>2.0</v>
      </c>
      <c r="AB66" s="14"/>
      <c r="AC66" s="14">
        <v>2.0</v>
      </c>
      <c r="AD66" s="14">
        <v>2.0</v>
      </c>
      <c r="AE66" s="14"/>
      <c r="AF66" s="14" t="s">
        <v>55</v>
      </c>
      <c r="AG66" s="14">
        <v>1.0</v>
      </c>
      <c r="AH66" s="14"/>
      <c r="AI66" s="14">
        <v>2.0</v>
      </c>
      <c r="AJ66" s="14"/>
      <c r="AK66" s="14">
        <v>1.0</v>
      </c>
      <c r="AL66" s="14" t="s">
        <v>59</v>
      </c>
      <c r="AM66" s="14"/>
      <c r="AN66" s="14" t="s">
        <v>59</v>
      </c>
      <c r="AO66" s="45">
        <v>1.0</v>
      </c>
    </row>
    <row r="67">
      <c r="A67" s="24">
        <v>8.24389119E9</v>
      </c>
      <c r="B67" s="38" t="s">
        <v>299</v>
      </c>
      <c r="C67" s="41" t="s">
        <v>54</v>
      </c>
      <c r="D67" s="7"/>
      <c r="E67" s="7"/>
      <c r="F67" s="7"/>
      <c r="G67" s="7"/>
      <c r="H67" s="7"/>
      <c r="I67" s="7"/>
      <c r="J67" s="7"/>
      <c r="K67" s="7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>
      <c r="A68" s="24">
        <v>5.60855419E9</v>
      </c>
      <c r="B68" s="38" t="s">
        <v>300</v>
      </c>
      <c r="C68" s="41" t="s">
        <v>54</v>
      </c>
      <c r="D68" s="7"/>
      <c r="E68" s="7"/>
      <c r="F68" s="7"/>
      <c r="G68" s="7"/>
      <c r="H68" s="7"/>
      <c r="I68" s="7"/>
      <c r="J68" s="7"/>
      <c r="K68" s="7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>
      <c r="A69" s="24">
        <v>3.14108019E9</v>
      </c>
      <c r="B69" s="38" t="s">
        <v>303</v>
      </c>
      <c r="C69" s="41" t="s">
        <v>54</v>
      </c>
      <c r="D69" s="7"/>
      <c r="E69" s="7"/>
      <c r="F69" s="7"/>
      <c r="G69" s="7"/>
      <c r="H69" s="7"/>
      <c r="I69" s="7"/>
      <c r="J69" s="7"/>
      <c r="K69" s="7"/>
      <c r="L69" s="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14" t="s">
        <v>106</v>
      </c>
      <c r="AG69" s="14"/>
      <c r="AH69" s="14"/>
      <c r="AI69" s="14"/>
      <c r="AJ69" s="14"/>
      <c r="AK69" s="14"/>
      <c r="AL69" s="14"/>
      <c r="AM69" s="14"/>
      <c r="AN69" s="14"/>
      <c r="AO69" s="14"/>
    </row>
    <row r="70">
      <c r="A70" s="24">
        <v>1.1972316122E10</v>
      </c>
      <c r="B70" s="38" t="s">
        <v>304</v>
      </c>
      <c r="C70" s="41" t="s">
        <v>54</v>
      </c>
      <c r="D70" s="7"/>
      <c r="E70" s="7"/>
      <c r="F70" s="7"/>
      <c r="G70" s="7"/>
      <c r="H70" s="7"/>
      <c r="I70" s="7"/>
      <c r="J70" s="7"/>
      <c r="K70" s="7"/>
      <c r="L70" s="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>
      <c r="A71" s="24">
        <v>1.1972111122E10</v>
      </c>
      <c r="B71" s="38" t="s">
        <v>305</v>
      </c>
      <c r="C71" s="41" t="s">
        <v>54</v>
      </c>
      <c r="D71" s="7"/>
      <c r="E71" s="7"/>
      <c r="F71" s="7"/>
      <c r="G71" s="7"/>
      <c r="H71" s="7"/>
      <c r="I71" s="7"/>
      <c r="J71" s="7"/>
      <c r="K71" s="7"/>
      <c r="L71" s="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>
      <c r="A72" s="24">
        <v>9.03811619E9</v>
      </c>
      <c r="B72" s="38" t="s">
        <v>195</v>
      </c>
      <c r="C72" s="41" t="s">
        <v>54</v>
      </c>
      <c r="D72" s="7"/>
      <c r="E72" s="7"/>
      <c r="F72" s="7"/>
      <c r="G72" s="7"/>
      <c r="H72" s="7"/>
      <c r="I72" s="7"/>
      <c r="J72" s="7"/>
      <c r="K72" s="7"/>
      <c r="L72" s="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>
      <c r="A73" s="24">
        <v>7.47596919E9</v>
      </c>
      <c r="B73" s="38" t="s">
        <v>307</v>
      </c>
      <c r="C73" s="41" t="s">
        <v>54</v>
      </c>
      <c r="D73" s="7"/>
      <c r="E73" s="7"/>
      <c r="F73" s="7"/>
      <c r="G73" s="7"/>
      <c r="H73" s="7"/>
      <c r="I73" s="7"/>
      <c r="J73" s="7"/>
      <c r="K73" s="7"/>
      <c r="L73" s="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>
      <c r="A74" s="24">
        <v>7.57476219E9</v>
      </c>
      <c r="B74" s="38" t="s">
        <v>309</v>
      </c>
      <c r="C74" s="41" t="s">
        <v>54</v>
      </c>
      <c r="D74" s="7"/>
      <c r="E74" s="7"/>
      <c r="F74" s="7"/>
      <c r="G74" s="7"/>
      <c r="H74" s="7"/>
      <c r="I74" s="7"/>
      <c r="J74" s="7"/>
      <c r="K74" s="7"/>
      <c r="L74" s="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>
      <c r="A75" s="24">
        <v>9.28929119E9</v>
      </c>
      <c r="B75" s="38" t="s">
        <v>311</v>
      </c>
      <c r="C75" s="41" t="s">
        <v>54</v>
      </c>
      <c r="D75" s="7"/>
      <c r="E75" s="7"/>
      <c r="F75" s="7"/>
      <c r="G75" s="7"/>
      <c r="H75" s="7"/>
      <c r="I75" s="7"/>
      <c r="J75" s="7"/>
      <c r="K75" s="7"/>
      <c r="L75" s="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>
      <c r="A76" s="24">
        <v>5.88902219E9</v>
      </c>
      <c r="B76" s="38" t="s">
        <v>317</v>
      </c>
      <c r="C76" s="41" t="s">
        <v>215</v>
      </c>
      <c r="D76" s="7"/>
      <c r="E76" s="7"/>
      <c r="F76" s="7"/>
      <c r="G76" s="7"/>
      <c r="H76" s="7"/>
      <c r="I76" s="7"/>
      <c r="J76" s="7"/>
      <c r="K76" s="7"/>
      <c r="L76" s="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>
      <c r="A77" s="24">
        <v>6.63319619E9</v>
      </c>
      <c r="B77" s="38" t="s">
        <v>318</v>
      </c>
      <c r="C77" s="41" t="s">
        <v>215</v>
      </c>
      <c r="D77" s="7"/>
      <c r="E77" s="7"/>
      <c r="F77" s="7"/>
      <c r="G77" s="7"/>
      <c r="H77" s="7"/>
      <c r="I77" s="7"/>
      <c r="J77" s="7"/>
      <c r="K77" s="7"/>
      <c r="L77" s="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>
      <c r="A78" s="24">
        <v>6.32798219E9</v>
      </c>
      <c r="B78" s="38" t="s">
        <v>321</v>
      </c>
      <c r="C78" s="41" t="s">
        <v>215</v>
      </c>
      <c r="D78" s="7"/>
      <c r="E78" s="7"/>
      <c r="F78" s="7"/>
      <c r="G78" s="7"/>
      <c r="H78" s="7"/>
      <c r="I78" s="7"/>
      <c r="J78" s="7"/>
      <c r="K78" s="7"/>
      <c r="L78" s="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>
      <c r="A79" s="24">
        <v>5.88906519E9</v>
      </c>
      <c r="B79" s="38" t="s">
        <v>322</v>
      </c>
      <c r="C79" s="41" t="s">
        <v>215</v>
      </c>
      <c r="D79" s="7"/>
      <c r="E79" s="7"/>
      <c r="F79" s="7"/>
      <c r="G79" s="7"/>
      <c r="H79" s="7"/>
      <c r="I79" s="7"/>
      <c r="J79" s="7"/>
      <c r="K79" s="7"/>
      <c r="L79" s="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>
      <c r="A80" s="9" t="s">
        <v>58</v>
      </c>
      <c r="B80" s="4"/>
      <c r="C80" s="9" t="s">
        <v>9</v>
      </c>
      <c r="D80" s="4"/>
      <c r="E80" s="4"/>
      <c r="F80" s="4"/>
      <c r="G80" s="7"/>
      <c r="H80" s="7"/>
      <c r="I80" s="7"/>
      <c r="J80" s="7"/>
      <c r="K80" s="7"/>
      <c r="L80" s="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>
      <c r="A81" s="24">
        <v>1.173141619E10</v>
      </c>
      <c r="B81" s="38" t="s">
        <v>198</v>
      </c>
      <c r="C81" s="41" t="s">
        <v>50</v>
      </c>
      <c r="D81" s="7"/>
      <c r="E81" s="7"/>
      <c r="F81" s="13">
        <v>19.0</v>
      </c>
      <c r="G81" s="13">
        <v>2.0</v>
      </c>
      <c r="H81" s="7"/>
      <c r="I81" s="7"/>
      <c r="J81" s="7"/>
      <c r="K81" s="13">
        <v>1.0</v>
      </c>
      <c r="L81" s="13">
        <v>4.0</v>
      </c>
      <c r="M81" s="14">
        <v>2.0</v>
      </c>
      <c r="N81" s="14">
        <v>2.0</v>
      </c>
      <c r="O81" s="14">
        <v>4.0</v>
      </c>
      <c r="P81" s="8"/>
      <c r="Q81" s="8"/>
      <c r="R81" s="8"/>
      <c r="S81" s="8"/>
      <c r="T81" s="14">
        <v>3.0</v>
      </c>
      <c r="U81" s="14">
        <v>2.0</v>
      </c>
      <c r="V81" s="14">
        <v>4.0</v>
      </c>
      <c r="W81" s="14">
        <v>2.0</v>
      </c>
      <c r="X81" s="14">
        <v>6.0</v>
      </c>
      <c r="Y81" s="8"/>
      <c r="Z81" s="14"/>
      <c r="AA81" s="14">
        <v>5.0</v>
      </c>
      <c r="AB81" s="14"/>
      <c r="AC81" s="14">
        <v>5.0</v>
      </c>
      <c r="AD81" s="14">
        <v>3.0</v>
      </c>
      <c r="AE81" s="14"/>
      <c r="AF81" s="14">
        <v>2.0</v>
      </c>
      <c r="AG81" s="14">
        <v>2.0</v>
      </c>
      <c r="AH81" s="14"/>
      <c r="AI81" s="14">
        <v>3.0</v>
      </c>
      <c r="AJ81" s="14"/>
      <c r="AK81" s="14"/>
      <c r="AL81" s="14" t="s">
        <v>323</v>
      </c>
      <c r="AM81" s="45">
        <v>2.0</v>
      </c>
      <c r="AN81" s="91">
        <v>2.0</v>
      </c>
      <c r="AO81" s="45">
        <v>2.0</v>
      </c>
    </row>
    <row r="82">
      <c r="A82" s="24">
        <v>8.74006219E9</v>
      </c>
      <c r="B82" s="38" t="s">
        <v>324</v>
      </c>
      <c r="C82" s="41" t="s">
        <v>325</v>
      </c>
      <c r="D82" s="7"/>
      <c r="E82" s="7"/>
      <c r="F82" s="7"/>
      <c r="G82" s="7"/>
      <c r="H82" s="7"/>
      <c r="I82" s="7"/>
      <c r="J82" s="7"/>
      <c r="K82" s="7"/>
      <c r="L82" s="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>
      <c r="A83" s="24">
        <v>5.34178719E9</v>
      </c>
      <c r="B83" s="38" t="s">
        <v>199</v>
      </c>
      <c r="C83" s="41" t="s">
        <v>201</v>
      </c>
      <c r="D83" s="7"/>
      <c r="E83" s="7"/>
      <c r="F83" s="13">
        <v>7.0</v>
      </c>
      <c r="G83" s="38"/>
      <c r="H83" s="7"/>
      <c r="I83" s="7"/>
      <c r="J83" s="7"/>
      <c r="K83" s="7"/>
      <c r="L83" s="7"/>
      <c r="M83" s="8"/>
      <c r="N83" s="8"/>
      <c r="O83" s="8"/>
      <c r="P83" s="8"/>
      <c r="Q83" s="14">
        <v>2.0</v>
      </c>
      <c r="R83" s="8"/>
      <c r="S83" s="8"/>
      <c r="T83" s="14">
        <v>0.0</v>
      </c>
      <c r="U83" s="14">
        <v>4.0</v>
      </c>
      <c r="V83" s="14">
        <v>4.0</v>
      </c>
      <c r="W83" s="14">
        <v>2.0</v>
      </c>
      <c r="X83" s="14">
        <v>6.0</v>
      </c>
      <c r="Y83" s="8"/>
      <c r="Z83" s="8"/>
      <c r="AA83" s="14">
        <v>6.0</v>
      </c>
      <c r="AB83" s="14"/>
      <c r="AC83" s="14">
        <v>6.0</v>
      </c>
      <c r="AD83" s="14">
        <v>5.0</v>
      </c>
      <c r="AE83" s="14"/>
      <c r="AF83" s="14">
        <v>4.0</v>
      </c>
      <c r="AG83" s="14"/>
      <c r="AH83" s="14"/>
      <c r="AI83" s="14">
        <v>4.0</v>
      </c>
      <c r="AJ83" s="14"/>
      <c r="AK83" s="14"/>
      <c r="AL83" s="14" t="s">
        <v>327</v>
      </c>
      <c r="AM83" s="14"/>
      <c r="AN83" s="14" t="s">
        <v>328</v>
      </c>
      <c r="AO83" s="45">
        <v>3.0</v>
      </c>
    </row>
    <row r="84">
      <c r="A84" s="24">
        <v>6.68777619E9</v>
      </c>
      <c r="B84" s="38" t="s">
        <v>329</v>
      </c>
      <c r="C84" s="41" t="s">
        <v>54</v>
      </c>
      <c r="D84" s="7"/>
      <c r="E84" s="7"/>
      <c r="F84" s="7"/>
      <c r="G84" s="7"/>
      <c r="H84" s="7"/>
      <c r="I84" s="7"/>
      <c r="J84" s="7"/>
      <c r="K84" s="7"/>
      <c r="L84" s="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>
      <c r="A85" s="24">
        <v>1.1776452122E10</v>
      </c>
      <c r="B85" s="38" t="s">
        <v>202</v>
      </c>
      <c r="C85" s="41" t="s">
        <v>50</v>
      </c>
      <c r="D85" s="7"/>
      <c r="E85" s="7"/>
      <c r="F85" s="7"/>
      <c r="G85" s="7"/>
      <c r="H85" s="7"/>
      <c r="I85" s="7"/>
      <c r="J85" s="7"/>
      <c r="K85" s="7"/>
      <c r="L85" s="7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>
      <c r="A86" s="24">
        <v>7.71322319E9</v>
      </c>
      <c r="B86" s="38" t="s">
        <v>333</v>
      </c>
      <c r="C86" s="41" t="s">
        <v>50</v>
      </c>
      <c r="D86" s="7"/>
      <c r="E86" s="7"/>
      <c r="F86" s="7"/>
      <c r="G86" s="7"/>
      <c r="H86" s="7"/>
      <c r="I86" s="7"/>
      <c r="J86" s="7"/>
      <c r="K86" s="7"/>
      <c r="L86" s="7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>
      <c r="A87" s="24">
        <v>4.91704919E9</v>
      </c>
      <c r="B87" s="38" t="s">
        <v>205</v>
      </c>
      <c r="C87" s="41" t="s">
        <v>110</v>
      </c>
      <c r="D87" s="7"/>
      <c r="E87" s="7"/>
      <c r="F87" s="7"/>
      <c r="G87" s="7"/>
      <c r="H87" s="7"/>
      <c r="I87" s="7"/>
      <c r="J87" s="7"/>
      <c r="K87" s="7"/>
      <c r="L87" s="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>
      <c r="A88" s="24">
        <v>5.09510719E9</v>
      </c>
      <c r="B88" s="38" t="s">
        <v>207</v>
      </c>
      <c r="C88" s="41" t="s">
        <v>110</v>
      </c>
      <c r="D88" s="7"/>
      <c r="E88" s="7"/>
      <c r="F88" s="7"/>
      <c r="G88" s="7"/>
      <c r="H88" s="7"/>
      <c r="I88" s="7"/>
      <c r="J88" s="7"/>
      <c r="K88" s="7"/>
      <c r="L88" s="7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>
      <c r="A89" s="24">
        <v>5.042666191E9</v>
      </c>
      <c r="B89" s="38" t="s">
        <v>208</v>
      </c>
      <c r="C89" s="41" t="s">
        <v>110</v>
      </c>
      <c r="D89" s="7"/>
      <c r="E89" s="7"/>
      <c r="F89" s="7"/>
      <c r="G89" s="7"/>
      <c r="H89" s="7"/>
      <c r="I89" s="7"/>
      <c r="J89" s="7"/>
      <c r="K89" s="7"/>
      <c r="L89" s="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>
      <c r="A90" s="24">
        <v>6.70996619E9</v>
      </c>
      <c r="B90" s="38" t="s">
        <v>338</v>
      </c>
      <c r="C90" s="41" t="s">
        <v>110</v>
      </c>
      <c r="D90" s="7"/>
      <c r="E90" s="7"/>
      <c r="F90" s="7"/>
      <c r="G90" s="7"/>
      <c r="H90" s="7"/>
      <c r="I90" s="7"/>
      <c r="J90" s="7"/>
      <c r="K90" s="7"/>
      <c r="L90" s="7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>
      <c r="A91" s="24">
        <v>7.95721119E9</v>
      </c>
      <c r="B91" s="38" t="s">
        <v>339</v>
      </c>
      <c r="C91" s="41" t="s">
        <v>110</v>
      </c>
      <c r="D91" s="7"/>
      <c r="E91" s="7"/>
      <c r="F91" s="7"/>
      <c r="G91" s="7"/>
      <c r="H91" s="7"/>
      <c r="I91" s="7"/>
      <c r="J91" s="7"/>
      <c r="K91" s="7"/>
      <c r="L91" s="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>
      <c r="A92" s="24">
        <v>5.95095319E9</v>
      </c>
      <c r="B92" s="38" t="s">
        <v>210</v>
      </c>
      <c r="C92" s="41" t="s">
        <v>110</v>
      </c>
      <c r="D92" s="7"/>
      <c r="E92" s="7"/>
      <c r="F92" s="7"/>
      <c r="G92" s="7"/>
      <c r="H92" s="7"/>
      <c r="I92" s="7"/>
      <c r="J92" s="7"/>
      <c r="K92" s="7"/>
      <c r="L92" s="7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>
      <c r="A93" s="24">
        <v>8.33364519E9</v>
      </c>
      <c r="B93" s="38" t="s">
        <v>340</v>
      </c>
      <c r="C93" s="41" t="s">
        <v>54</v>
      </c>
      <c r="D93" s="7"/>
      <c r="E93" s="7"/>
      <c r="F93" s="7"/>
      <c r="G93" s="7"/>
      <c r="H93" s="7"/>
      <c r="I93" s="7"/>
      <c r="J93" s="7"/>
      <c r="K93" s="7"/>
      <c r="L93" s="7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>
      <c r="A94" s="24">
        <v>6.50598819E9</v>
      </c>
      <c r="B94" s="38" t="s">
        <v>341</v>
      </c>
      <c r="C94" s="41" t="s">
        <v>54</v>
      </c>
      <c r="D94" s="7"/>
      <c r="E94" s="7"/>
      <c r="F94" s="7"/>
      <c r="G94" s="7"/>
      <c r="H94" s="7"/>
      <c r="I94" s="7"/>
      <c r="J94" s="7"/>
      <c r="K94" s="7"/>
      <c r="L94" s="7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>
      <c r="A95" s="24">
        <v>7.36007019E9</v>
      </c>
      <c r="B95" s="38" t="s">
        <v>342</v>
      </c>
      <c r="C95" s="41" t="s">
        <v>50</v>
      </c>
      <c r="D95" s="7"/>
      <c r="E95" s="7"/>
      <c r="F95" s="7"/>
      <c r="G95" s="7"/>
      <c r="H95" s="7"/>
      <c r="I95" s="7"/>
      <c r="J95" s="7"/>
      <c r="K95" s="7"/>
      <c r="L95" s="7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>
      <c r="A96" s="58">
        <v>5.61886019E9</v>
      </c>
      <c r="B96" s="38" t="s">
        <v>344</v>
      </c>
      <c r="C96" s="41" t="s">
        <v>50</v>
      </c>
      <c r="D96" s="7"/>
      <c r="E96" s="7"/>
      <c r="F96" s="13">
        <v>10.0</v>
      </c>
      <c r="G96" s="7"/>
      <c r="H96" s="13">
        <v>2.0</v>
      </c>
      <c r="I96" s="7"/>
      <c r="J96" s="7"/>
      <c r="K96" s="13">
        <v>3.0</v>
      </c>
      <c r="L96" s="13">
        <v>2.0</v>
      </c>
      <c r="M96" s="14">
        <v>4.0</v>
      </c>
      <c r="N96" s="8"/>
      <c r="O96" s="14">
        <v>4.0</v>
      </c>
      <c r="P96" s="8"/>
      <c r="Q96" s="8"/>
      <c r="R96" s="8"/>
      <c r="S96" s="8"/>
      <c r="T96" s="14">
        <v>4.0</v>
      </c>
      <c r="U96" s="14"/>
      <c r="V96" s="14">
        <v>3.0</v>
      </c>
      <c r="W96" s="8"/>
      <c r="X96" s="14">
        <v>4.0</v>
      </c>
      <c r="Y96" s="8"/>
      <c r="Z96" s="8"/>
      <c r="AA96" s="14">
        <v>3.0</v>
      </c>
      <c r="AB96" s="14"/>
      <c r="AC96" s="14">
        <v>2.0</v>
      </c>
      <c r="AD96" s="14">
        <v>1.0</v>
      </c>
      <c r="AE96" s="14">
        <v>1.0</v>
      </c>
      <c r="AF96" s="14">
        <v>1.0</v>
      </c>
      <c r="AG96" s="14">
        <v>1.0</v>
      </c>
      <c r="AH96" s="14"/>
      <c r="AI96" s="14">
        <v>2.0</v>
      </c>
      <c r="AJ96" s="14"/>
      <c r="AK96" s="14">
        <v>1.0</v>
      </c>
      <c r="AL96" s="14">
        <v>2.0</v>
      </c>
      <c r="AM96" s="14"/>
      <c r="AN96" s="14">
        <v>2.0</v>
      </c>
      <c r="AO96" s="90">
        <v>2.0</v>
      </c>
    </row>
    <row r="97">
      <c r="A97" s="58">
        <v>5.03166419E9</v>
      </c>
      <c r="B97" s="38" t="s">
        <v>211</v>
      </c>
      <c r="C97" s="41" t="s">
        <v>110</v>
      </c>
      <c r="D97" s="7"/>
      <c r="E97" s="7"/>
      <c r="F97" s="13">
        <v>9.0</v>
      </c>
      <c r="G97" s="94">
        <v>2.0</v>
      </c>
      <c r="H97" s="7"/>
      <c r="I97" s="7"/>
      <c r="J97" s="7"/>
      <c r="K97" s="7"/>
      <c r="L97" s="7"/>
      <c r="M97" s="8"/>
      <c r="N97" s="8"/>
      <c r="O97" s="8"/>
      <c r="P97" s="14">
        <v>4.0</v>
      </c>
      <c r="Q97" s="8"/>
      <c r="R97" s="8"/>
      <c r="S97" s="8"/>
      <c r="T97" s="14">
        <v>3.0</v>
      </c>
      <c r="U97" s="8"/>
      <c r="V97" s="14">
        <v>3.0</v>
      </c>
      <c r="W97" s="8"/>
      <c r="X97" s="14">
        <v>3.0</v>
      </c>
      <c r="Y97" s="8"/>
      <c r="Z97" s="8"/>
      <c r="AA97" s="14">
        <v>3.0</v>
      </c>
      <c r="AB97" s="14"/>
      <c r="AC97" s="14">
        <v>3.0</v>
      </c>
      <c r="AD97" s="14">
        <v>2.0</v>
      </c>
      <c r="AE97" s="14"/>
      <c r="AF97" s="14">
        <v>2.0</v>
      </c>
      <c r="AG97" s="14"/>
      <c r="AH97" s="14"/>
      <c r="AI97" s="14">
        <v>2.0</v>
      </c>
      <c r="AJ97" s="14"/>
      <c r="AK97" s="14">
        <v>1.0</v>
      </c>
      <c r="AL97" s="14">
        <v>2.0</v>
      </c>
      <c r="AM97" s="14"/>
      <c r="AN97" s="14">
        <v>2.0</v>
      </c>
      <c r="AO97" s="45">
        <v>1.0</v>
      </c>
    </row>
    <row r="98">
      <c r="A98" s="24">
        <v>9.03812419E9</v>
      </c>
      <c r="B98" s="38" t="s">
        <v>213</v>
      </c>
      <c r="C98" s="41" t="s">
        <v>215</v>
      </c>
      <c r="D98" s="7"/>
      <c r="E98" s="7"/>
      <c r="F98" s="7"/>
      <c r="G98" s="44"/>
      <c r="H98" s="7"/>
      <c r="I98" s="7"/>
      <c r="J98" s="7"/>
      <c r="K98" s="7"/>
      <c r="L98" s="7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>
      <c r="A99" s="24">
        <v>7.47610819E9</v>
      </c>
      <c r="B99" s="38" t="s">
        <v>353</v>
      </c>
      <c r="C99" s="41" t="s">
        <v>50</v>
      </c>
      <c r="D99" s="7"/>
      <c r="E99" s="7"/>
      <c r="F99" s="7"/>
      <c r="G99" s="7"/>
      <c r="H99" s="7"/>
      <c r="I99" s="7"/>
      <c r="J99" s="7"/>
      <c r="K99" s="7"/>
      <c r="L99" s="7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>
      <c r="A100" s="24">
        <v>6.92410719E9</v>
      </c>
      <c r="B100" s="38" t="s">
        <v>218</v>
      </c>
      <c r="C100" s="41" t="s">
        <v>201</v>
      </c>
      <c r="D100" s="7"/>
      <c r="E100" s="7"/>
      <c r="F100" s="7"/>
      <c r="G100" s="7"/>
      <c r="H100" s="7"/>
      <c r="I100" s="7"/>
      <c r="J100" s="7"/>
      <c r="K100" s="7"/>
      <c r="L100" s="7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>
      <c r="A101" s="24">
        <v>8.33592319E9</v>
      </c>
      <c r="B101" s="38" t="s">
        <v>354</v>
      </c>
      <c r="C101" s="41" t="s">
        <v>355</v>
      </c>
      <c r="D101" s="7"/>
      <c r="E101" s="7"/>
      <c r="F101" s="7"/>
      <c r="G101" s="7"/>
      <c r="H101" s="7"/>
      <c r="I101" s="7"/>
      <c r="J101" s="7"/>
      <c r="K101" s="7"/>
      <c r="L101" s="7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>
      <c r="A102" s="24">
        <v>8.08667219E9</v>
      </c>
      <c r="B102" s="38" t="s">
        <v>356</v>
      </c>
      <c r="C102" s="41" t="s">
        <v>357</v>
      </c>
      <c r="D102" s="7"/>
      <c r="E102" s="7"/>
      <c r="F102" s="7"/>
      <c r="G102" s="7"/>
      <c r="H102" s="7"/>
      <c r="I102" s="7"/>
      <c r="J102" s="7"/>
      <c r="K102" s="7"/>
      <c r="L102" s="7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>
      <c r="A103" s="24">
        <v>1.1876368122E10</v>
      </c>
      <c r="B103" s="38" t="s">
        <v>359</v>
      </c>
      <c r="C103" s="41" t="s">
        <v>232</v>
      </c>
      <c r="D103" s="7"/>
      <c r="E103" s="7"/>
      <c r="F103" s="7"/>
      <c r="G103" s="7"/>
      <c r="H103" s="7"/>
      <c r="I103" s="7"/>
      <c r="J103" s="7"/>
      <c r="K103" s="7"/>
      <c r="L103" s="7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>
      <c r="A104" s="24">
        <v>4.68787619E9</v>
      </c>
      <c r="B104" s="38" t="s">
        <v>360</v>
      </c>
      <c r="C104" s="41" t="s">
        <v>361</v>
      </c>
      <c r="D104" s="7"/>
      <c r="E104" s="7"/>
      <c r="F104" s="13">
        <v>3.0</v>
      </c>
      <c r="G104" s="7"/>
      <c r="H104" s="7"/>
      <c r="I104" s="7"/>
      <c r="J104" s="13">
        <v>4.0</v>
      </c>
      <c r="K104" s="13">
        <v>4.0</v>
      </c>
      <c r="L104" s="7"/>
      <c r="M104" s="14">
        <v>3.0</v>
      </c>
      <c r="N104" s="8"/>
      <c r="O104" s="14">
        <v>3.0</v>
      </c>
      <c r="P104" s="8"/>
      <c r="Q104" s="8"/>
      <c r="R104" s="8"/>
      <c r="S104" s="8"/>
      <c r="T104" s="14">
        <v>3.0</v>
      </c>
      <c r="U104" s="8"/>
      <c r="V104" s="14">
        <v>3.0</v>
      </c>
      <c r="W104" s="8"/>
      <c r="X104" s="16" t="s">
        <v>362</v>
      </c>
      <c r="Y104" s="14">
        <v>1.0</v>
      </c>
      <c r="Z104" s="8"/>
      <c r="AA104" s="14">
        <v>0.0</v>
      </c>
      <c r="AB104" s="14">
        <v>2.0</v>
      </c>
      <c r="AC104" s="14">
        <v>2.0</v>
      </c>
      <c r="AD104" s="16" t="s">
        <v>84</v>
      </c>
      <c r="AE104" s="16"/>
      <c r="AF104" s="16" t="s">
        <v>84</v>
      </c>
      <c r="AG104" s="16">
        <v>2.0</v>
      </c>
      <c r="AH104" s="16"/>
      <c r="AI104" s="16">
        <v>2.0</v>
      </c>
      <c r="AJ104" s="16"/>
      <c r="AK104" s="16">
        <v>1.0</v>
      </c>
      <c r="AL104" s="16" t="s">
        <v>364</v>
      </c>
      <c r="AM104" s="16"/>
      <c r="AN104" s="16"/>
      <c r="AO104" s="16"/>
    </row>
    <row r="105">
      <c r="A105" s="24">
        <v>1.1876317122E10</v>
      </c>
      <c r="B105" s="38" t="s">
        <v>365</v>
      </c>
      <c r="C105" s="41" t="s">
        <v>361</v>
      </c>
      <c r="D105" s="7"/>
      <c r="E105" s="7"/>
      <c r="F105" s="7"/>
      <c r="G105" s="7"/>
      <c r="H105" s="7"/>
      <c r="I105" s="7"/>
      <c r="J105" s="13"/>
      <c r="K105" s="7"/>
      <c r="L105" s="7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>
      <c r="A106" s="24">
        <v>1.1876376122E10</v>
      </c>
      <c r="B106" s="38" t="s">
        <v>366</v>
      </c>
      <c r="C106" s="41" t="s">
        <v>361</v>
      </c>
      <c r="D106" s="7"/>
      <c r="E106" s="7"/>
      <c r="F106" s="7"/>
      <c r="G106" s="7"/>
      <c r="H106" s="7"/>
      <c r="I106" s="7"/>
      <c r="J106" s="7"/>
      <c r="K106" s="7"/>
      <c r="L106" s="7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>
      <c r="A107" s="24">
        <v>1.1876384122E10</v>
      </c>
      <c r="B107" s="38" t="s">
        <v>367</v>
      </c>
      <c r="C107" s="41" t="s">
        <v>361</v>
      </c>
      <c r="D107" s="7"/>
      <c r="E107" s="7"/>
      <c r="F107" s="7"/>
      <c r="G107" s="7"/>
      <c r="H107" s="7"/>
      <c r="I107" s="7"/>
      <c r="J107" s="7"/>
      <c r="K107" s="7"/>
      <c r="L107" s="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14" t="s">
        <v>106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>
      <c r="A108" s="24">
        <v>4.92793119E9</v>
      </c>
      <c r="B108" s="38" t="s">
        <v>370</v>
      </c>
      <c r="C108" s="41" t="s">
        <v>361</v>
      </c>
      <c r="D108" s="7"/>
      <c r="E108" s="7"/>
      <c r="F108" s="13">
        <v>3.0</v>
      </c>
      <c r="G108" s="7"/>
      <c r="H108" s="7"/>
      <c r="I108" s="7"/>
      <c r="J108" s="7"/>
      <c r="K108" s="7"/>
      <c r="L108" s="7"/>
      <c r="M108" s="8"/>
      <c r="N108" s="8"/>
      <c r="O108" s="8"/>
      <c r="P108" s="8"/>
      <c r="Q108" s="8"/>
      <c r="R108" s="8"/>
      <c r="S108" s="8"/>
      <c r="T108" s="8"/>
      <c r="U108" s="14">
        <v>2.0</v>
      </c>
      <c r="V108" s="14">
        <v>2.0</v>
      </c>
      <c r="W108" s="14">
        <v>1.0</v>
      </c>
      <c r="X108" s="14">
        <v>4.0</v>
      </c>
      <c r="Y108" s="8"/>
      <c r="Z108" s="8"/>
      <c r="AA108" s="14">
        <v>3.0</v>
      </c>
      <c r="AB108" s="14"/>
      <c r="AC108" s="14">
        <v>3.0</v>
      </c>
      <c r="AD108" s="14">
        <v>3.0</v>
      </c>
      <c r="AE108" s="14"/>
      <c r="AF108" s="14">
        <v>3.0</v>
      </c>
      <c r="AG108" s="14"/>
      <c r="AH108" s="14"/>
      <c r="AI108" s="14">
        <v>3.0</v>
      </c>
      <c r="AJ108" s="14"/>
      <c r="AK108" s="14"/>
      <c r="AL108" s="14">
        <v>3.0</v>
      </c>
      <c r="AM108" s="14"/>
      <c r="AN108" s="16" t="s">
        <v>372</v>
      </c>
      <c r="AO108" s="16"/>
    </row>
    <row r="109">
      <c r="A109" s="24">
        <v>1.1876333122E10</v>
      </c>
      <c r="B109" s="38" t="s">
        <v>373</v>
      </c>
      <c r="C109" s="41" t="s">
        <v>224</v>
      </c>
      <c r="D109" s="7"/>
      <c r="E109" s="7"/>
      <c r="F109" s="7"/>
      <c r="G109" s="7"/>
      <c r="H109" s="7"/>
      <c r="I109" s="7"/>
      <c r="J109" s="7"/>
      <c r="K109" s="7"/>
      <c r="L109" s="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>
      <c r="A110" s="24">
        <v>3.29037919E9</v>
      </c>
      <c r="B110" s="38" t="s">
        <v>375</v>
      </c>
      <c r="C110" s="41" t="s">
        <v>361</v>
      </c>
      <c r="D110" s="7"/>
      <c r="E110" s="7"/>
      <c r="F110" s="7"/>
      <c r="G110" s="7"/>
      <c r="H110" s="7"/>
      <c r="I110" s="7"/>
      <c r="J110" s="7"/>
      <c r="K110" s="7"/>
      <c r="L110" s="7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>
      <c r="A111" s="24">
        <v>4.61880719E9</v>
      </c>
      <c r="B111" s="38" t="s">
        <v>221</v>
      </c>
      <c r="C111" s="41" t="s">
        <v>224</v>
      </c>
      <c r="D111" s="7"/>
      <c r="E111" s="7"/>
      <c r="F111" s="7"/>
      <c r="G111" s="7"/>
      <c r="H111" s="7"/>
      <c r="I111" s="7"/>
      <c r="J111" s="7"/>
      <c r="K111" s="7"/>
      <c r="L111" s="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15.75" customHeight="1">
      <c r="A112" s="24">
        <v>4.61884019E9</v>
      </c>
      <c r="B112" s="38" t="s">
        <v>225</v>
      </c>
      <c r="C112" s="41" t="s">
        <v>226</v>
      </c>
      <c r="D112" s="7"/>
      <c r="E112" s="7"/>
      <c r="F112" s="7"/>
      <c r="G112" s="7"/>
      <c r="H112" s="7"/>
      <c r="I112" s="7"/>
      <c r="J112" s="7"/>
      <c r="K112" s="7"/>
      <c r="L112" s="7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>
      <c r="A113" s="24">
        <v>4.61882319E9</v>
      </c>
      <c r="B113" s="38" t="s">
        <v>228</v>
      </c>
      <c r="C113" s="41" t="s">
        <v>224</v>
      </c>
      <c r="D113" s="7"/>
      <c r="E113" s="7"/>
      <c r="F113" s="7"/>
      <c r="G113" s="7"/>
      <c r="H113" s="7"/>
      <c r="I113" s="7"/>
      <c r="J113" s="7"/>
      <c r="K113" s="7"/>
      <c r="L113" s="7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>
      <c r="A114" s="24">
        <v>5.80258019E9</v>
      </c>
      <c r="B114" s="38" t="s">
        <v>379</v>
      </c>
      <c r="C114" s="41" t="s">
        <v>201</v>
      </c>
      <c r="D114" s="7"/>
      <c r="E114" s="7"/>
      <c r="F114" s="7"/>
      <c r="G114" s="7"/>
      <c r="H114" s="7"/>
      <c r="I114" s="7"/>
      <c r="J114" s="7"/>
      <c r="K114" s="7"/>
      <c r="L114" s="7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O114" s="8"/>
    </row>
    <row r="115">
      <c r="A115" s="24">
        <v>4.61886619E9</v>
      </c>
      <c r="B115" s="38" t="s">
        <v>231</v>
      </c>
      <c r="C115" s="41" t="s">
        <v>232</v>
      </c>
      <c r="D115" s="7"/>
      <c r="E115" s="7"/>
      <c r="F115" s="7"/>
      <c r="G115" s="7"/>
      <c r="H115" s="7"/>
      <c r="I115" s="7"/>
      <c r="J115" s="7"/>
      <c r="K115" s="7"/>
      <c r="L115" s="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>
      <c r="A116" s="24">
        <v>4.78460019E9</v>
      </c>
      <c r="B116" s="38" t="s">
        <v>233</v>
      </c>
      <c r="C116" s="41" t="s">
        <v>224</v>
      </c>
      <c r="D116" s="7"/>
      <c r="E116" s="7"/>
      <c r="F116" s="7"/>
      <c r="G116" s="7"/>
      <c r="H116" s="7"/>
      <c r="I116" s="7"/>
      <c r="J116" s="7"/>
      <c r="K116" s="7"/>
      <c r="L116" s="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>
      <c r="A117" s="24">
        <v>5.94232219E9</v>
      </c>
      <c r="B117" s="38" t="s">
        <v>380</v>
      </c>
      <c r="C117" s="41" t="s">
        <v>215</v>
      </c>
      <c r="D117" s="7"/>
      <c r="E117" s="7"/>
      <c r="F117" s="7"/>
      <c r="G117" s="7"/>
      <c r="H117" s="7"/>
      <c r="I117" s="7"/>
      <c r="J117" s="7"/>
      <c r="K117" s="7"/>
      <c r="L117" s="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>
      <c r="A118" s="24">
        <v>4.78462619E9</v>
      </c>
      <c r="B118" s="38" t="s">
        <v>235</v>
      </c>
      <c r="C118" s="41" t="s">
        <v>224</v>
      </c>
      <c r="D118" s="7"/>
      <c r="E118" s="7"/>
      <c r="F118" s="7"/>
      <c r="G118" s="7"/>
      <c r="H118" s="7"/>
      <c r="I118" s="7"/>
      <c r="J118" s="7"/>
      <c r="K118" s="7"/>
      <c r="L118" s="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>
      <c r="A119" s="24">
        <v>5.57220719E9</v>
      </c>
      <c r="B119" s="38" t="s">
        <v>383</v>
      </c>
      <c r="C119" s="41" t="s">
        <v>50</v>
      </c>
      <c r="D119" s="7"/>
      <c r="E119" s="7"/>
      <c r="F119" s="7"/>
      <c r="G119" s="7"/>
      <c r="H119" s="7"/>
      <c r="I119" s="7"/>
      <c r="J119" s="7"/>
      <c r="K119" s="7"/>
      <c r="L119" s="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>
      <c r="A120" s="24">
        <v>8.35542819E9</v>
      </c>
      <c r="B120" s="38" t="s">
        <v>385</v>
      </c>
      <c r="C120" s="41" t="s">
        <v>201</v>
      </c>
      <c r="D120" s="7"/>
      <c r="E120" s="7"/>
      <c r="F120" s="13">
        <v>6.0</v>
      </c>
      <c r="G120" s="7"/>
      <c r="H120" s="7"/>
      <c r="I120" s="7"/>
      <c r="J120" s="7"/>
      <c r="K120" s="7"/>
      <c r="L120" s="7"/>
      <c r="M120" s="8"/>
      <c r="N120" s="8"/>
      <c r="O120" s="8"/>
      <c r="P120" s="14">
        <v>2.0</v>
      </c>
      <c r="Q120" s="8"/>
      <c r="R120" s="8"/>
      <c r="S120" s="8"/>
      <c r="T120" s="14">
        <v>1.0</v>
      </c>
      <c r="U120" s="14">
        <v>2.0</v>
      </c>
      <c r="V120" s="14">
        <v>3.0</v>
      </c>
      <c r="W120" s="8"/>
      <c r="X120" s="14">
        <v>3.0</v>
      </c>
      <c r="Y120" s="8"/>
      <c r="Z120" s="8"/>
      <c r="AA120" s="14">
        <v>3.0</v>
      </c>
      <c r="AB120" s="14"/>
      <c r="AC120" s="14">
        <v>3.0</v>
      </c>
      <c r="AD120" s="14">
        <v>3.0</v>
      </c>
      <c r="AE120" s="14"/>
      <c r="AF120" s="14">
        <v>3.0</v>
      </c>
      <c r="AG120" s="14"/>
      <c r="AH120" s="14"/>
      <c r="AI120" s="14">
        <v>3.0</v>
      </c>
      <c r="AJ120" s="14"/>
      <c r="AK120" s="14"/>
      <c r="AL120" s="14">
        <v>3.0</v>
      </c>
      <c r="AM120" s="14"/>
      <c r="AN120" s="14">
        <v>2.0</v>
      </c>
      <c r="AO120" s="45">
        <v>1.0</v>
      </c>
    </row>
    <row r="121">
      <c r="A121" s="24">
        <v>8.35543619E9</v>
      </c>
      <c r="B121" s="38" t="s">
        <v>388</v>
      </c>
      <c r="C121" s="41" t="s">
        <v>389</v>
      </c>
      <c r="D121" s="7"/>
      <c r="E121" s="7"/>
      <c r="F121" s="7"/>
      <c r="G121" s="7"/>
      <c r="H121" s="7"/>
      <c r="I121" s="7"/>
      <c r="J121" s="7"/>
      <c r="K121" s="7"/>
      <c r="L121" s="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>
      <c r="A122" s="24">
        <v>7.10813319E9</v>
      </c>
      <c r="B122" s="38" t="s">
        <v>390</v>
      </c>
      <c r="C122" s="41" t="s">
        <v>215</v>
      </c>
      <c r="D122" s="7"/>
      <c r="E122" s="7"/>
      <c r="F122" s="7"/>
      <c r="G122" s="7"/>
      <c r="H122" s="7"/>
      <c r="I122" s="7"/>
      <c r="J122" s="7"/>
      <c r="K122" s="7"/>
      <c r="L122" s="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>
      <c r="A123" s="24">
        <v>6.92336419E9</v>
      </c>
      <c r="B123" s="38" t="s">
        <v>392</v>
      </c>
      <c r="C123" s="41" t="s">
        <v>110</v>
      </c>
      <c r="D123" s="7"/>
      <c r="E123" s="7"/>
      <c r="F123" s="7"/>
      <c r="G123" s="7"/>
      <c r="H123" s="7"/>
      <c r="I123" s="7"/>
      <c r="J123" s="7"/>
      <c r="K123" s="7"/>
      <c r="L123" s="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>
      <c r="A124" s="24">
        <v>7.09257119E9</v>
      </c>
      <c r="B124" s="38" t="s">
        <v>393</v>
      </c>
      <c r="C124" s="41" t="s">
        <v>224</v>
      </c>
      <c r="D124" s="7"/>
      <c r="E124" s="7"/>
      <c r="F124" s="7"/>
      <c r="G124" s="7"/>
      <c r="H124" s="7"/>
      <c r="I124" s="7"/>
      <c r="J124" s="7"/>
      <c r="K124" s="7"/>
      <c r="L124" s="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>
      <c r="A125" s="24">
        <v>9.21692819E9</v>
      </c>
      <c r="B125" s="38" t="s">
        <v>394</v>
      </c>
      <c r="C125" s="41" t="s">
        <v>54</v>
      </c>
      <c r="D125" s="7"/>
      <c r="E125" s="7"/>
      <c r="F125" s="7"/>
      <c r="G125" s="7"/>
      <c r="H125" s="7"/>
      <c r="I125" s="7"/>
      <c r="J125" s="7"/>
      <c r="K125" s="7"/>
      <c r="L125" s="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>
      <c r="A126" s="24">
        <v>9.28931319E9</v>
      </c>
      <c r="B126" s="38" t="s">
        <v>394</v>
      </c>
      <c r="C126" s="41" t="s">
        <v>54</v>
      </c>
      <c r="D126" s="7"/>
      <c r="E126" s="7"/>
      <c r="F126" s="7"/>
      <c r="G126" s="7"/>
      <c r="H126" s="7"/>
      <c r="I126" s="7"/>
      <c r="J126" s="7"/>
      <c r="K126" s="7"/>
      <c r="L126" s="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>
      <c r="A127" s="24">
        <v>9.34530219E9</v>
      </c>
      <c r="B127" s="38" t="s">
        <v>396</v>
      </c>
      <c r="C127" s="41" t="s">
        <v>201</v>
      </c>
      <c r="D127" s="7"/>
      <c r="E127" s="7"/>
      <c r="F127" s="7"/>
      <c r="G127" s="7"/>
      <c r="H127" s="7"/>
      <c r="I127" s="7"/>
      <c r="J127" s="7"/>
      <c r="K127" s="7"/>
      <c r="L127" s="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>
      <c r="A128" s="24">
        <v>5.88908119E9</v>
      </c>
      <c r="B128" s="38" t="s">
        <v>397</v>
      </c>
      <c r="C128" s="41" t="s">
        <v>398</v>
      </c>
      <c r="D128" s="7"/>
      <c r="E128" s="7"/>
      <c r="F128" s="7"/>
      <c r="G128" s="7"/>
      <c r="H128" s="7"/>
      <c r="I128" s="7"/>
      <c r="J128" s="7"/>
      <c r="K128" s="7"/>
      <c r="L128" s="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>
      <c r="A129" s="24">
        <v>7.29413119E9</v>
      </c>
      <c r="B129" s="38" t="s">
        <v>399</v>
      </c>
      <c r="C129" s="41" t="s">
        <v>398</v>
      </c>
      <c r="D129" s="7"/>
      <c r="E129" s="7"/>
      <c r="F129" s="7"/>
      <c r="G129" s="7"/>
      <c r="H129" s="7"/>
      <c r="I129" s="7"/>
      <c r="J129" s="7"/>
      <c r="K129" s="7"/>
      <c r="L129" s="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>
      <c r="A130" s="9" t="s">
        <v>77</v>
      </c>
      <c r="B130" s="4"/>
      <c r="C130" s="4"/>
      <c r="D130" s="4"/>
      <c r="E130" s="4"/>
      <c r="F130" s="4"/>
      <c r="G130" s="7"/>
      <c r="H130" s="7"/>
      <c r="I130" s="7"/>
      <c r="J130" s="7"/>
      <c r="K130" s="7"/>
      <c r="L130" s="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>
      <c r="A131" s="58">
        <v>5.694302001E9</v>
      </c>
      <c r="B131" s="38" t="s">
        <v>242</v>
      </c>
      <c r="C131" s="41" t="s">
        <v>244</v>
      </c>
      <c r="D131" s="7"/>
      <c r="E131" s="7"/>
      <c r="F131" s="13">
        <v>11.0</v>
      </c>
      <c r="G131" s="13">
        <v>1.0</v>
      </c>
      <c r="H131" s="7"/>
      <c r="I131" s="7"/>
      <c r="J131" s="7"/>
      <c r="K131" s="13" t="s">
        <v>401</v>
      </c>
      <c r="L131" s="13">
        <v>1.0</v>
      </c>
      <c r="M131" s="14">
        <v>3.0</v>
      </c>
      <c r="N131" s="8"/>
      <c r="O131" s="14">
        <v>3.0</v>
      </c>
      <c r="P131" s="8"/>
      <c r="Q131" s="8"/>
      <c r="R131" s="8"/>
      <c r="S131" s="8"/>
      <c r="T131" s="14" t="s">
        <v>402</v>
      </c>
      <c r="U131" s="8"/>
      <c r="V131" s="14" t="s">
        <v>403</v>
      </c>
      <c r="W131" s="8"/>
      <c r="X131" s="14" t="s">
        <v>404</v>
      </c>
      <c r="Y131" s="8"/>
      <c r="Z131" s="8"/>
      <c r="AA131" s="14" t="s">
        <v>403</v>
      </c>
      <c r="AB131" s="14"/>
      <c r="AC131" s="16" t="s">
        <v>405</v>
      </c>
      <c r="AD131" s="16" t="s">
        <v>406</v>
      </c>
      <c r="AE131" s="16">
        <v>1.0</v>
      </c>
      <c r="AF131" s="16">
        <v>1.0</v>
      </c>
      <c r="AG131" s="16"/>
      <c r="AH131" s="16"/>
      <c r="AI131" s="16">
        <v>0.0</v>
      </c>
      <c r="AJ131" s="16">
        <v>2.0</v>
      </c>
      <c r="AK131" s="16"/>
      <c r="AL131" s="16" t="s">
        <v>405</v>
      </c>
      <c r="AM131" s="16"/>
      <c r="AN131" s="16" t="s">
        <v>314</v>
      </c>
      <c r="AO131" s="16">
        <v>2.0</v>
      </c>
    </row>
    <row r="132">
      <c r="A132" s="24">
        <v>7.29901019E9</v>
      </c>
      <c r="B132" s="38" t="s">
        <v>245</v>
      </c>
      <c r="C132" s="41" t="s">
        <v>407</v>
      </c>
      <c r="D132" s="7"/>
      <c r="E132" s="7"/>
      <c r="F132" s="7"/>
      <c r="G132" s="7"/>
      <c r="H132" s="7"/>
      <c r="I132" s="7"/>
      <c r="J132" s="7"/>
      <c r="K132" s="7"/>
      <c r="L132" s="7"/>
      <c r="M132" s="8"/>
      <c r="N132" s="8"/>
      <c r="O132" s="8"/>
      <c r="P132" s="8"/>
      <c r="Q132" s="8"/>
      <c r="R132" s="14">
        <v>1.0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100"/>
      <c r="AN132" s="101"/>
      <c r="AO132" s="101"/>
    </row>
    <row r="133">
      <c r="A133" s="58">
        <v>7.29900119E9</v>
      </c>
      <c r="B133" s="38" t="s">
        <v>247</v>
      </c>
      <c r="C133" s="41" t="s">
        <v>407</v>
      </c>
      <c r="D133" s="7"/>
      <c r="E133" s="7"/>
      <c r="F133" s="13">
        <v>5.0</v>
      </c>
      <c r="G133" s="7"/>
      <c r="H133" s="7"/>
      <c r="I133" s="7"/>
      <c r="J133" s="7"/>
      <c r="K133" s="13">
        <v>0.0</v>
      </c>
      <c r="L133" s="13">
        <v>2.0</v>
      </c>
      <c r="M133" s="14">
        <v>2.0</v>
      </c>
      <c r="N133" s="8"/>
      <c r="O133" s="14">
        <v>2.0</v>
      </c>
      <c r="P133" s="8"/>
      <c r="Q133" s="8"/>
      <c r="R133" s="8"/>
      <c r="S133" s="8"/>
      <c r="T133" s="14">
        <v>1.0</v>
      </c>
      <c r="U133" s="14">
        <v>1.0</v>
      </c>
      <c r="V133" s="14">
        <v>1.0</v>
      </c>
      <c r="W133" s="14">
        <v>1.0</v>
      </c>
      <c r="X133" s="14">
        <v>3.0</v>
      </c>
      <c r="Y133" s="8"/>
      <c r="Z133" s="8"/>
      <c r="AA133" s="14">
        <v>2.0</v>
      </c>
      <c r="AB133" s="14"/>
      <c r="AC133" s="14">
        <v>2.0</v>
      </c>
      <c r="AD133" s="14">
        <v>2.0</v>
      </c>
      <c r="AE133" s="14"/>
      <c r="AF133" s="14">
        <v>1.0</v>
      </c>
      <c r="AG133" s="14">
        <v>1.0</v>
      </c>
      <c r="AH133" s="14"/>
      <c r="AI133" s="14">
        <v>1.0</v>
      </c>
      <c r="AJ133" s="14">
        <v>1.0</v>
      </c>
      <c r="AK133" s="14"/>
      <c r="AL133" s="14">
        <v>1.0</v>
      </c>
      <c r="AM133" s="45">
        <v>1.0</v>
      </c>
      <c r="AN133" s="91" t="s">
        <v>411</v>
      </c>
      <c r="AO133" s="90">
        <v>4.0</v>
      </c>
    </row>
    <row r="134">
      <c r="A134" s="24">
        <v>9.76258219E9</v>
      </c>
      <c r="B134" s="38" t="s">
        <v>249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101"/>
      <c r="AO134" s="101"/>
    </row>
    <row r="135">
      <c r="A135" s="24">
        <v>6.90885319E9</v>
      </c>
      <c r="B135" s="38" t="s">
        <v>250</v>
      </c>
      <c r="C135" s="7"/>
      <c r="D135" s="7"/>
      <c r="E135" s="7"/>
      <c r="F135" s="13">
        <v>8.0</v>
      </c>
      <c r="G135" s="13">
        <v>40.0</v>
      </c>
      <c r="H135" s="7"/>
      <c r="I135" s="7"/>
      <c r="J135" s="7"/>
      <c r="K135" s="13">
        <v>32.0</v>
      </c>
      <c r="L135" s="7"/>
      <c r="M135" s="14">
        <v>30.0</v>
      </c>
      <c r="N135" s="14"/>
      <c r="O135" s="14">
        <v>26.0</v>
      </c>
      <c r="P135" s="8"/>
      <c r="Q135" s="8"/>
      <c r="R135" s="8"/>
      <c r="S135" s="8"/>
      <c r="T135" s="14">
        <v>25.0</v>
      </c>
      <c r="U135" s="8"/>
      <c r="V135" s="14">
        <v>16.0</v>
      </c>
      <c r="W135" s="14">
        <v>4.0</v>
      </c>
      <c r="X135" s="14">
        <v>18.0</v>
      </c>
      <c r="Y135" s="8"/>
      <c r="Z135" s="8"/>
      <c r="AA135" s="14">
        <v>14.0</v>
      </c>
      <c r="AB135" s="14">
        <v>10.0</v>
      </c>
      <c r="AC135" s="14">
        <v>18.0</v>
      </c>
      <c r="AD135" s="14">
        <v>8.0</v>
      </c>
      <c r="AE135" s="14">
        <v>10.0</v>
      </c>
      <c r="AF135" s="14">
        <v>12.0</v>
      </c>
      <c r="AG135" s="14">
        <v>8.0</v>
      </c>
      <c r="AH135" s="14"/>
      <c r="AI135" s="14">
        <v>14.0</v>
      </c>
      <c r="AJ135" s="14">
        <v>6.0</v>
      </c>
      <c r="AK135" s="14"/>
      <c r="AL135" s="14">
        <v>8.0</v>
      </c>
      <c r="AM135" s="45">
        <v>12.0</v>
      </c>
      <c r="AN135" s="91">
        <v>10.0</v>
      </c>
      <c r="AO135" s="45">
        <v>20.0</v>
      </c>
    </row>
    <row r="136">
      <c r="A136" s="58">
        <v>4.88029319E9</v>
      </c>
      <c r="B136" s="38" t="s">
        <v>259</v>
      </c>
      <c r="C136" s="7"/>
      <c r="D136" s="7"/>
      <c r="E136" s="7"/>
      <c r="F136" s="13">
        <v>30.0</v>
      </c>
      <c r="G136" s="13">
        <v>40.0</v>
      </c>
      <c r="H136" s="7"/>
      <c r="I136" s="7"/>
      <c r="J136" s="7"/>
      <c r="K136" s="13">
        <v>26.0</v>
      </c>
      <c r="L136" s="7"/>
      <c r="M136" s="14">
        <v>18.0</v>
      </c>
      <c r="N136" s="14">
        <v>12.0</v>
      </c>
      <c r="O136" s="14">
        <v>22.0</v>
      </c>
      <c r="P136" s="8"/>
      <c r="Q136" s="8"/>
      <c r="R136" s="8"/>
      <c r="S136" s="8"/>
      <c r="T136" s="14">
        <v>19.0</v>
      </c>
      <c r="U136" s="14">
        <v>8.0</v>
      </c>
      <c r="V136" s="14">
        <v>20.0</v>
      </c>
      <c r="W136" s="14">
        <v>6.0</v>
      </c>
      <c r="X136" s="14">
        <v>14.0</v>
      </c>
      <c r="Y136" s="14">
        <v>10.0</v>
      </c>
      <c r="Z136" s="14">
        <v>20.0</v>
      </c>
      <c r="AA136" s="14">
        <v>14.0</v>
      </c>
      <c r="AB136" s="14">
        <v>10.0</v>
      </c>
      <c r="AC136" s="14">
        <v>22.0</v>
      </c>
      <c r="AD136" s="14">
        <v>4.0</v>
      </c>
      <c r="AE136" s="14">
        <v>18.0</v>
      </c>
      <c r="AF136" s="14">
        <v>10.0</v>
      </c>
      <c r="AG136" s="14">
        <v>12.0</v>
      </c>
      <c r="AH136" s="14"/>
      <c r="AI136" s="14">
        <v>16.0</v>
      </c>
      <c r="AJ136" s="14">
        <v>8.0</v>
      </c>
      <c r="AK136" s="14"/>
      <c r="AL136" s="14">
        <v>11.0</v>
      </c>
      <c r="AM136" s="45">
        <v>12.0</v>
      </c>
      <c r="AN136" s="91">
        <v>7.0</v>
      </c>
      <c r="AO136" s="45">
        <v>30.0</v>
      </c>
    </row>
    <row r="137">
      <c r="A137" s="58">
        <v>6.90879919E9</v>
      </c>
      <c r="B137" s="38" t="s">
        <v>263</v>
      </c>
      <c r="C137" s="7"/>
      <c r="D137" s="7"/>
      <c r="E137" s="7"/>
      <c r="F137" s="13">
        <v>15.0</v>
      </c>
      <c r="G137" s="13">
        <v>40.0</v>
      </c>
      <c r="H137" s="7"/>
      <c r="I137" s="7"/>
      <c r="J137" s="7"/>
      <c r="K137" s="13">
        <v>36.0</v>
      </c>
      <c r="L137" s="7"/>
      <c r="M137" s="14">
        <v>32.0</v>
      </c>
      <c r="N137" s="8"/>
      <c r="O137" s="14">
        <v>28.0</v>
      </c>
      <c r="P137" s="8"/>
      <c r="Q137" s="8"/>
      <c r="R137" s="8"/>
      <c r="S137" s="8"/>
      <c r="T137" s="14">
        <v>20.0</v>
      </c>
      <c r="U137" s="14">
        <v>6.0</v>
      </c>
      <c r="V137" s="14">
        <v>18.0</v>
      </c>
      <c r="W137" s="14">
        <v>8.0</v>
      </c>
      <c r="X137" s="14">
        <v>20.0</v>
      </c>
      <c r="Y137" s="14">
        <v>4.0</v>
      </c>
      <c r="Z137" s="8"/>
      <c r="AA137" s="62">
        <v>13.0</v>
      </c>
      <c r="AB137" s="62">
        <v>10.0</v>
      </c>
      <c r="AC137" s="62">
        <v>13.0</v>
      </c>
      <c r="AD137" s="62">
        <v>11.0</v>
      </c>
      <c r="AE137" s="62">
        <v>10.0</v>
      </c>
      <c r="AF137" s="62">
        <v>16.0</v>
      </c>
      <c r="AG137" s="62"/>
      <c r="AH137" s="62"/>
      <c r="AI137" s="62">
        <v>9.0</v>
      </c>
      <c r="AJ137" s="62">
        <v>6.0</v>
      </c>
      <c r="AK137" s="62"/>
      <c r="AL137" s="62">
        <v>4.0</v>
      </c>
      <c r="AM137" s="63">
        <v>14.0</v>
      </c>
      <c r="AN137" s="102">
        <v>11.0</v>
      </c>
      <c r="AO137" s="63">
        <v>20.0</v>
      </c>
    </row>
    <row r="138">
      <c r="A138" s="24">
        <v>7.37306619E9</v>
      </c>
      <c r="B138" s="38" t="s">
        <v>414</v>
      </c>
      <c r="C138" s="41" t="s">
        <v>407</v>
      </c>
      <c r="D138" s="7"/>
      <c r="E138" s="7"/>
      <c r="F138" s="7"/>
      <c r="G138" s="7"/>
      <c r="H138" s="7"/>
      <c r="I138" s="7"/>
      <c r="J138" s="7"/>
      <c r="K138" s="7"/>
      <c r="L138" s="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>
      <c r="A139" s="24">
        <v>7.37299019E9</v>
      </c>
      <c r="B139" s="38" t="s">
        <v>415</v>
      </c>
      <c r="C139" s="41" t="s">
        <v>407</v>
      </c>
      <c r="D139" s="7"/>
      <c r="E139" s="7"/>
      <c r="F139" s="7"/>
      <c r="G139" s="7"/>
      <c r="H139" s="7"/>
      <c r="I139" s="7"/>
      <c r="J139" s="7"/>
      <c r="K139" s="7"/>
      <c r="L139" s="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>
      <c r="A140" s="24">
        <v>5.11850619E9</v>
      </c>
      <c r="B140" s="38" t="s">
        <v>416</v>
      </c>
      <c r="C140" s="41" t="s">
        <v>407</v>
      </c>
      <c r="D140" s="7"/>
      <c r="E140" s="7"/>
      <c r="F140" s="7"/>
      <c r="G140" s="7"/>
      <c r="H140" s="7"/>
      <c r="I140" s="7"/>
      <c r="J140" s="7"/>
      <c r="K140" s="7"/>
      <c r="L140" s="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>
      <c r="A141" s="24">
        <v>4.444191001E9</v>
      </c>
      <c r="B141" s="38" t="s">
        <v>337</v>
      </c>
      <c r="C141" s="41">
        <v>250.0</v>
      </c>
      <c r="D141" s="7"/>
      <c r="E141" s="7"/>
      <c r="F141" s="7"/>
      <c r="G141" s="13">
        <v>4.0</v>
      </c>
      <c r="H141" s="7"/>
      <c r="I141" s="7"/>
      <c r="J141" s="7"/>
      <c r="K141" s="7"/>
      <c r="L141" s="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>
      <c r="A142" s="24">
        <v>1.0394246001E10</v>
      </c>
      <c r="B142" s="38" t="s">
        <v>267</v>
      </c>
      <c r="C142" s="41">
        <v>5000.0</v>
      </c>
      <c r="D142" s="7"/>
      <c r="E142" s="7"/>
      <c r="F142" s="7"/>
      <c r="G142" s="7"/>
      <c r="H142" s="7"/>
      <c r="I142" s="7"/>
      <c r="J142" s="7"/>
      <c r="K142" s="7"/>
      <c r="L142" s="7"/>
      <c r="M142" s="14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>
      <c r="A143" s="24">
        <v>3.142949122E9</v>
      </c>
      <c r="B143" s="38" t="s">
        <v>417</v>
      </c>
      <c r="C143" s="41" t="s">
        <v>418</v>
      </c>
      <c r="D143" s="7"/>
      <c r="E143" s="7"/>
      <c r="F143" s="7"/>
      <c r="G143" s="7"/>
      <c r="H143" s="7"/>
      <c r="I143" s="7"/>
      <c r="J143" s="7"/>
      <c r="K143" s="7"/>
      <c r="L143" s="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>
      <c r="A144" s="24">
        <v>5.88907319E9</v>
      </c>
      <c r="B144" s="38" t="s">
        <v>268</v>
      </c>
      <c r="C144" s="41">
        <v>100.0</v>
      </c>
      <c r="D144" s="7"/>
      <c r="E144" s="7"/>
      <c r="F144" s="7"/>
      <c r="G144" s="7"/>
      <c r="H144" s="7"/>
      <c r="I144" s="7"/>
      <c r="J144" s="7"/>
      <c r="K144" s="7"/>
      <c r="L144" s="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>
      <c r="A145" s="24">
        <v>5.94431719E9</v>
      </c>
      <c r="B145" s="38" t="s">
        <v>270</v>
      </c>
      <c r="C145" s="41" t="s">
        <v>271</v>
      </c>
      <c r="D145" s="7"/>
      <c r="E145" s="7"/>
      <c r="F145" s="7"/>
      <c r="G145" s="7"/>
      <c r="H145" s="7"/>
      <c r="I145" s="7"/>
      <c r="J145" s="7"/>
      <c r="K145" s="7"/>
      <c r="L145" s="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>
      <c r="A146" s="24">
        <v>9.37006419E9</v>
      </c>
      <c r="B146" s="38" t="s">
        <v>272</v>
      </c>
      <c r="C146" s="41" t="s">
        <v>274</v>
      </c>
      <c r="D146" s="7"/>
      <c r="E146" s="7"/>
      <c r="F146" s="7"/>
      <c r="G146" s="7"/>
      <c r="H146" s="7"/>
      <c r="I146" s="7"/>
      <c r="J146" s="7"/>
      <c r="K146" s="7"/>
      <c r="L146" s="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>
      <c r="A147" s="24">
        <v>9.37009919E9</v>
      </c>
      <c r="B147" s="38" t="s">
        <v>275</v>
      </c>
      <c r="C147" s="41" t="s">
        <v>276</v>
      </c>
      <c r="D147" s="7"/>
      <c r="E147" s="7"/>
      <c r="F147" s="7"/>
      <c r="G147" s="7"/>
      <c r="H147" s="7"/>
      <c r="I147" s="7"/>
      <c r="J147" s="7"/>
      <c r="K147" s="7"/>
      <c r="L147" s="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>
      <c r="A148" s="24">
        <v>9.12712719E9</v>
      </c>
      <c r="B148" s="38" t="s">
        <v>420</v>
      </c>
      <c r="C148" s="41" t="s">
        <v>421</v>
      </c>
      <c r="D148" s="7"/>
      <c r="E148" s="7"/>
      <c r="F148" s="7"/>
      <c r="G148" s="7"/>
      <c r="H148" s="7"/>
      <c r="I148" s="7"/>
      <c r="J148" s="7"/>
      <c r="K148" s="7"/>
      <c r="L148" s="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>
      <c r="A149" s="24">
        <v>5.870020001E9</v>
      </c>
      <c r="B149" s="38" t="s">
        <v>279</v>
      </c>
      <c r="C149" s="41" t="s">
        <v>280</v>
      </c>
      <c r="D149" s="7"/>
      <c r="E149" s="7"/>
      <c r="F149" s="7"/>
      <c r="G149" s="13">
        <v>20.0</v>
      </c>
      <c r="H149" s="7"/>
      <c r="I149" s="7"/>
      <c r="J149" s="7"/>
      <c r="K149" s="7"/>
      <c r="L149" s="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>
      <c r="A150" s="24">
        <v>4.419987001E9</v>
      </c>
      <c r="B150" s="38" t="s">
        <v>281</v>
      </c>
      <c r="C150" s="41" t="s">
        <v>282</v>
      </c>
      <c r="D150" s="7"/>
      <c r="E150" s="7"/>
      <c r="F150" s="7"/>
      <c r="G150" s="7"/>
      <c r="H150" s="7"/>
      <c r="I150" s="7"/>
      <c r="J150" s="7"/>
      <c r="K150" s="13" t="s">
        <v>423</v>
      </c>
      <c r="L150" s="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>
      <c r="A151" s="24">
        <v>7.485409001E9</v>
      </c>
      <c r="B151" s="38" t="s">
        <v>290</v>
      </c>
      <c r="C151" s="41" t="s">
        <v>424</v>
      </c>
      <c r="D151" s="7"/>
      <c r="E151" s="7"/>
      <c r="F151" s="13">
        <v>9.0</v>
      </c>
      <c r="G151" s="7"/>
      <c r="H151" s="7"/>
      <c r="I151" s="7"/>
      <c r="J151" s="7"/>
      <c r="K151" s="7"/>
      <c r="L151" s="7"/>
      <c r="M151" s="8"/>
      <c r="N151" s="8"/>
      <c r="O151" s="14" t="s">
        <v>425</v>
      </c>
      <c r="P151" s="14">
        <v>1.0</v>
      </c>
      <c r="Q151" s="8"/>
      <c r="R151" s="8"/>
      <c r="S151" s="8"/>
      <c r="T151" s="14">
        <v>1.0</v>
      </c>
      <c r="U151" s="8"/>
      <c r="V151" s="14">
        <v>1.0</v>
      </c>
      <c r="W151" s="8"/>
      <c r="X151" s="14">
        <v>1.0</v>
      </c>
      <c r="Y151" s="8"/>
      <c r="Z151" s="8"/>
      <c r="AA151" s="14">
        <v>1.0</v>
      </c>
      <c r="AB151" s="14"/>
      <c r="AC151" s="14">
        <v>1.0</v>
      </c>
      <c r="AD151" s="14">
        <v>2.0</v>
      </c>
      <c r="AE151" s="14"/>
      <c r="AF151" s="14">
        <v>2.0</v>
      </c>
      <c r="AG151" s="14"/>
      <c r="AH151" s="14"/>
      <c r="AI151" s="14"/>
      <c r="AJ151" s="14">
        <v>1.0</v>
      </c>
      <c r="AK151" s="14">
        <v>1.0</v>
      </c>
      <c r="AL151" s="14">
        <v>3.0</v>
      </c>
      <c r="AM151" s="14"/>
      <c r="AN151" s="14">
        <v>2.0</v>
      </c>
      <c r="AO151" s="14"/>
    </row>
    <row r="152">
      <c r="A152" s="24">
        <v>7.485433001E9</v>
      </c>
      <c r="B152" s="38" t="s">
        <v>426</v>
      </c>
      <c r="C152" s="41" t="s">
        <v>427</v>
      </c>
      <c r="D152" s="7"/>
      <c r="E152" s="7"/>
      <c r="F152" s="13">
        <v>1.0</v>
      </c>
      <c r="G152" s="7"/>
      <c r="H152" s="7"/>
      <c r="I152" s="7"/>
      <c r="J152" s="7"/>
      <c r="K152" s="7"/>
      <c r="L152" s="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>
      <c r="A153" s="24">
        <v>1.1298500316E10</v>
      </c>
      <c r="B153" s="38" t="s">
        <v>428</v>
      </c>
      <c r="C153" s="41" t="s">
        <v>429</v>
      </c>
      <c r="D153" s="7"/>
      <c r="E153" s="7"/>
      <c r="F153" s="13"/>
      <c r="G153" s="13">
        <v>1.0</v>
      </c>
      <c r="H153" s="7"/>
      <c r="I153" s="7"/>
      <c r="J153" s="7"/>
      <c r="K153" s="7"/>
      <c r="L153" s="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>
      <c r="A154" s="39">
        <v>5.870020001E9</v>
      </c>
      <c r="B154" s="46" t="s">
        <v>279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>
      <c r="A155" s="39">
        <v>4.419987001E9</v>
      </c>
      <c r="B155" s="46" t="s">
        <v>281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>
      <c r="A156" s="76"/>
      <c r="B156" s="46" t="s">
        <v>284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>
      <c r="A157" s="104" t="s">
        <v>430</v>
      </c>
      <c r="B157" s="46" t="s">
        <v>286</v>
      </c>
      <c r="C157" s="7"/>
      <c r="D157" s="7"/>
      <c r="E157" s="7"/>
      <c r="F157" s="7"/>
      <c r="G157" s="7"/>
      <c r="H157" s="7"/>
      <c r="I157" s="7"/>
      <c r="J157" s="7"/>
      <c r="K157" s="7"/>
      <c r="L157" s="13">
        <v>2.0</v>
      </c>
      <c r="M157" s="14">
        <v>2.0</v>
      </c>
      <c r="N157" s="8"/>
      <c r="O157" s="14">
        <v>1.0</v>
      </c>
      <c r="P157" s="14">
        <v>1.0</v>
      </c>
      <c r="Q157" s="8"/>
      <c r="R157" s="8"/>
      <c r="S157" s="8"/>
      <c r="T157" s="14">
        <v>1.0</v>
      </c>
      <c r="U157" s="14">
        <v>1.0</v>
      </c>
      <c r="V157" s="14">
        <v>3.0</v>
      </c>
      <c r="W157" s="8"/>
      <c r="X157" s="14">
        <v>0.0</v>
      </c>
      <c r="Y157" s="14">
        <v>1.0</v>
      </c>
      <c r="Z157" s="8"/>
      <c r="AA157" s="14">
        <v>0.0</v>
      </c>
      <c r="AB157" s="14">
        <v>1.0</v>
      </c>
      <c r="AC157" s="14"/>
      <c r="AD157" s="14"/>
      <c r="AE157" s="14">
        <v>1.0</v>
      </c>
      <c r="AF157" s="14" t="s">
        <v>431</v>
      </c>
      <c r="AG157" s="14"/>
      <c r="AH157" s="14">
        <v>1.0</v>
      </c>
      <c r="AI157" s="14">
        <v>1.0</v>
      </c>
      <c r="AJ157" s="14"/>
      <c r="AK157" s="14">
        <v>1.0</v>
      </c>
      <c r="AL157" s="14">
        <v>0.0</v>
      </c>
      <c r="AM157" s="45">
        <v>1.0</v>
      </c>
      <c r="AN157" s="91" t="s">
        <v>432</v>
      </c>
      <c r="AO157" s="45">
        <v>2.0</v>
      </c>
    </row>
    <row r="158">
      <c r="A158" s="105" t="s">
        <v>433</v>
      </c>
      <c r="B158" s="60" t="s">
        <v>107</v>
      </c>
      <c r="C158" s="7"/>
      <c r="D158" s="7"/>
      <c r="E158" s="7"/>
      <c r="F158" s="7"/>
      <c r="G158" s="7"/>
      <c r="H158" s="7"/>
      <c r="I158" s="7"/>
      <c r="J158" s="7"/>
      <c r="K158" s="7"/>
      <c r="L158" s="13">
        <v>4.0</v>
      </c>
      <c r="M158" s="14">
        <v>4.0</v>
      </c>
      <c r="N158" s="8"/>
      <c r="O158" s="14">
        <v>4.0</v>
      </c>
      <c r="P158" s="8"/>
      <c r="Q158" s="8"/>
      <c r="R158" s="8"/>
      <c r="S158" s="8"/>
      <c r="T158" s="14">
        <v>0.0</v>
      </c>
      <c r="U158" s="14">
        <v>1.0</v>
      </c>
      <c r="V158" s="14">
        <v>0.0</v>
      </c>
      <c r="W158" s="14">
        <v>1.0</v>
      </c>
      <c r="X158" s="14">
        <v>0.0</v>
      </c>
      <c r="Y158" s="14">
        <v>1.0</v>
      </c>
      <c r="Z158" s="8"/>
      <c r="AA158" s="14">
        <v>0.0</v>
      </c>
      <c r="AB158" s="14">
        <v>1.0</v>
      </c>
      <c r="AC158" s="14">
        <v>1.0</v>
      </c>
      <c r="AD158" s="14"/>
      <c r="AE158" s="14"/>
      <c r="AF158" s="14">
        <v>0.0</v>
      </c>
      <c r="AG158" s="14">
        <v>1.0</v>
      </c>
      <c r="AH158" s="14"/>
      <c r="AI158" s="14">
        <v>0.0</v>
      </c>
      <c r="AJ158" s="14">
        <v>1.0</v>
      </c>
      <c r="AK158" s="14"/>
      <c r="AL158" s="14">
        <v>1.0</v>
      </c>
      <c r="AM158" s="14"/>
      <c r="AN158" s="14">
        <v>1.0</v>
      </c>
      <c r="AO158" s="45">
        <v>1.0</v>
      </c>
    </row>
    <row r="159">
      <c r="A159" s="106" t="s">
        <v>434</v>
      </c>
      <c r="B159" s="60" t="s">
        <v>111</v>
      </c>
      <c r="C159" s="7"/>
      <c r="D159" s="7"/>
      <c r="E159" s="7"/>
      <c r="F159" s="7"/>
      <c r="G159" s="7"/>
      <c r="H159" s="7"/>
      <c r="I159" s="7"/>
      <c r="J159" s="7"/>
      <c r="K159" s="7"/>
      <c r="L159" s="13">
        <v>2.0</v>
      </c>
      <c r="M159" s="14">
        <v>2.0</v>
      </c>
      <c r="N159" s="8"/>
      <c r="O159" s="14">
        <v>1.0</v>
      </c>
      <c r="P159" s="8"/>
      <c r="Q159" s="8"/>
      <c r="R159" s="8"/>
      <c r="S159" s="8"/>
      <c r="T159" s="14">
        <v>0.0</v>
      </c>
      <c r="U159" s="14">
        <v>1.0</v>
      </c>
      <c r="V159" s="14">
        <v>1.0</v>
      </c>
      <c r="W159" s="14">
        <v>1.0</v>
      </c>
      <c r="X159" s="14">
        <v>0.0</v>
      </c>
      <c r="Y159" s="14">
        <v>1.0</v>
      </c>
      <c r="Z159" s="8"/>
      <c r="AA159" s="14">
        <v>0.0</v>
      </c>
      <c r="AB159" s="14">
        <v>1.0</v>
      </c>
      <c r="AC159" s="14"/>
      <c r="AD159" s="14"/>
      <c r="AE159" s="14"/>
      <c r="AF159" s="14">
        <v>1.0</v>
      </c>
      <c r="AG159" s="14"/>
      <c r="AH159" s="14"/>
      <c r="AI159" s="14">
        <v>1.0</v>
      </c>
      <c r="AJ159" s="14"/>
      <c r="AK159" s="14"/>
      <c r="AL159" s="14">
        <v>1.0</v>
      </c>
      <c r="AM159" s="14"/>
      <c r="AN159" s="14">
        <v>1.0</v>
      </c>
      <c r="AO159" s="14">
        <v>1.0</v>
      </c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14" t="s">
        <v>106</v>
      </c>
      <c r="AL162" s="8"/>
      <c r="AM162" s="8"/>
      <c r="AN162" s="8"/>
      <c r="AO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14" t="s">
        <v>106</v>
      </c>
      <c r="AK163" s="8"/>
      <c r="AL163" s="8"/>
      <c r="AM163" s="8"/>
      <c r="AN163" s="8"/>
      <c r="AO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</sheetData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5.14"/>
    <col customWidth="1" min="3" max="3" width="12.57"/>
    <col customWidth="1" min="4" max="4" width="11.86"/>
    <col customWidth="1" min="5" max="5" width="16.71"/>
    <col customWidth="1" min="6" max="6" width="17.57"/>
    <col customWidth="1" min="7" max="26" width="10.71"/>
  </cols>
  <sheetData>
    <row r="1" ht="14.25" customHeight="1">
      <c r="A1" s="12" t="s">
        <v>2</v>
      </c>
      <c r="B1" s="18"/>
      <c r="C1" s="20" t="s">
        <v>15</v>
      </c>
      <c r="D1" s="20" t="s">
        <v>20</v>
      </c>
      <c r="E1" s="20" t="s">
        <v>23</v>
      </c>
      <c r="G1" s="31">
        <v>45824.0</v>
      </c>
      <c r="H1" s="33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4.25" customHeight="1">
      <c r="A2" s="39">
        <v>8.44345919E9</v>
      </c>
      <c r="B2" s="46" t="s">
        <v>33</v>
      </c>
      <c r="C2" s="47">
        <v>7.0</v>
      </c>
      <c r="D2" s="47">
        <f t="shared" ref="D2:D28" si="1">C2*2</f>
        <v>14</v>
      </c>
      <c r="E2" s="47" t="s">
        <v>35</v>
      </c>
      <c r="G2" s="22"/>
    </row>
    <row r="3" ht="14.25" customHeight="1">
      <c r="A3" s="39">
        <v>9.07787119E9</v>
      </c>
      <c r="B3" s="46" t="s">
        <v>74</v>
      </c>
      <c r="C3" s="47">
        <v>6.0</v>
      </c>
      <c r="D3" s="47">
        <f t="shared" si="1"/>
        <v>12</v>
      </c>
      <c r="E3" s="47" t="s">
        <v>54</v>
      </c>
      <c r="G3" s="22"/>
    </row>
    <row r="4" ht="14.25" customHeight="1">
      <c r="A4" s="57">
        <v>9.04329219E9</v>
      </c>
      <c r="B4" s="60" t="s">
        <v>130</v>
      </c>
      <c r="C4" s="47">
        <v>7.0</v>
      </c>
      <c r="D4" s="47">
        <f t="shared" si="1"/>
        <v>14</v>
      </c>
      <c r="E4" s="47" t="s">
        <v>54</v>
      </c>
      <c r="G4" s="22"/>
    </row>
    <row r="5" ht="14.25" customHeight="1">
      <c r="A5" s="39">
        <v>8.99140519E9</v>
      </c>
      <c r="B5" s="46" t="s">
        <v>95</v>
      </c>
      <c r="C5" s="47">
        <v>4.0</v>
      </c>
      <c r="D5" s="47">
        <f t="shared" si="1"/>
        <v>8</v>
      </c>
      <c r="E5" s="47" t="s">
        <v>54</v>
      </c>
      <c r="G5" s="22"/>
    </row>
    <row r="6" ht="14.25" customHeight="1">
      <c r="A6" s="39">
        <v>6.47293119E9</v>
      </c>
      <c r="B6" s="46" t="s">
        <v>99</v>
      </c>
      <c r="C6" s="47">
        <v>5.0</v>
      </c>
      <c r="D6" s="47">
        <f t="shared" si="1"/>
        <v>10</v>
      </c>
      <c r="E6" s="47" t="s">
        <v>100</v>
      </c>
      <c r="G6" s="22"/>
    </row>
    <row r="7" ht="14.25" customHeight="1">
      <c r="A7" s="39">
        <v>9.00503019E9</v>
      </c>
      <c r="B7" s="46" t="s">
        <v>103</v>
      </c>
      <c r="C7" s="47">
        <v>5.0</v>
      </c>
      <c r="D7" s="47">
        <f t="shared" si="1"/>
        <v>10</v>
      </c>
      <c r="E7" s="47" t="s">
        <v>100</v>
      </c>
      <c r="G7" s="22"/>
    </row>
    <row r="8" ht="14.25" customHeight="1">
      <c r="A8" s="39">
        <v>3.56109719E9</v>
      </c>
      <c r="B8" s="46" t="s">
        <v>116</v>
      </c>
      <c r="C8" s="47">
        <v>4.0</v>
      </c>
      <c r="D8" s="47">
        <f t="shared" si="1"/>
        <v>8</v>
      </c>
      <c r="E8" s="47" t="s">
        <v>54</v>
      </c>
      <c r="G8" s="22"/>
    </row>
    <row r="9" ht="14.25" customHeight="1">
      <c r="A9" s="39">
        <v>8.93241719E9</v>
      </c>
      <c r="B9" s="46" t="s">
        <v>122</v>
      </c>
      <c r="C9" s="47">
        <v>4.0</v>
      </c>
      <c r="D9" s="47">
        <f t="shared" si="1"/>
        <v>8</v>
      </c>
      <c r="E9" s="47" t="s">
        <v>54</v>
      </c>
      <c r="G9" s="22"/>
    </row>
    <row r="10" ht="14.25" customHeight="1">
      <c r="A10" s="39">
        <v>6.65604819E9</v>
      </c>
      <c r="B10" s="46" t="s">
        <v>126</v>
      </c>
      <c r="C10" s="47">
        <v>6.0</v>
      </c>
      <c r="D10" s="47">
        <f t="shared" si="1"/>
        <v>12</v>
      </c>
      <c r="E10" s="47" t="s">
        <v>54</v>
      </c>
      <c r="G10" s="22"/>
    </row>
    <row r="11" ht="14.25" customHeight="1">
      <c r="A11" s="39">
        <v>7.09254719E9</v>
      </c>
      <c r="B11" s="46" t="s">
        <v>131</v>
      </c>
      <c r="C11" s="47">
        <v>6.0</v>
      </c>
      <c r="D11" s="47">
        <f t="shared" si="1"/>
        <v>12</v>
      </c>
      <c r="E11" s="47" t="s">
        <v>54</v>
      </c>
      <c r="G11" s="22"/>
    </row>
    <row r="12" ht="14.25" customHeight="1">
      <c r="A12" s="39">
        <v>3.27735619E9</v>
      </c>
      <c r="B12" s="46" t="s">
        <v>133</v>
      </c>
      <c r="C12" s="47">
        <v>5.0</v>
      </c>
      <c r="D12" s="47">
        <f t="shared" si="1"/>
        <v>10</v>
      </c>
      <c r="E12" s="47" t="s">
        <v>54</v>
      </c>
      <c r="G12" s="22"/>
    </row>
    <row r="13" ht="14.25" customHeight="1">
      <c r="A13" s="39">
        <v>5.20223019E9</v>
      </c>
      <c r="B13" s="46" t="s">
        <v>141</v>
      </c>
      <c r="C13" s="47">
        <v>4.0</v>
      </c>
      <c r="D13" s="47">
        <f t="shared" si="1"/>
        <v>8</v>
      </c>
      <c r="E13" s="47" t="s">
        <v>54</v>
      </c>
      <c r="G13" s="68">
        <v>2.0</v>
      </c>
    </row>
    <row r="14" ht="14.25" customHeight="1">
      <c r="A14" s="39">
        <v>3.30265219E9</v>
      </c>
      <c r="B14" s="46" t="s">
        <v>155</v>
      </c>
      <c r="C14" s="47">
        <v>4.0</v>
      </c>
      <c r="D14" s="47">
        <f t="shared" si="1"/>
        <v>8</v>
      </c>
      <c r="E14" s="47" t="s">
        <v>54</v>
      </c>
      <c r="G14" s="22"/>
    </row>
    <row r="15" ht="14.25" customHeight="1">
      <c r="A15" s="39">
        <v>1.2017504122E10</v>
      </c>
      <c r="B15" s="46" t="s">
        <v>170</v>
      </c>
      <c r="C15" s="47">
        <v>5.0</v>
      </c>
      <c r="D15" s="47">
        <f t="shared" si="1"/>
        <v>10</v>
      </c>
      <c r="E15" s="47" t="s">
        <v>54</v>
      </c>
      <c r="G15" s="22"/>
    </row>
    <row r="16" ht="14.25" customHeight="1">
      <c r="A16" s="39">
        <v>5.39013319E9</v>
      </c>
      <c r="B16" s="46" t="s">
        <v>174</v>
      </c>
      <c r="C16" s="47">
        <v>7.0</v>
      </c>
      <c r="D16" s="47">
        <f t="shared" si="1"/>
        <v>14</v>
      </c>
      <c r="E16" s="47" t="s">
        <v>54</v>
      </c>
      <c r="G16" s="22"/>
    </row>
    <row r="17" ht="14.25" customHeight="1">
      <c r="A17" s="39">
        <v>8.83853419E9</v>
      </c>
      <c r="B17" s="46" t="s">
        <v>175</v>
      </c>
      <c r="C17" s="47">
        <v>6.0</v>
      </c>
      <c r="D17" s="47">
        <f t="shared" si="1"/>
        <v>12</v>
      </c>
      <c r="E17" s="47" t="s">
        <v>54</v>
      </c>
      <c r="G17" s="22"/>
    </row>
    <row r="18" ht="14.25" customHeight="1">
      <c r="A18" s="39">
        <v>8.85196419E9</v>
      </c>
      <c r="B18" s="46" t="s">
        <v>177</v>
      </c>
      <c r="C18" s="47">
        <v>6.0</v>
      </c>
      <c r="D18" s="47">
        <f t="shared" si="1"/>
        <v>12</v>
      </c>
      <c r="E18" s="47" t="s">
        <v>54</v>
      </c>
      <c r="G18" s="22"/>
    </row>
    <row r="19" ht="14.25" customHeight="1">
      <c r="A19" s="39">
        <v>4.48776119E9</v>
      </c>
      <c r="B19" s="46" t="s">
        <v>180</v>
      </c>
      <c r="C19" s="47">
        <v>5.0</v>
      </c>
      <c r="D19" s="47">
        <f t="shared" si="1"/>
        <v>10</v>
      </c>
      <c r="E19" s="47" t="s">
        <v>54</v>
      </c>
      <c r="G19" s="22"/>
    </row>
    <row r="20" ht="14.25" customHeight="1">
      <c r="A20" s="39">
        <v>1.1731645322E10</v>
      </c>
      <c r="B20" s="46" t="s">
        <v>181</v>
      </c>
      <c r="C20" s="47">
        <v>4.0</v>
      </c>
      <c r="D20" s="47">
        <f t="shared" si="1"/>
        <v>8</v>
      </c>
      <c r="E20" s="47" t="s">
        <v>54</v>
      </c>
      <c r="G20" s="22"/>
    </row>
    <row r="21" ht="14.25" customHeight="1">
      <c r="A21" s="69">
        <v>7.03020719E9</v>
      </c>
      <c r="B21" s="70" t="s">
        <v>184</v>
      </c>
      <c r="C21" s="71">
        <v>4.0</v>
      </c>
      <c r="D21" s="71">
        <f t="shared" si="1"/>
        <v>8</v>
      </c>
      <c r="E21" s="71" t="s">
        <v>54</v>
      </c>
      <c r="G21" s="22"/>
    </row>
    <row r="22" ht="14.25" customHeight="1">
      <c r="A22" s="69">
        <v>3.045846122E9</v>
      </c>
      <c r="B22" s="70" t="s">
        <v>186</v>
      </c>
      <c r="C22" s="71">
        <v>4.0</v>
      </c>
      <c r="D22" s="71">
        <f t="shared" si="1"/>
        <v>8</v>
      </c>
      <c r="E22" s="71" t="s">
        <v>54</v>
      </c>
      <c r="G22" s="22"/>
    </row>
    <row r="23" ht="14.25" customHeight="1">
      <c r="A23" s="69">
        <v>1.1776215122E10</v>
      </c>
      <c r="B23" s="70" t="s">
        <v>187</v>
      </c>
      <c r="C23" s="71">
        <v>5.0</v>
      </c>
      <c r="D23" s="71">
        <f t="shared" si="1"/>
        <v>10</v>
      </c>
      <c r="E23" s="71" t="s">
        <v>54</v>
      </c>
      <c r="G23" s="22"/>
    </row>
    <row r="24" ht="14.25" customHeight="1">
      <c r="A24" s="72">
        <v>1.1930427122E10</v>
      </c>
      <c r="B24" s="75" t="s">
        <v>188</v>
      </c>
      <c r="C24" s="71">
        <v>5.0</v>
      </c>
      <c r="D24" s="71">
        <f t="shared" si="1"/>
        <v>10</v>
      </c>
      <c r="E24" s="71" t="s">
        <v>54</v>
      </c>
      <c r="G24" s="68">
        <v>2.0</v>
      </c>
    </row>
    <row r="25" ht="14.25" customHeight="1">
      <c r="A25" s="69">
        <v>9.31537319E9</v>
      </c>
      <c r="B25" s="70" t="s">
        <v>189</v>
      </c>
      <c r="C25" s="71">
        <v>5.0</v>
      </c>
      <c r="D25" s="71">
        <f t="shared" si="1"/>
        <v>10</v>
      </c>
      <c r="E25" s="71" t="s">
        <v>54</v>
      </c>
      <c r="G25" s="22"/>
    </row>
    <row r="26" ht="14.25" customHeight="1">
      <c r="A26" s="69">
        <v>8.88427719E9</v>
      </c>
      <c r="B26" s="70" t="s">
        <v>191</v>
      </c>
      <c r="C26" s="71">
        <v>5.0</v>
      </c>
      <c r="D26" s="71">
        <f t="shared" si="1"/>
        <v>10</v>
      </c>
      <c r="E26" s="71" t="s">
        <v>54</v>
      </c>
      <c r="G26" s="22"/>
    </row>
    <row r="27" ht="14.25" customHeight="1">
      <c r="A27" s="69">
        <v>3.73758619E9</v>
      </c>
      <c r="B27" s="70" t="s">
        <v>192</v>
      </c>
      <c r="C27" s="71">
        <v>5.0</v>
      </c>
      <c r="D27" s="71">
        <f t="shared" si="1"/>
        <v>10</v>
      </c>
      <c r="E27" s="71" t="s">
        <v>54</v>
      </c>
      <c r="G27" s="22"/>
    </row>
    <row r="28" ht="14.25" customHeight="1">
      <c r="A28" s="69">
        <v>9.03811619E9</v>
      </c>
      <c r="B28" s="70" t="s">
        <v>195</v>
      </c>
      <c r="C28" s="71">
        <v>5.0</v>
      </c>
      <c r="D28" s="71">
        <f t="shared" si="1"/>
        <v>10</v>
      </c>
      <c r="E28" s="71" t="s">
        <v>54</v>
      </c>
      <c r="G28" s="22"/>
    </row>
    <row r="29" ht="14.25" customHeight="1">
      <c r="A29" s="76"/>
      <c r="B29" s="76"/>
      <c r="C29" s="76"/>
      <c r="D29" s="76"/>
      <c r="E29" s="76"/>
      <c r="G29" s="22"/>
    </row>
    <row r="30" ht="14.25" customHeight="1">
      <c r="A30" s="77" t="s">
        <v>58</v>
      </c>
      <c r="B30" s="18"/>
      <c r="C30" s="76"/>
      <c r="D30" s="76"/>
      <c r="E30" s="78" t="s">
        <v>9</v>
      </c>
      <c r="G30" s="22"/>
    </row>
    <row r="31" ht="14.25" customHeight="1">
      <c r="A31" s="39">
        <v>1.173141619E10</v>
      </c>
      <c r="B31" s="46" t="s">
        <v>198</v>
      </c>
      <c r="C31" s="47">
        <v>23.0</v>
      </c>
      <c r="D31" s="47">
        <f>C31*2</f>
        <v>46</v>
      </c>
      <c r="E31" s="47" t="s">
        <v>50</v>
      </c>
      <c r="G31" s="22"/>
    </row>
    <row r="32" ht="14.25" customHeight="1">
      <c r="A32" s="39">
        <v>5.34178719E9</v>
      </c>
      <c r="B32" s="46" t="s">
        <v>199</v>
      </c>
      <c r="C32" s="47">
        <v>10.0</v>
      </c>
      <c r="D32" s="47">
        <f>C32*3</f>
        <v>30</v>
      </c>
      <c r="E32" s="47" t="s">
        <v>201</v>
      </c>
      <c r="G32" s="22"/>
    </row>
    <row r="33" ht="14.25" customHeight="1">
      <c r="A33" s="39">
        <v>1.1776452122E10</v>
      </c>
      <c r="B33" s="46" t="s">
        <v>202</v>
      </c>
      <c r="C33" s="47">
        <v>23.0</v>
      </c>
      <c r="D33" s="47">
        <f t="shared" ref="D33:D38" si="2">C33*2</f>
        <v>46</v>
      </c>
      <c r="E33" s="47" t="s">
        <v>50</v>
      </c>
      <c r="G33" s="22"/>
    </row>
    <row r="34" ht="14.25" customHeight="1">
      <c r="A34" s="39">
        <v>4.91704919E9</v>
      </c>
      <c r="B34" s="46" t="s">
        <v>205</v>
      </c>
      <c r="C34" s="47">
        <v>15.0</v>
      </c>
      <c r="D34" s="47">
        <f t="shared" si="2"/>
        <v>30</v>
      </c>
      <c r="E34" s="47" t="s">
        <v>110</v>
      </c>
      <c r="G34" s="22"/>
    </row>
    <row r="35" ht="14.25" customHeight="1">
      <c r="A35" s="39">
        <v>5.09510719E9</v>
      </c>
      <c r="B35" s="46" t="s">
        <v>207</v>
      </c>
      <c r="C35" s="47">
        <v>15.0</v>
      </c>
      <c r="D35" s="47">
        <f t="shared" si="2"/>
        <v>30</v>
      </c>
      <c r="E35" s="47" t="s">
        <v>110</v>
      </c>
      <c r="G35" s="22"/>
    </row>
    <row r="36" ht="14.25" customHeight="1">
      <c r="A36" s="39">
        <v>5.042666191E9</v>
      </c>
      <c r="B36" s="46" t="s">
        <v>208</v>
      </c>
      <c r="C36" s="47">
        <v>15.0</v>
      </c>
      <c r="D36" s="47">
        <f t="shared" si="2"/>
        <v>30</v>
      </c>
      <c r="E36" s="47" t="s">
        <v>110</v>
      </c>
      <c r="G36" s="22"/>
    </row>
    <row r="37" ht="14.25" customHeight="1">
      <c r="A37" s="39">
        <v>5.95095319E9</v>
      </c>
      <c r="B37" s="46" t="s">
        <v>210</v>
      </c>
      <c r="C37" s="47">
        <v>12.0</v>
      </c>
      <c r="D37" s="47">
        <f t="shared" si="2"/>
        <v>24</v>
      </c>
      <c r="E37" s="47" t="s">
        <v>110</v>
      </c>
      <c r="G37" s="22"/>
    </row>
    <row r="38" ht="14.25" customHeight="1">
      <c r="A38" s="39">
        <v>5.03166419E9</v>
      </c>
      <c r="B38" s="46" t="s">
        <v>211</v>
      </c>
      <c r="C38" s="47">
        <v>15.0</v>
      </c>
      <c r="D38" s="47">
        <f t="shared" si="2"/>
        <v>30</v>
      </c>
      <c r="E38" s="47" t="s">
        <v>110</v>
      </c>
      <c r="G38" s="22"/>
    </row>
    <row r="39" ht="14.25" customHeight="1">
      <c r="A39" s="39">
        <v>9.03812419E9</v>
      </c>
      <c r="B39" s="46" t="s">
        <v>213</v>
      </c>
      <c r="C39" s="47">
        <v>20.0</v>
      </c>
      <c r="D39" s="47">
        <f t="shared" ref="D39:D40" si="3">C39*3</f>
        <v>60</v>
      </c>
      <c r="E39" s="47" t="s">
        <v>215</v>
      </c>
      <c r="G39" s="22"/>
    </row>
    <row r="40" ht="14.25" customHeight="1">
      <c r="A40" s="79">
        <v>6.92410719E9</v>
      </c>
      <c r="B40" s="80" t="s">
        <v>218</v>
      </c>
      <c r="C40" s="81">
        <v>9.0</v>
      </c>
      <c r="D40" s="81">
        <f t="shared" si="3"/>
        <v>27</v>
      </c>
      <c r="E40" s="81" t="s">
        <v>220</v>
      </c>
      <c r="G40" s="22"/>
    </row>
    <row r="41" ht="14.25" customHeight="1">
      <c r="A41" s="39">
        <v>4.61880719E9</v>
      </c>
      <c r="B41" s="46" t="s">
        <v>221</v>
      </c>
      <c r="C41" s="47">
        <v>3.0</v>
      </c>
      <c r="D41" s="47">
        <f>C41*8</f>
        <v>24</v>
      </c>
      <c r="E41" s="47" t="s">
        <v>224</v>
      </c>
      <c r="G41" s="22"/>
    </row>
    <row r="42" ht="14.25" customHeight="1">
      <c r="A42" s="39">
        <v>4.61884019E9</v>
      </c>
      <c r="B42" s="46" t="s">
        <v>225</v>
      </c>
      <c r="C42" s="47">
        <v>5.0</v>
      </c>
      <c r="D42" s="47">
        <f>C42*4</f>
        <v>20</v>
      </c>
      <c r="E42" s="47" t="s">
        <v>226</v>
      </c>
      <c r="G42" s="22"/>
    </row>
    <row r="43" ht="14.25" customHeight="1">
      <c r="A43" s="39">
        <v>4.61882319E9</v>
      </c>
      <c r="B43" s="46" t="s">
        <v>228</v>
      </c>
      <c r="C43" s="47">
        <v>3.0</v>
      </c>
      <c r="D43" s="47">
        <f t="shared" ref="D43:D46" si="4">C43*8</f>
        <v>24</v>
      </c>
      <c r="E43" s="47" t="s">
        <v>224</v>
      </c>
      <c r="G43" s="22"/>
    </row>
    <row r="44" ht="14.25" customHeight="1">
      <c r="A44" s="39">
        <v>4.61886619E9</v>
      </c>
      <c r="B44" s="46" t="s">
        <v>231</v>
      </c>
      <c r="C44" s="47">
        <v>3.0</v>
      </c>
      <c r="D44" s="47">
        <f t="shared" si="4"/>
        <v>24</v>
      </c>
      <c r="E44" s="47" t="s">
        <v>232</v>
      </c>
      <c r="G44" s="22"/>
    </row>
    <row r="45" ht="14.25" customHeight="1">
      <c r="A45" s="39">
        <v>4.78460019E9</v>
      </c>
      <c r="B45" s="46" t="s">
        <v>233</v>
      </c>
      <c r="C45" s="47">
        <v>3.0</v>
      </c>
      <c r="D45" s="47">
        <f t="shared" si="4"/>
        <v>24</v>
      </c>
      <c r="E45" s="47" t="s">
        <v>224</v>
      </c>
      <c r="G45" s="22"/>
    </row>
    <row r="46" ht="14.25" customHeight="1">
      <c r="A46" s="39">
        <v>4.78462619E9</v>
      </c>
      <c r="B46" s="46" t="s">
        <v>235</v>
      </c>
      <c r="C46" s="47">
        <v>3.0</v>
      </c>
      <c r="D46" s="47">
        <f t="shared" si="4"/>
        <v>24</v>
      </c>
      <c r="E46" s="47" t="s">
        <v>224</v>
      </c>
      <c r="G46" s="22"/>
    </row>
    <row r="47" ht="14.25" customHeight="1">
      <c r="A47" s="22"/>
      <c r="B47" s="22"/>
      <c r="C47" s="22"/>
      <c r="D47" s="22"/>
      <c r="E47" s="22"/>
      <c r="G47" s="22"/>
    </row>
    <row r="48" ht="14.25" customHeight="1">
      <c r="A48" s="22"/>
      <c r="B48" s="22"/>
      <c r="C48" s="22"/>
      <c r="D48" s="22"/>
      <c r="E48" s="22"/>
      <c r="G48" s="22"/>
    </row>
    <row r="49" ht="14.25" customHeight="1">
      <c r="A49" s="82" t="s">
        <v>77</v>
      </c>
      <c r="B49" s="83"/>
      <c r="C49" s="83"/>
      <c r="D49" s="83"/>
      <c r="E49" s="18"/>
      <c r="F49" s="27">
        <v>45818.0</v>
      </c>
    </row>
    <row r="50" ht="14.25" customHeight="1">
      <c r="A50" s="32">
        <v>5.694302001E9</v>
      </c>
      <c r="B50" s="34" t="s">
        <v>242</v>
      </c>
      <c r="C50" s="84">
        <v>55.0</v>
      </c>
      <c r="D50" s="49"/>
      <c r="E50" s="84" t="s">
        <v>244</v>
      </c>
      <c r="F50" s="22">
        <v>0.0</v>
      </c>
    </row>
    <row r="51" ht="14.25" customHeight="1">
      <c r="A51" s="32">
        <v>7.29901019E9</v>
      </c>
      <c r="B51" s="34" t="s">
        <v>245</v>
      </c>
      <c r="C51" s="49"/>
      <c r="D51" s="49"/>
      <c r="E51" s="84" t="s">
        <v>246</v>
      </c>
      <c r="F51" s="22">
        <v>0.0</v>
      </c>
    </row>
    <row r="52" ht="14.25" customHeight="1">
      <c r="A52" s="32">
        <v>7.29900119E9</v>
      </c>
      <c r="B52" s="34" t="s">
        <v>247</v>
      </c>
      <c r="C52" s="84">
        <v>42.0</v>
      </c>
      <c r="D52" s="49"/>
      <c r="E52" s="84" t="s">
        <v>246</v>
      </c>
      <c r="F52" s="22">
        <v>0.0</v>
      </c>
    </row>
    <row r="53" ht="14.25" customHeight="1">
      <c r="A53" s="32">
        <v>9.76258219E9</v>
      </c>
      <c r="B53" s="34" t="s">
        <v>249</v>
      </c>
      <c r="C53" s="49"/>
      <c r="D53" s="49"/>
      <c r="E53" s="49"/>
      <c r="F53" s="22">
        <v>0.0</v>
      </c>
    </row>
    <row r="54" ht="14.25" customHeight="1">
      <c r="A54" s="32">
        <v>6.90885319E9</v>
      </c>
      <c r="B54" s="34" t="s">
        <v>250</v>
      </c>
      <c r="C54" s="85">
        <v>25.0</v>
      </c>
      <c r="D54" s="85">
        <v>50.0</v>
      </c>
      <c r="E54" s="85" t="s">
        <v>254</v>
      </c>
      <c r="F54" s="85"/>
    </row>
    <row r="55" ht="14.25" customHeight="1">
      <c r="A55" s="32">
        <v>4.88029319E9</v>
      </c>
      <c r="B55" s="34" t="s">
        <v>259</v>
      </c>
      <c r="C55" s="85">
        <v>50.0</v>
      </c>
      <c r="D55" s="85">
        <v>100.0</v>
      </c>
      <c r="E55" s="85" t="s">
        <v>254</v>
      </c>
      <c r="F55" s="85"/>
    </row>
    <row r="56" ht="14.25" customHeight="1">
      <c r="A56" s="32">
        <v>6.90879919E9</v>
      </c>
      <c r="B56" s="34" t="s">
        <v>263</v>
      </c>
      <c r="C56" s="85">
        <v>35.0</v>
      </c>
      <c r="D56" s="85">
        <v>70.0</v>
      </c>
      <c r="E56" s="85" t="s">
        <v>254</v>
      </c>
      <c r="F56" s="22"/>
    </row>
    <row r="57" ht="14.25" customHeight="1">
      <c r="A57" s="32">
        <v>4.444191001E9</v>
      </c>
      <c r="B57" s="34" t="s">
        <v>265</v>
      </c>
      <c r="C57" s="84">
        <v>50.0</v>
      </c>
      <c r="D57" s="49"/>
      <c r="E57" s="84">
        <v>250.0</v>
      </c>
      <c r="F57" s="22"/>
      <c r="G57" s="62">
        <v>4.0</v>
      </c>
    </row>
    <row r="58" ht="14.25" customHeight="1">
      <c r="A58" s="32">
        <v>1.0394246001E10</v>
      </c>
      <c r="B58" s="34" t="s">
        <v>267</v>
      </c>
      <c r="C58" s="49"/>
      <c r="D58" s="49"/>
      <c r="E58" s="84">
        <v>5000.0</v>
      </c>
      <c r="F58" s="22"/>
    </row>
    <row r="59" ht="14.25" customHeight="1">
      <c r="A59" s="32">
        <v>5.88907319E9</v>
      </c>
      <c r="B59" s="86" t="s">
        <v>268</v>
      </c>
      <c r="C59" s="49"/>
      <c r="D59" s="49"/>
      <c r="E59" s="84">
        <v>100.0</v>
      </c>
      <c r="F59" s="22"/>
    </row>
    <row r="60" ht="14.25" customHeight="1">
      <c r="A60" s="32">
        <v>5.94431719E9</v>
      </c>
      <c r="B60" s="86" t="s">
        <v>270</v>
      </c>
      <c r="C60" s="49"/>
      <c r="D60" s="49"/>
      <c r="E60" s="84" t="s">
        <v>271</v>
      </c>
      <c r="F60" s="22"/>
    </row>
    <row r="61" ht="14.25" customHeight="1">
      <c r="A61" s="32">
        <v>9.37006419E9</v>
      </c>
      <c r="B61" s="34" t="s">
        <v>272</v>
      </c>
      <c r="C61" s="49"/>
      <c r="D61" s="49"/>
      <c r="E61" s="84" t="s">
        <v>274</v>
      </c>
      <c r="F61" s="22"/>
    </row>
    <row r="62" ht="14.25" customHeight="1">
      <c r="A62" s="32">
        <v>9.37009919E9</v>
      </c>
      <c r="B62" s="34" t="s">
        <v>275</v>
      </c>
      <c r="C62" s="49"/>
      <c r="D62" s="49"/>
      <c r="E62" s="84" t="s">
        <v>276</v>
      </c>
      <c r="F62" s="22"/>
    </row>
    <row r="63" ht="14.25" customHeight="1">
      <c r="A63" s="32">
        <v>5.870020001E9</v>
      </c>
      <c r="B63" s="34" t="s">
        <v>279</v>
      </c>
      <c r="C63" s="84">
        <v>132.0</v>
      </c>
      <c r="D63" s="85">
        <v>132.0</v>
      </c>
      <c r="E63" s="84" t="s">
        <v>280</v>
      </c>
      <c r="F63" s="22"/>
    </row>
    <row r="64" ht="14.25" customHeight="1">
      <c r="A64" s="32">
        <v>4.419987001E9</v>
      </c>
      <c r="B64" s="34" t="s">
        <v>281</v>
      </c>
      <c r="C64" s="84">
        <v>15.0</v>
      </c>
      <c r="D64" s="85">
        <v>15.0</v>
      </c>
      <c r="E64" s="84" t="s">
        <v>282</v>
      </c>
      <c r="F64" s="22"/>
    </row>
    <row r="65" ht="14.25" customHeight="1">
      <c r="A65" s="49"/>
      <c r="B65" s="34" t="s">
        <v>284</v>
      </c>
      <c r="C65" s="85">
        <v>420.0</v>
      </c>
      <c r="D65" s="85">
        <v>840.0</v>
      </c>
      <c r="E65" s="49"/>
      <c r="F65" s="22"/>
    </row>
    <row r="66" ht="14.25" customHeight="1">
      <c r="A66" s="49"/>
      <c r="B66" s="34" t="s">
        <v>286</v>
      </c>
      <c r="C66" s="85">
        <v>15.0</v>
      </c>
      <c r="D66" s="85">
        <v>30.0</v>
      </c>
      <c r="E66" s="49"/>
      <c r="F66" s="22"/>
      <c r="G66" s="62">
        <v>4.0</v>
      </c>
    </row>
    <row r="67" ht="14.25" customHeight="1">
      <c r="A67" s="32">
        <v>1.1298500316E10</v>
      </c>
      <c r="B67" s="34" t="s">
        <v>138</v>
      </c>
      <c r="C67" s="84">
        <v>3.0</v>
      </c>
      <c r="D67" s="85">
        <v>6.0</v>
      </c>
      <c r="E67" s="34" t="s">
        <v>289</v>
      </c>
      <c r="F67" s="22"/>
    </row>
    <row r="68" ht="14.25" customHeight="1">
      <c r="A68" s="55">
        <v>7.485409001E9</v>
      </c>
      <c r="B68" s="56" t="s">
        <v>290</v>
      </c>
      <c r="C68" s="85">
        <v>14.0</v>
      </c>
      <c r="D68" s="85">
        <v>112.0</v>
      </c>
      <c r="E68" s="49"/>
      <c r="F68" s="22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B1"/>
    <mergeCell ref="A30:B30"/>
    <mergeCell ref="A49:E49"/>
  </mergeCells>
  <printOptions/>
  <pageMargins bottom="0.75" footer="0.0" header="0.0" left="0.7" right="0.7" top="0.75"/>
  <pageSetup scale="6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14"/>
    <col customWidth="1" min="3" max="3" width="32.0"/>
    <col customWidth="1" min="4" max="4" width="28.86"/>
    <col customWidth="1" min="5" max="5" width="14.29"/>
    <col customWidth="1" min="6" max="26" width="10.71"/>
  </cols>
  <sheetData>
    <row r="1" ht="14.25" customHeight="1">
      <c r="A1" s="23" t="s">
        <v>2</v>
      </c>
      <c r="B1" s="18"/>
      <c r="C1" s="26" t="s">
        <v>28</v>
      </c>
      <c r="D1" s="26" t="s">
        <v>29</v>
      </c>
      <c r="E1" s="26" t="s">
        <v>30</v>
      </c>
      <c r="F1" s="27">
        <v>45818.0</v>
      </c>
      <c r="G1" s="28">
        <v>45824.0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A2" s="32">
        <v>1.075935019E10</v>
      </c>
      <c r="B2" s="34" t="s">
        <v>32</v>
      </c>
      <c r="C2" s="36">
        <v>3.0</v>
      </c>
      <c r="D2" s="37">
        <v>36.0</v>
      </c>
      <c r="E2" s="36" t="s">
        <v>34</v>
      </c>
      <c r="F2" s="40"/>
      <c r="G2" s="4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4.25" customHeight="1">
      <c r="A3" s="32">
        <v>1.2172623122E10</v>
      </c>
      <c r="B3" s="34" t="s">
        <v>37</v>
      </c>
      <c r="C3" s="36">
        <v>5.0</v>
      </c>
      <c r="D3" s="37">
        <v>15.0</v>
      </c>
      <c r="E3" s="36" t="s">
        <v>38</v>
      </c>
      <c r="F3" s="40"/>
      <c r="G3" s="43">
        <v>3.0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32">
        <v>1.1447394216E10</v>
      </c>
      <c r="B4" s="34" t="s">
        <v>39</v>
      </c>
      <c r="C4" s="36">
        <v>5.0</v>
      </c>
      <c r="D4" s="37">
        <v>15.0</v>
      </c>
      <c r="E4" s="36" t="s">
        <v>38</v>
      </c>
      <c r="F4" s="40"/>
      <c r="G4" s="43">
        <v>3.0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32">
        <v>3.121305122E9</v>
      </c>
      <c r="B5" s="34" t="s">
        <v>40</v>
      </c>
      <c r="C5" s="36">
        <v>3.0</v>
      </c>
      <c r="D5" s="37">
        <v>15.0</v>
      </c>
      <c r="E5" s="36" t="s">
        <v>42</v>
      </c>
      <c r="F5" s="40"/>
      <c r="G5" s="4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32">
        <v>1.1355279216E10</v>
      </c>
      <c r="B6" s="34" t="s">
        <v>43</v>
      </c>
      <c r="C6" s="36">
        <v>3.0</v>
      </c>
      <c r="D6" s="36">
        <v>15.0</v>
      </c>
      <c r="E6" s="36" t="s">
        <v>42</v>
      </c>
      <c r="F6" s="40"/>
      <c r="G6" s="43">
        <v>3.0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32">
        <v>4.52841719E9</v>
      </c>
      <c r="B7" s="34" t="s">
        <v>44</v>
      </c>
      <c r="C7" s="36">
        <v>5.0</v>
      </c>
      <c r="D7" s="37">
        <v>15.0</v>
      </c>
      <c r="E7" s="36" t="s">
        <v>45</v>
      </c>
      <c r="F7" s="40"/>
      <c r="G7" s="4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32">
        <v>5.05090119E9</v>
      </c>
      <c r="B8" s="34" t="s">
        <v>47</v>
      </c>
      <c r="C8" s="36">
        <v>12.0</v>
      </c>
      <c r="D8" s="37">
        <v>12.0</v>
      </c>
      <c r="E8" s="36" t="s">
        <v>48</v>
      </c>
      <c r="F8" s="40"/>
      <c r="G8" s="4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32">
        <v>1.2172828322E10</v>
      </c>
      <c r="B9" s="34" t="s">
        <v>51</v>
      </c>
      <c r="C9" s="36">
        <v>12.0</v>
      </c>
      <c r="D9" s="37">
        <v>12.0</v>
      </c>
      <c r="E9" s="36" t="s">
        <v>42</v>
      </c>
      <c r="F9" s="40"/>
      <c r="G9" s="4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49"/>
      <c r="B10" s="49"/>
      <c r="C10" s="49"/>
      <c r="D10" s="49"/>
      <c r="E10" s="49"/>
      <c r="F10" s="40"/>
      <c r="G10" s="4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50" t="s">
        <v>56</v>
      </c>
      <c r="B11" s="50" t="s">
        <v>58</v>
      </c>
      <c r="C11" s="49"/>
      <c r="D11" s="49"/>
      <c r="E11" s="49"/>
      <c r="F11" s="40"/>
      <c r="G11" s="4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32">
        <v>3.121313122E9</v>
      </c>
      <c r="B12" s="34" t="s">
        <v>46</v>
      </c>
      <c r="C12" s="36">
        <v>5.0</v>
      </c>
      <c r="D12" s="36">
        <v>20.0</v>
      </c>
      <c r="E12" s="36" t="s">
        <v>62</v>
      </c>
      <c r="F12" s="40"/>
      <c r="G12" s="4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32">
        <v>3.121291122E9</v>
      </c>
      <c r="B13" s="34" t="s">
        <v>60</v>
      </c>
      <c r="C13" s="36">
        <v>5.0</v>
      </c>
      <c r="D13" s="36">
        <v>20.0</v>
      </c>
      <c r="E13" s="36" t="s">
        <v>62</v>
      </c>
      <c r="F13" s="40"/>
      <c r="G13" s="4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32">
        <v>5.94762619E9</v>
      </c>
      <c r="B14" s="34" t="s">
        <v>63</v>
      </c>
      <c r="C14" s="36">
        <v>15.0</v>
      </c>
      <c r="D14" s="36">
        <v>60.0</v>
      </c>
      <c r="E14" s="36" t="s">
        <v>64</v>
      </c>
      <c r="F14" s="40"/>
      <c r="G14" s="4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32">
        <v>5.94777419E9</v>
      </c>
      <c r="B15" s="34" t="s">
        <v>66</v>
      </c>
      <c r="C15" s="36">
        <v>15.0</v>
      </c>
      <c r="D15" s="36">
        <v>60.0</v>
      </c>
      <c r="E15" s="36" t="s">
        <v>64</v>
      </c>
      <c r="F15" s="40"/>
      <c r="G15" s="4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32">
        <v>5.47920719E9</v>
      </c>
      <c r="B16" s="34" t="s">
        <v>67</v>
      </c>
      <c r="C16" s="36">
        <v>13.0</v>
      </c>
      <c r="D16" s="36">
        <v>52.0</v>
      </c>
      <c r="E16" s="36" t="s">
        <v>68</v>
      </c>
      <c r="F16" s="40"/>
      <c r="G16" s="4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32">
        <v>5.91250419E9</v>
      </c>
      <c r="B17" s="34" t="s">
        <v>69</v>
      </c>
      <c r="C17" s="36">
        <v>13.0</v>
      </c>
      <c r="D17" s="36">
        <v>52.0</v>
      </c>
      <c r="E17" s="36" t="s">
        <v>68</v>
      </c>
      <c r="F17" s="40"/>
      <c r="G17" s="4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32">
        <v>5.05093619E9</v>
      </c>
      <c r="B18" s="34" t="s">
        <v>71</v>
      </c>
      <c r="C18" s="36">
        <v>30.0</v>
      </c>
      <c r="D18" s="49"/>
      <c r="E18" s="36" t="s">
        <v>72</v>
      </c>
      <c r="F18" s="40"/>
      <c r="G18" s="4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32">
        <v>3.005496122E9</v>
      </c>
      <c r="B19" s="34" t="s">
        <v>73</v>
      </c>
      <c r="C19" s="36">
        <v>30.0</v>
      </c>
      <c r="D19" s="49"/>
      <c r="E19" s="36" t="s">
        <v>72</v>
      </c>
      <c r="F19" s="40"/>
      <c r="G19" s="4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49"/>
      <c r="B20" s="49"/>
      <c r="C20" s="49"/>
      <c r="D20" s="49"/>
      <c r="E20" s="49"/>
      <c r="F20" s="40"/>
      <c r="G20" s="4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50" t="s">
        <v>56</v>
      </c>
      <c r="B21" s="50" t="s">
        <v>77</v>
      </c>
      <c r="C21" s="49"/>
      <c r="D21" s="49"/>
      <c r="E21" s="49"/>
      <c r="F21" s="40"/>
      <c r="G21" s="4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32">
        <v>7.700814001E9</v>
      </c>
      <c r="B22" s="34" t="s">
        <v>78</v>
      </c>
      <c r="C22" s="36">
        <v>5.0</v>
      </c>
      <c r="D22" s="49"/>
      <c r="E22" s="49"/>
      <c r="F22" s="40"/>
      <c r="G22" s="4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32">
        <v>8.06335419E9</v>
      </c>
      <c r="B23" s="34" t="s">
        <v>79</v>
      </c>
      <c r="C23" s="36">
        <v>25.0</v>
      </c>
      <c r="D23" s="49"/>
      <c r="E23" s="49"/>
      <c r="F23" s="40">
        <v>6.0</v>
      </c>
      <c r="G23" s="4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32">
        <v>8.06345119E9</v>
      </c>
      <c r="B24" s="34" t="s">
        <v>81</v>
      </c>
      <c r="C24" s="36">
        <v>27.0</v>
      </c>
      <c r="D24" s="49"/>
      <c r="E24" s="49"/>
      <c r="F24" s="40">
        <v>10.0</v>
      </c>
      <c r="G24" s="4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32">
        <v>8.06349419E9</v>
      </c>
      <c r="B25" s="34" t="s">
        <v>83</v>
      </c>
      <c r="C25" s="36">
        <v>12.0</v>
      </c>
      <c r="D25" s="49"/>
      <c r="E25" s="49"/>
      <c r="F25" s="40">
        <v>1.0</v>
      </c>
      <c r="G25" s="4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32">
        <v>8.06347819E9</v>
      </c>
      <c r="B26" s="34" t="s">
        <v>85</v>
      </c>
      <c r="C26" s="36">
        <v>8.0</v>
      </c>
      <c r="D26" s="49"/>
      <c r="E26" s="49"/>
      <c r="F26" s="40">
        <v>1.0</v>
      </c>
      <c r="G26" s="4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32">
        <v>8.30272319E9</v>
      </c>
      <c r="B27" s="34" t="s">
        <v>86</v>
      </c>
      <c r="C27" s="36">
        <v>4.0</v>
      </c>
      <c r="D27" s="37">
        <v>8.0</v>
      </c>
      <c r="E27" s="36" t="s">
        <v>87</v>
      </c>
      <c r="F27" s="40"/>
      <c r="G27" s="4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32">
        <v>8.46309319E9</v>
      </c>
      <c r="B28" s="34" t="s">
        <v>89</v>
      </c>
      <c r="C28" s="36">
        <v>62.0</v>
      </c>
      <c r="D28" s="49"/>
      <c r="E28" s="36" t="s">
        <v>90</v>
      </c>
      <c r="F28" s="40"/>
      <c r="G28" s="4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32">
        <v>8.30254519E9</v>
      </c>
      <c r="B29" s="34" t="s">
        <v>91</v>
      </c>
      <c r="C29" s="36">
        <v>25.0</v>
      </c>
      <c r="D29" s="37">
        <v>50.0</v>
      </c>
      <c r="E29" s="36" t="s">
        <v>87</v>
      </c>
      <c r="F29" s="40">
        <v>20.0</v>
      </c>
      <c r="G29" s="4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32">
        <v>8.46310719E9</v>
      </c>
      <c r="B30" s="34" t="s">
        <v>94</v>
      </c>
      <c r="C30" s="36">
        <v>15.0</v>
      </c>
      <c r="D30" s="49"/>
      <c r="E30" s="49"/>
      <c r="F30" s="40"/>
      <c r="G30" s="4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55">
        <v>4.740955001E9</v>
      </c>
      <c r="B31" s="56" t="s">
        <v>96</v>
      </c>
      <c r="C31" s="36">
        <v>1.0</v>
      </c>
      <c r="D31" s="36">
        <v>1.0</v>
      </c>
      <c r="E31" s="49"/>
      <c r="F31" s="40"/>
      <c r="G31" s="4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55">
        <v>6.54441019E9</v>
      </c>
      <c r="B32" s="56" t="s">
        <v>98</v>
      </c>
      <c r="C32" s="36">
        <v>2.0</v>
      </c>
      <c r="D32" s="36">
        <v>24.0</v>
      </c>
      <c r="E32" s="49"/>
      <c r="F32" s="40">
        <v>1.0</v>
      </c>
      <c r="G32" s="4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49"/>
      <c r="B33" s="34" t="s">
        <v>101</v>
      </c>
      <c r="C33" s="36">
        <v>3.0</v>
      </c>
      <c r="D33" s="49"/>
      <c r="E33" s="36" t="s">
        <v>102</v>
      </c>
      <c r="F33" s="40"/>
      <c r="G33" s="4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49"/>
      <c r="B34" s="34" t="s">
        <v>104</v>
      </c>
      <c r="C34" s="36">
        <v>8.0</v>
      </c>
      <c r="D34" s="49"/>
      <c r="E34" s="36" t="s">
        <v>105</v>
      </c>
      <c r="F34" s="40"/>
      <c r="G34" s="4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49"/>
      <c r="B35" s="56" t="s">
        <v>107</v>
      </c>
      <c r="C35" s="49"/>
      <c r="D35" s="49"/>
      <c r="E35" s="49"/>
      <c r="F35" s="40"/>
      <c r="G35" s="4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49"/>
      <c r="B36" s="56" t="s">
        <v>111</v>
      </c>
      <c r="C36" s="36">
        <v>8.0</v>
      </c>
      <c r="D36" s="49"/>
      <c r="E36" s="36" t="s">
        <v>105</v>
      </c>
      <c r="F36" s="40"/>
      <c r="G36" s="4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55">
        <v>8.05932219E9</v>
      </c>
      <c r="B37" s="56" t="s">
        <v>112</v>
      </c>
      <c r="C37" s="36">
        <v>3.0</v>
      </c>
      <c r="D37" s="49"/>
      <c r="E37" s="49"/>
      <c r="F37" s="40"/>
      <c r="G37" s="4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55">
        <v>4.813707001E9</v>
      </c>
      <c r="B38" s="56" t="s">
        <v>113</v>
      </c>
      <c r="C38" s="36">
        <v>15.0</v>
      </c>
      <c r="D38" s="49"/>
      <c r="E38" s="49"/>
      <c r="F38" s="40">
        <v>1.0</v>
      </c>
      <c r="G38" s="4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55">
        <v>4.516303001E9</v>
      </c>
      <c r="B39" s="56" t="s">
        <v>115</v>
      </c>
      <c r="C39" s="36">
        <v>2.0</v>
      </c>
      <c r="D39" s="49"/>
      <c r="E39" s="49"/>
      <c r="F39" s="40"/>
      <c r="G39" s="4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55">
        <v>4.516265001E9</v>
      </c>
      <c r="B40" s="56" t="s">
        <v>117</v>
      </c>
      <c r="C40" s="36">
        <v>9.0</v>
      </c>
      <c r="D40" s="49"/>
      <c r="E40" s="49"/>
      <c r="F40" s="40"/>
      <c r="G40" s="4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55">
        <v>4.516273001E9</v>
      </c>
      <c r="B41" s="56" t="s">
        <v>120</v>
      </c>
      <c r="C41" s="36">
        <v>9.0</v>
      </c>
      <c r="D41" s="49"/>
      <c r="E41" s="49"/>
      <c r="F41" s="40"/>
      <c r="G41" s="4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49"/>
      <c r="B42" s="56" t="s">
        <v>121</v>
      </c>
      <c r="C42" s="36">
        <v>9.0</v>
      </c>
      <c r="D42" s="49"/>
      <c r="E42" s="49"/>
      <c r="F42" s="40"/>
      <c r="G42" s="4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56" t="s">
        <v>123</v>
      </c>
      <c r="B43" s="56" t="s">
        <v>124</v>
      </c>
      <c r="C43" s="36">
        <v>3.0</v>
      </c>
      <c r="D43" s="49"/>
      <c r="E43" s="49"/>
      <c r="F43" s="40"/>
      <c r="G43" s="4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49"/>
      <c r="B44" s="56" t="s">
        <v>125</v>
      </c>
      <c r="C44" s="36">
        <v>1.0</v>
      </c>
      <c r="D44" s="49"/>
      <c r="E44" s="49"/>
      <c r="F44" s="40"/>
      <c r="G44" s="4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49"/>
      <c r="B45" s="56" t="s">
        <v>127</v>
      </c>
      <c r="C45" s="36">
        <v>1.0</v>
      </c>
      <c r="D45" s="49"/>
      <c r="E45" s="49"/>
      <c r="F45" s="40"/>
      <c r="G45" s="4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49"/>
      <c r="B46" s="56" t="s">
        <v>128</v>
      </c>
      <c r="C46" s="49"/>
      <c r="D46" s="49"/>
      <c r="E46" s="49"/>
      <c r="F46" s="40"/>
      <c r="G46" s="4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49"/>
      <c r="B47" s="59" t="s">
        <v>129</v>
      </c>
      <c r="C47" s="49"/>
      <c r="D47" s="49"/>
      <c r="E47" s="49"/>
      <c r="F47" s="40"/>
      <c r="G47" s="4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49"/>
      <c r="B48" s="49"/>
      <c r="C48" s="49"/>
      <c r="D48" s="49"/>
      <c r="E48" s="49"/>
      <c r="F48" s="40"/>
      <c r="G48" s="4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61" t="s">
        <v>56</v>
      </c>
      <c r="B49" s="61" t="s">
        <v>77</v>
      </c>
      <c r="C49" s="49"/>
      <c r="D49" s="49"/>
      <c r="E49" s="49"/>
      <c r="F49" s="40"/>
      <c r="G49" s="4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32">
        <v>1.1183974216E10</v>
      </c>
      <c r="B50" s="34" t="s">
        <v>135</v>
      </c>
      <c r="C50" s="36">
        <v>45.0</v>
      </c>
      <c r="D50" s="36">
        <v>450.0</v>
      </c>
      <c r="E50" s="36" t="s">
        <v>136</v>
      </c>
      <c r="F50" s="36">
        <v>30.0</v>
      </c>
      <c r="G50" s="4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32">
        <v>1.1183982216E10</v>
      </c>
      <c r="B51" s="34" t="s">
        <v>137</v>
      </c>
      <c r="C51" s="36">
        <v>45.0</v>
      </c>
      <c r="D51" s="36">
        <v>450.0</v>
      </c>
      <c r="E51" s="36" t="s">
        <v>136</v>
      </c>
      <c r="F51" s="36">
        <v>30.0</v>
      </c>
      <c r="G51" s="4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32">
        <v>1.1298500316E10</v>
      </c>
      <c r="B52" s="34" t="s">
        <v>138</v>
      </c>
      <c r="C52" s="36">
        <v>5.0</v>
      </c>
      <c r="D52" s="49"/>
      <c r="E52" s="49"/>
      <c r="F52" s="40"/>
      <c r="G52" s="4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32">
        <v>2.0763071122E10</v>
      </c>
      <c r="B53" s="34" t="s">
        <v>139</v>
      </c>
      <c r="C53" s="36">
        <v>3.0</v>
      </c>
      <c r="D53" s="36">
        <v>18.0</v>
      </c>
      <c r="E53" s="36" t="s">
        <v>140</v>
      </c>
      <c r="F53" s="40"/>
      <c r="G53" s="4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32">
        <v>4.66363219E9</v>
      </c>
      <c r="B54" s="34" t="s">
        <v>143</v>
      </c>
      <c r="C54" s="36">
        <v>4.0</v>
      </c>
      <c r="D54" s="36">
        <v>48.0</v>
      </c>
      <c r="E54" s="36" t="s">
        <v>144</v>
      </c>
      <c r="F54" s="40"/>
      <c r="G54" s="4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32">
        <v>4.88048019E9</v>
      </c>
      <c r="B55" s="34" t="s">
        <v>145</v>
      </c>
      <c r="C55" s="36">
        <v>25.0</v>
      </c>
      <c r="D55" s="36">
        <v>50.0</v>
      </c>
      <c r="E55" s="36" t="s">
        <v>146</v>
      </c>
      <c r="F55" s="36">
        <v>10.0</v>
      </c>
      <c r="G55" s="4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32">
        <v>4.88045519E9</v>
      </c>
      <c r="B56" s="34" t="s">
        <v>147</v>
      </c>
      <c r="C56" s="36">
        <v>25.0</v>
      </c>
      <c r="D56" s="36">
        <v>50.0</v>
      </c>
      <c r="E56" s="36" t="s">
        <v>146</v>
      </c>
      <c r="F56" s="36">
        <v>20.0</v>
      </c>
      <c r="G56" s="4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32">
        <v>8.39201319E9</v>
      </c>
      <c r="B57" s="34" t="s">
        <v>149</v>
      </c>
      <c r="C57" s="36">
        <v>20.0</v>
      </c>
      <c r="D57" s="36">
        <v>40.0</v>
      </c>
      <c r="E57" s="49"/>
      <c r="F57" s="40">
        <v>10.0</v>
      </c>
      <c r="G57" s="4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32">
        <v>1.0820652216E10</v>
      </c>
      <c r="B58" s="34" t="s">
        <v>150</v>
      </c>
      <c r="C58" s="49"/>
      <c r="D58" s="36">
        <v>0.0</v>
      </c>
      <c r="E58" s="36" t="s">
        <v>151</v>
      </c>
      <c r="F58" s="40"/>
      <c r="G58" s="4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32">
        <v>3.149501001E9</v>
      </c>
      <c r="B59" s="34" t="s">
        <v>152</v>
      </c>
      <c r="C59" s="36">
        <v>3.0</v>
      </c>
      <c r="D59" s="49"/>
      <c r="E59" s="49"/>
      <c r="F59" s="40"/>
      <c r="G59" s="4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64">
        <v>1.0825468001E10</v>
      </c>
      <c r="B60" s="65" t="s">
        <v>156</v>
      </c>
      <c r="C60" s="66">
        <v>7.0</v>
      </c>
      <c r="D60" s="67"/>
      <c r="E60" s="67"/>
      <c r="F60" s="40"/>
      <c r="G60" s="4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64">
        <v>1.0825441001E10</v>
      </c>
      <c r="B61" s="65" t="s">
        <v>160</v>
      </c>
      <c r="C61" s="66">
        <v>7.0</v>
      </c>
      <c r="D61" s="67"/>
      <c r="E61" s="67"/>
      <c r="F61" s="40"/>
      <c r="G61" s="4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64">
        <v>3.246353001E9</v>
      </c>
      <c r="B62" s="65" t="s">
        <v>161</v>
      </c>
      <c r="C62" s="66">
        <v>7.0</v>
      </c>
      <c r="D62" s="67"/>
      <c r="E62" s="67"/>
      <c r="F62" s="40"/>
      <c r="G62" s="4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30"/>
      <c r="B63" s="30"/>
      <c r="C63" s="30"/>
      <c r="D63" s="30"/>
      <c r="E63" s="30"/>
      <c r="F63" s="30"/>
      <c r="G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30"/>
      <c r="B64" s="30"/>
      <c r="C64" s="30"/>
      <c r="D64" s="30"/>
      <c r="E64" s="30"/>
      <c r="F64" s="30"/>
      <c r="G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30"/>
      <c r="B65" s="30"/>
      <c r="C65" s="30"/>
      <c r="D65" s="30"/>
      <c r="E65" s="30"/>
      <c r="F65" s="30"/>
      <c r="G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30"/>
      <c r="B66" s="30"/>
      <c r="C66" s="30"/>
      <c r="D66" s="30"/>
      <c r="E66" s="30"/>
      <c r="F66" s="30"/>
      <c r="G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30"/>
      <c r="B67" s="30"/>
      <c r="C67" s="30"/>
      <c r="D67" s="30"/>
      <c r="E67" s="30"/>
      <c r="F67" s="30"/>
      <c r="G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30"/>
      <c r="B68" s="30"/>
      <c r="C68" s="30"/>
      <c r="D68" s="30"/>
      <c r="E68" s="30"/>
      <c r="F68" s="30"/>
      <c r="G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30"/>
      <c r="B69" s="30"/>
      <c r="C69" s="30"/>
      <c r="D69" s="30"/>
      <c r="E69" s="30"/>
      <c r="F69" s="30"/>
      <c r="G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30"/>
      <c r="B70" s="30"/>
      <c r="C70" s="30"/>
      <c r="D70" s="30"/>
      <c r="E70" s="30"/>
      <c r="F70" s="30"/>
      <c r="G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30"/>
      <c r="B71" s="30"/>
      <c r="C71" s="30"/>
      <c r="D71" s="30"/>
      <c r="E71" s="30"/>
      <c r="F71" s="30"/>
      <c r="G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30"/>
      <c r="B72" s="30"/>
      <c r="C72" s="30"/>
      <c r="D72" s="30"/>
      <c r="E72" s="30"/>
      <c r="F72" s="30"/>
      <c r="G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30"/>
      <c r="B73" s="30"/>
      <c r="C73" s="30"/>
      <c r="D73" s="30"/>
      <c r="E73" s="30"/>
      <c r="F73" s="30"/>
      <c r="G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30"/>
      <c r="B74" s="30"/>
      <c r="C74" s="30"/>
      <c r="D74" s="30"/>
      <c r="E74" s="30"/>
      <c r="F74" s="30"/>
      <c r="G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30"/>
      <c r="B75" s="30"/>
      <c r="C75" s="30"/>
      <c r="D75" s="30"/>
      <c r="E75" s="30"/>
      <c r="F75" s="30"/>
      <c r="G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30"/>
      <c r="B76" s="30"/>
      <c r="C76" s="30"/>
      <c r="D76" s="30"/>
      <c r="E76" s="30"/>
      <c r="F76" s="30"/>
      <c r="G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30"/>
      <c r="B77" s="30"/>
      <c r="C77" s="30"/>
      <c r="D77" s="30"/>
      <c r="E77" s="30"/>
      <c r="F77" s="30"/>
      <c r="G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30"/>
      <c r="B78" s="30"/>
      <c r="C78" s="30"/>
      <c r="D78" s="30"/>
      <c r="E78" s="30"/>
      <c r="F78" s="30"/>
      <c r="G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30"/>
      <c r="B79" s="30"/>
      <c r="C79" s="30"/>
      <c r="D79" s="30"/>
      <c r="E79" s="30"/>
      <c r="F79" s="30"/>
      <c r="G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30"/>
      <c r="B80" s="30"/>
      <c r="C80" s="30"/>
      <c r="D80" s="30"/>
      <c r="E80" s="30"/>
      <c r="F80" s="30"/>
      <c r="G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30"/>
      <c r="B81" s="30"/>
      <c r="C81" s="30"/>
      <c r="D81" s="30"/>
      <c r="E81" s="30"/>
      <c r="F81" s="30"/>
      <c r="G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30"/>
      <c r="B82" s="30"/>
      <c r="C82" s="30"/>
      <c r="D82" s="30"/>
      <c r="E82" s="30"/>
      <c r="F82" s="30"/>
      <c r="G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30"/>
      <c r="B83" s="30"/>
      <c r="C83" s="30"/>
      <c r="D83" s="30"/>
      <c r="E83" s="30"/>
      <c r="F83" s="30"/>
      <c r="G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30"/>
      <c r="B84" s="30"/>
      <c r="C84" s="30"/>
      <c r="D84" s="30"/>
      <c r="E84" s="30"/>
      <c r="F84" s="30"/>
      <c r="G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30"/>
      <c r="B85" s="30"/>
      <c r="C85" s="30"/>
      <c r="D85" s="30"/>
      <c r="E85" s="30"/>
      <c r="F85" s="30"/>
      <c r="G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30"/>
      <c r="B86" s="30"/>
      <c r="C86" s="30"/>
      <c r="D86" s="30"/>
      <c r="E86" s="30"/>
      <c r="F86" s="30"/>
      <c r="G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30"/>
      <c r="B87" s="30"/>
      <c r="C87" s="30"/>
      <c r="D87" s="30"/>
      <c r="E87" s="30"/>
      <c r="F87" s="30"/>
      <c r="G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30"/>
      <c r="B88" s="30"/>
      <c r="C88" s="30"/>
      <c r="D88" s="30"/>
      <c r="E88" s="30"/>
      <c r="F88" s="30"/>
      <c r="G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30"/>
      <c r="B89" s="30"/>
      <c r="C89" s="30"/>
      <c r="D89" s="30"/>
      <c r="E89" s="30"/>
      <c r="F89" s="30"/>
      <c r="G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30"/>
      <c r="B90" s="30"/>
      <c r="C90" s="30"/>
      <c r="D90" s="30"/>
      <c r="E90" s="30"/>
      <c r="F90" s="30"/>
      <c r="G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30"/>
      <c r="B91" s="30"/>
      <c r="C91" s="30"/>
      <c r="D91" s="30"/>
      <c r="E91" s="30"/>
      <c r="F91" s="30"/>
      <c r="G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30"/>
      <c r="B92" s="30"/>
      <c r="C92" s="30"/>
      <c r="D92" s="30"/>
      <c r="E92" s="30"/>
      <c r="F92" s="30"/>
      <c r="G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30"/>
      <c r="B93" s="30"/>
      <c r="C93" s="30"/>
      <c r="D93" s="30"/>
      <c r="E93" s="30"/>
      <c r="F93" s="30"/>
      <c r="G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30"/>
      <c r="B94" s="30"/>
      <c r="C94" s="30"/>
      <c r="D94" s="30"/>
      <c r="E94" s="30"/>
      <c r="F94" s="30"/>
      <c r="G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30"/>
      <c r="B95" s="30"/>
      <c r="C95" s="30"/>
      <c r="D95" s="30"/>
      <c r="E95" s="30"/>
      <c r="F95" s="30"/>
      <c r="G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30"/>
      <c r="B96" s="30"/>
      <c r="C96" s="30"/>
      <c r="D96" s="30"/>
      <c r="E96" s="30"/>
      <c r="F96" s="30"/>
      <c r="G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30"/>
      <c r="B97" s="30"/>
      <c r="C97" s="30"/>
      <c r="D97" s="30"/>
      <c r="E97" s="30"/>
      <c r="F97" s="30"/>
      <c r="G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30"/>
      <c r="B98" s="30"/>
      <c r="C98" s="30"/>
      <c r="D98" s="30"/>
      <c r="E98" s="30"/>
      <c r="F98" s="30"/>
      <c r="G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30"/>
      <c r="B99" s="30"/>
      <c r="C99" s="30"/>
      <c r="D99" s="30"/>
      <c r="E99" s="30"/>
      <c r="F99" s="30"/>
      <c r="G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30"/>
      <c r="B100" s="30"/>
      <c r="C100" s="30"/>
      <c r="D100" s="30"/>
      <c r="E100" s="30"/>
      <c r="F100" s="30"/>
      <c r="G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30"/>
      <c r="B101" s="30"/>
      <c r="C101" s="30"/>
      <c r="D101" s="30"/>
      <c r="E101" s="30"/>
      <c r="F101" s="30"/>
      <c r="G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30"/>
      <c r="B102" s="30"/>
      <c r="C102" s="30"/>
      <c r="D102" s="30"/>
      <c r="E102" s="30"/>
      <c r="F102" s="30"/>
      <c r="G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30"/>
      <c r="B103" s="30"/>
      <c r="C103" s="30"/>
      <c r="D103" s="30"/>
      <c r="E103" s="30"/>
      <c r="F103" s="30"/>
      <c r="G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30"/>
      <c r="B104" s="30"/>
      <c r="C104" s="30"/>
      <c r="D104" s="30"/>
      <c r="E104" s="30"/>
      <c r="F104" s="30"/>
      <c r="G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30"/>
      <c r="B105" s="30"/>
      <c r="C105" s="30"/>
      <c r="D105" s="30"/>
      <c r="E105" s="30"/>
      <c r="F105" s="30"/>
      <c r="G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30"/>
      <c r="B106" s="30"/>
      <c r="C106" s="30"/>
      <c r="D106" s="30"/>
      <c r="E106" s="30"/>
      <c r="F106" s="30"/>
      <c r="G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30"/>
      <c r="B107" s="30"/>
      <c r="C107" s="30"/>
      <c r="D107" s="30"/>
      <c r="E107" s="30"/>
      <c r="F107" s="30"/>
      <c r="G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30"/>
      <c r="B108" s="30"/>
      <c r="C108" s="30"/>
      <c r="D108" s="30"/>
      <c r="E108" s="30"/>
      <c r="F108" s="30"/>
      <c r="G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30"/>
      <c r="B109" s="30"/>
      <c r="C109" s="30"/>
      <c r="D109" s="30"/>
      <c r="E109" s="30"/>
      <c r="F109" s="30"/>
      <c r="G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30"/>
      <c r="B110" s="30"/>
      <c r="C110" s="30"/>
      <c r="D110" s="30"/>
      <c r="E110" s="30"/>
      <c r="F110" s="30"/>
      <c r="G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30"/>
      <c r="B111" s="30"/>
      <c r="C111" s="30"/>
      <c r="D111" s="30"/>
      <c r="E111" s="30"/>
      <c r="F111" s="30"/>
      <c r="G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30"/>
      <c r="B112" s="30"/>
      <c r="C112" s="30"/>
      <c r="D112" s="30"/>
      <c r="E112" s="30"/>
      <c r="F112" s="30"/>
      <c r="G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30"/>
      <c r="B113" s="30"/>
      <c r="C113" s="30"/>
      <c r="D113" s="30"/>
      <c r="E113" s="30"/>
      <c r="F113" s="30"/>
      <c r="G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30"/>
      <c r="B114" s="30"/>
      <c r="C114" s="30"/>
      <c r="D114" s="30"/>
      <c r="E114" s="30"/>
      <c r="F114" s="30"/>
      <c r="G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30"/>
      <c r="B115" s="30"/>
      <c r="C115" s="30"/>
      <c r="D115" s="30"/>
      <c r="E115" s="30"/>
      <c r="F115" s="30"/>
      <c r="G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30"/>
      <c r="B116" s="30"/>
      <c r="C116" s="30"/>
      <c r="D116" s="30"/>
      <c r="E116" s="30"/>
      <c r="F116" s="30"/>
      <c r="G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30"/>
      <c r="B117" s="30"/>
      <c r="C117" s="30"/>
      <c r="D117" s="30"/>
      <c r="E117" s="30"/>
      <c r="F117" s="30"/>
      <c r="G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30"/>
      <c r="B118" s="30"/>
      <c r="C118" s="30"/>
      <c r="D118" s="30"/>
      <c r="E118" s="30"/>
      <c r="F118" s="30"/>
      <c r="G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30"/>
      <c r="B119" s="30"/>
      <c r="C119" s="30"/>
      <c r="D119" s="30"/>
      <c r="E119" s="30"/>
      <c r="F119" s="30"/>
      <c r="G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30"/>
      <c r="B120" s="30"/>
      <c r="C120" s="30"/>
      <c r="D120" s="30"/>
      <c r="E120" s="30"/>
      <c r="F120" s="30"/>
      <c r="G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30"/>
      <c r="B121" s="30"/>
      <c r="C121" s="30"/>
      <c r="D121" s="30"/>
      <c r="E121" s="30"/>
      <c r="F121" s="30"/>
      <c r="G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30"/>
      <c r="B122" s="30"/>
      <c r="C122" s="30"/>
      <c r="D122" s="30"/>
      <c r="E122" s="30"/>
      <c r="F122" s="30"/>
      <c r="G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30"/>
      <c r="B123" s="30"/>
      <c r="C123" s="30"/>
      <c r="D123" s="30"/>
      <c r="E123" s="30"/>
      <c r="F123" s="30"/>
      <c r="G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30"/>
      <c r="B124" s="30"/>
      <c r="C124" s="30"/>
      <c r="D124" s="30"/>
      <c r="E124" s="30"/>
      <c r="F124" s="30"/>
      <c r="G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30"/>
      <c r="B125" s="30"/>
      <c r="C125" s="30"/>
      <c r="D125" s="30"/>
      <c r="E125" s="30"/>
      <c r="F125" s="30"/>
      <c r="G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30"/>
      <c r="B126" s="30"/>
      <c r="C126" s="30"/>
      <c r="D126" s="30"/>
      <c r="E126" s="30"/>
      <c r="F126" s="30"/>
      <c r="G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30"/>
      <c r="B127" s="30"/>
      <c r="C127" s="30"/>
      <c r="D127" s="30"/>
      <c r="E127" s="30"/>
      <c r="F127" s="30"/>
      <c r="G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30"/>
      <c r="B128" s="30"/>
      <c r="C128" s="30"/>
      <c r="D128" s="30"/>
      <c r="E128" s="30"/>
      <c r="F128" s="30"/>
      <c r="G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30"/>
      <c r="B129" s="30"/>
      <c r="C129" s="30"/>
      <c r="D129" s="30"/>
      <c r="E129" s="30"/>
      <c r="F129" s="30"/>
      <c r="G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30"/>
      <c r="B130" s="30"/>
      <c r="C130" s="30"/>
      <c r="D130" s="30"/>
      <c r="E130" s="30"/>
      <c r="F130" s="30"/>
      <c r="G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30"/>
      <c r="B131" s="30"/>
      <c r="C131" s="30"/>
      <c r="D131" s="30"/>
      <c r="E131" s="30"/>
      <c r="F131" s="30"/>
      <c r="G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30"/>
      <c r="B132" s="30"/>
      <c r="C132" s="30"/>
      <c r="D132" s="30"/>
      <c r="E132" s="30"/>
      <c r="F132" s="30"/>
      <c r="G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30"/>
      <c r="B133" s="30"/>
      <c r="C133" s="30"/>
      <c r="D133" s="30"/>
      <c r="E133" s="30"/>
      <c r="F133" s="30"/>
      <c r="G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30"/>
      <c r="B134" s="30"/>
      <c r="C134" s="30"/>
      <c r="D134" s="30"/>
      <c r="E134" s="30"/>
      <c r="F134" s="30"/>
      <c r="G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30"/>
      <c r="B135" s="30"/>
      <c r="C135" s="30"/>
      <c r="D135" s="30"/>
      <c r="E135" s="30"/>
      <c r="F135" s="30"/>
      <c r="G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30"/>
      <c r="B136" s="30"/>
      <c r="C136" s="30"/>
      <c r="D136" s="30"/>
      <c r="E136" s="30"/>
      <c r="F136" s="30"/>
      <c r="G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30"/>
      <c r="B137" s="30"/>
      <c r="C137" s="30"/>
      <c r="D137" s="30"/>
      <c r="E137" s="30"/>
      <c r="F137" s="30"/>
      <c r="G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30"/>
      <c r="B138" s="30"/>
      <c r="C138" s="30"/>
      <c r="D138" s="30"/>
      <c r="E138" s="30"/>
      <c r="F138" s="30"/>
      <c r="G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30"/>
      <c r="B139" s="30"/>
      <c r="C139" s="30"/>
      <c r="D139" s="30"/>
      <c r="E139" s="30"/>
      <c r="F139" s="30"/>
      <c r="G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30"/>
      <c r="B140" s="30"/>
      <c r="C140" s="30"/>
      <c r="D140" s="30"/>
      <c r="E140" s="30"/>
      <c r="F140" s="30"/>
      <c r="G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30"/>
      <c r="B141" s="30"/>
      <c r="C141" s="30"/>
      <c r="D141" s="30"/>
      <c r="E141" s="30"/>
      <c r="F141" s="30"/>
      <c r="G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30"/>
      <c r="B142" s="30"/>
      <c r="C142" s="30"/>
      <c r="D142" s="30"/>
      <c r="E142" s="30"/>
      <c r="F142" s="30"/>
      <c r="G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30"/>
      <c r="B143" s="30"/>
      <c r="C143" s="30"/>
      <c r="D143" s="30"/>
      <c r="E143" s="30"/>
      <c r="F143" s="30"/>
      <c r="G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30"/>
      <c r="B144" s="30"/>
      <c r="C144" s="30"/>
      <c r="D144" s="30"/>
      <c r="E144" s="30"/>
      <c r="F144" s="30"/>
      <c r="G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30"/>
      <c r="B145" s="30"/>
      <c r="C145" s="30"/>
      <c r="D145" s="30"/>
      <c r="E145" s="30"/>
      <c r="F145" s="30"/>
      <c r="G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30"/>
      <c r="B146" s="30"/>
      <c r="C146" s="30"/>
      <c r="D146" s="30"/>
      <c r="E146" s="30"/>
      <c r="F146" s="30"/>
      <c r="G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30"/>
      <c r="B147" s="30"/>
      <c r="C147" s="30"/>
      <c r="D147" s="30"/>
      <c r="E147" s="30"/>
      <c r="F147" s="30"/>
      <c r="G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30"/>
      <c r="B148" s="30"/>
      <c r="C148" s="30"/>
      <c r="D148" s="30"/>
      <c r="E148" s="30"/>
      <c r="F148" s="30"/>
      <c r="G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30"/>
      <c r="B149" s="30"/>
      <c r="C149" s="30"/>
      <c r="D149" s="30"/>
      <c r="E149" s="30"/>
      <c r="F149" s="30"/>
      <c r="G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30"/>
      <c r="B150" s="30"/>
      <c r="C150" s="30"/>
      <c r="D150" s="30"/>
      <c r="E150" s="30"/>
      <c r="F150" s="30"/>
      <c r="G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30"/>
      <c r="B151" s="30"/>
      <c r="C151" s="30"/>
      <c r="D151" s="30"/>
      <c r="E151" s="30"/>
      <c r="F151" s="30"/>
      <c r="G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30"/>
      <c r="B152" s="30"/>
      <c r="C152" s="30"/>
      <c r="D152" s="30"/>
      <c r="E152" s="30"/>
      <c r="F152" s="30"/>
      <c r="G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30"/>
      <c r="B153" s="30"/>
      <c r="C153" s="30"/>
      <c r="D153" s="30"/>
      <c r="E153" s="30"/>
      <c r="F153" s="30"/>
      <c r="G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30"/>
      <c r="B154" s="30"/>
      <c r="C154" s="30"/>
      <c r="D154" s="30"/>
      <c r="E154" s="30"/>
      <c r="F154" s="30"/>
      <c r="G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30"/>
      <c r="B155" s="30"/>
      <c r="C155" s="30"/>
      <c r="D155" s="30"/>
      <c r="E155" s="30"/>
      <c r="F155" s="30"/>
      <c r="G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30"/>
      <c r="B156" s="30"/>
      <c r="C156" s="30"/>
      <c r="D156" s="30"/>
      <c r="E156" s="30"/>
      <c r="F156" s="30"/>
      <c r="G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30"/>
      <c r="B157" s="30"/>
      <c r="C157" s="30"/>
      <c r="D157" s="30"/>
      <c r="E157" s="30"/>
      <c r="F157" s="30"/>
      <c r="G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30"/>
      <c r="B158" s="30"/>
      <c r="C158" s="30"/>
      <c r="D158" s="30"/>
      <c r="E158" s="30"/>
      <c r="F158" s="30"/>
      <c r="G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30"/>
      <c r="B159" s="30"/>
      <c r="C159" s="30"/>
      <c r="D159" s="30"/>
      <c r="E159" s="30"/>
      <c r="F159" s="30"/>
      <c r="G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4.25" customHeight="1">
      <c r="A160" s="30"/>
      <c r="B160" s="30"/>
      <c r="C160" s="30"/>
      <c r="D160" s="30"/>
      <c r="E160" s="30"/>
      <c r="F160" s="30"/>
      <c r="G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25" customHeight="1">
      <c r="A161" s="30"/>
      <c r="B161" s="30"/>
      <c r="C161" s="30"/>
      <c r="D161" s="30"/>
      <c r="E161" s="30"/>
      <c r="F161" s="30"/>
      <c r="G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30"/>
      <c r="B162" s="30"/>
      <c r="C162" s="30"/>
      <c r="D162" s="30"/>
      <c r="E162" s="30"/>
      <c r="F162" s="30"/>
      <c r="G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30"/>
      <c r="B163" s="30"/>
      <c r="C163" s="30"/>
      <c r="D163" s="30"/>
      <c r="E163" s="30"/>
      <c r="F163" s="30"/>
      <c r="G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.25" customHeight="1">
      <c r="A164" s="30"/>
      <c r="B164" s="30"/>
      <c r="C164" s="30"/>
      <c r="D164" s="30"/>
      <c r="E164" s="30"/>
      <c r="F164" s="30"/>
      <c r="G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.25" customHeight="1">
      <c r="A165" s="30"/>
      <c r="B165" s="30"/>
      <c r="C165" s="30"/>
      <c r="D165" s="30"/>
      <c r="E165" s="30"/>
      <c r="F165" s="30"/>
      <c r="G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.25" customHeight="1">
      <c r="A166" s="30"/>
      <c r="B166" s="30"/>
      <c r="C166" s="30"/>
      <c r="D166" s="30"/>
      <c r="E166" s="30"/>
      <c r="F166" s="30"/>
      <c r="G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.25" customHeight="1">
      <c r="A167" s="30"/>
      <c r="B167" s="30"/>
      <c r="C167" s="30"/>
      <c r="D167" s="30"/>
      <c r="E167" s="30"/>
      <c r="F167" s="30"/>
      <c r="G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30"/>
      <c r="B168" s="30"/>
      <c r="C168" s="30"/>
      <c r="D168" s="30"/>
      <c r="E168" s="30"/>
      <c r="F168" s="30"/>
      <c r="G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.25" customHeight="1">
      <c r="A169" s="30"/>
      <c r="B169" s="30"/>
      <c r="C169" s="30"/>
      <c r="D169" s="30"/>
      <c r="E169" s="30"/>
      <c r="F169" s="30"/>
      <c r="G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.25" customHeight="1">
      <c r="A170" s="30"/>
      <c r="B170" s="30"/>
      <c r="C170" s="30"/>
      <c r="D170" s="30"/>
      <c r="E170" s="30"/>
      <c r="F170" s="30"/>
      <c r="G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.25" customHeight="1">
      <c r="A171" s="30"/>
      <c r="B171" s="30"/>
      <c r="C171" s="30"/>
      <c r="D171" s="30"/>
      <c r="E171" s="30"/>
      <c r="F171" s="30"/>
      <c r="G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.25" customHeight="1">
      <c r="A172" s="30"/>
      <c r="B172" s="30"/>
      <c r="C172" s="30"/>
      <c r="D172" s="30"/>
      <c r="E172" s="30"/>
      <c r="F172" s="30"/>
      <c r="G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.25" customHeight="1">
      <c r="A173" s="30"/>
      <c r="B173" s="30"/>
      <c r="C173" s="30"/>
      <c r="D173" s="30"/>
      <c r="E173" s="30"/>
      <c r="F173" s="30"/>
      <c r="G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.25" customHeight="1">
      <c r="A174" s="30"/>
      <c r="B174" s="30"/>
      <c r="C174" s="30"/>
      <c r="D174" s="30"/>
      <c r="E174" s="30"/>
      <c r="F174" s="30"/>
      <c r="G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25" customHeight="1">
      <c r="A175" s="30"/>
      <c r="B175" s="30"/>
      <c r="C175" s="30"/>
      <c r="D175" s="30"/>
      <c r="E175" s="30"/>
      <c r="F175" s="30"/>
      <c r="G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.25" customHeight="1">
      <c r="A176" s="30"/>
      <c r="B176" s="30"/>
      <c r="C176" s="30"/>
      <c r="D176" s="30"/>
      <c r="E176" s="30"/>
      <c r="F176" s="30"/>
      <c r="G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.25" customHeight="1">
      <c r="A177" s="30"/>
      <c r="B177" s="30"/>
      <c r="C177" s="30"/>
      <c r="D177" s="30"/>
      <c r="E177" s="30"/>
      <c r="F177" s="30"/>
      <c r="G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.25" customHeight="1">
      <c r="A178" s="30"/>
      <c r="B178" s="30"/>
      <c r="C178" s="30"/>
      <c r="D178" s="30"/>
      <c r="E178" s="30"/>
      <c r="F178" s="30"/>
      <c r="G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.25" customHeight="1">
      <c r="A179" s="30"/>
      <c r="B179" s="30"/>
      <c r="C179" s="30"/>
      <c r="D179" s="30"/>
      <c r="E179" s="30"/>
      <c r="F179" s="30"/>
      <c r="G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.25" customHeight="1">
      <c r="A180" s="30"/>
      <c r="B180" s="30"/>
      <c r="C180" s="30"/>
      <c r="D180" s="30"/>
      <c r="E180" s="30"/>
      <c r="F180" s="30"/>
      <c r="G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.25" customHeight="1">
      <c r="A181" s="30"/>
      <c r="B181" s="30"/>
      <c r="C181" s="30"/>
      <c r="D181" s="30"/>
      <c r="E181" s="30"/>
      <c r="F181" s="30"/>
      <c r="G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25" customHeight="1">
      <c r="A182" s="30"/>
      <c r="B182" s="30"/>
      <c r="C182" s="30"/>
      <c r="D182" s="30"/>
      <c r="E182" s="30"/>
      <c r="F182" s="30"/>
      <c r="G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.25" customHeight="1">
      <c r="A183" s="30"/>
      <c r="B183" s="30"/>
      <c r="C183" s="30"/>
      <c r="D183" s="30"/>
      <c r="E183" s="30"/>
      <c r="F183" s="30"/>
      <c r="G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.25" customHeight="1">
      <c r="A184" s="30"/>
      <c r="B184" s="30"/>
      <c r="C184" s="30"/>
      <c r="D184" s="30"/>
      <c r="E184" s="30"/>
      <c r="F184" s="30"/>
      <c r="G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.25" customHeight="1">
      <c r="A185" s="30"/>
      <c r="B185" s="30"/>
      <c r="C185" s="30"/>
      <c r="D185" s="30"/>
      <c r="E185" s="30"/>
      <c r="F185" s="30"/>
      <c r="G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.25" customHeight="1">
      <c r="A186" s="30"/>
      <c r="B186" s="30"/>
      <c r="C186" s="30"/>
      <c r="D186" s="30"/>
      <c r="E186" s="30"/>
      <c r="F186" s="30"/>
      <c r="G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.25" customHeight="1">
      <c r="A187" s="30"/>
      <c r="B187" s="30"/>
      <c r="C187" s="30"/>
      <c r="D187" s="30"/>
      <c r="E187" s="30"/>
      <c r="F187" s="30"/>
      <c r="G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.25" customHeight="1">
      <c r="A188" s="30"/>
      <c r="B188" s="30"/>
      <c r="C188" s="30"/>
      <c r="D188" s="30"/>
      <c r="E188" s="30"/>
      <c r="F188" s="30"/>
      <c r="G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25" customHeight="1">
      <c r="A189" s="30"/>
      <c r="B189" s="30"/>
      <c r="C189" s="30"/>
      <c r="D189" s="30"/>
      <c r="E189" s="30"/>
      <c r="F189" s="30"/>
      <c r="G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.25" customHeight="1">
      <c r="A190" s="30"/>
      <c r="B190" s="30"/>
      <c r="C190" s="30"/>
      <c r="D190" s="30"/>
      <c r="E190" s="30"/>
      <c r="F190" s="30"/>
      <c r="G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.25" customHeight="1">
      <c r="A191" s="30"/>
      <c r="B191" s="30"/>
      <c r="C191" s="30"/>
      <c r="D191" s="30"/>
      <c r="E191" s="30"/>
      <c r="F191" s="30"/>
      <c r="G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.25" customHeight="1">
      <c r="A192" s="30"/>
      <c r="B192" s="30"/>
      <c r="C192" s="30"/>
      <c r="D192" s="30"/>
      <c r="E192" s="30"/>
      <c r="F192" s="30"/>
      <c r="G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.25" customHeight="1">
      <c r="A193" s="30"/>
      <c r="B193" s="30"/>
      <c r="C193" s="30"/>
      <c r="D193" s="30"/>
      <c r="E193" s="30"/>
      <c r="F193" s="30"/>
      <c r="G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.25" customHeight="1">
      <c r="A194" s="30"/>
      <c r="B194" s="30"/>
      <c r="C194" s="30"/>
      <c r="D194" s="30"/>
      <c r="E194" s="30"/>
      <c r="F194" s="30"/>
      <c r="G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.25" customHeight="1">
      <c r="A195" s="30"/>
      <c r="B195" s="30"/>
      <c r="C195" s="30"/>
      <c r="D195" s="30"/>
      <c r="E195" s="30"/>
      <c r="F195" s="30"/>
      <c r="G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25" customHeight="1">
      <c r="A196" s="30"/>
      <c r="B196" s="30"/>
      <c r="C196" s="30"/>
      <c r="D196" s="30"/>
      <c r="E196" s="30"/>
      <c r="F196" s="30"/>
      <c r="G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.25" customHeight="1">
      <c r="A197" s="30"/>
      <c r="B197" s="30"/>
      <c r="C197" s="30"/>
      <c r="D197" s="30"/>
      <c r="E197" s="30"/>
      <c r="F197" s="30"/>
      <c r="G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.25" customHeight="1">
      <c r="A198" s="30"/>
      <c r="B198" s="30"/>
      <c r="C198" s="30"/>
      <c r="D198" s="30"/>
      <c r="E198" s="30"/>
      <c r="F198" s="30"/>
      <c r="G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.25" customHeight="1">
      <c r="A199" s="30"/>
      <c r="B199" s="30"/>
      <c r="C199" s="30"/>
      <c r="D199" s="30"/>
      <c r="E199" s="30"/>
      <c r="F199" s="30"/>
      <c r="G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.25" customHeight="1">
      <c r="A200" s="30"/>
      <c r="B200" s="30"/>
      <c r="C200" s="30"/>
      <c r="D200" s="30"/>
      <c r="E200" s="30"/>
      <c r="F200" s="30"/>
      <c r="G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.25" customHeight="1">
      <c r="A201" s="30"/>
      <c r="B201" s="30"/>
      <c r="C201" s="30"/>
      <c r="D201" s="30"/>
      <c r="E201" s="30"/>
      <c r="F201" s="30"/>
      <c r="G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.25" customHeight="1">
      <c r="A202" s="30"/>
      <c r="B202" s="30"/>
      <c r="C202" s="30"/>
      <c r="D202" s="30"/>
      <c r="E202" s="30"/>
      <c r="F202" s="30"/>
      <c r="G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.25" customHeight="1">
      <c r="A203" s="30"/>
      <c r="B203" s="30"/>
      <c r="C203" s="30"/>
      <c r="D203" s="30"/>
      <c r="E203" s="30"/>
      <c r="F203" s="30"/>
      <c r="G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.25" customHeight="1">
      <c r="A204" s="30"/>
      <c r="B204" s="30"/>
      <c r="C204" s="30"/>
      <c r="D204" s="30"/>
      <c r="E204" s="30"/>
      <c r="F204" s="30"/>
      <c r="G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.25" customHeight="1">
      <c r="A205" s="30"/>
      <c r="B205" s="30"/>
      <c r="C205" s="30"/>
      <c r="D205" s="30"/>
      <c r="E205" s="30"/>
      <c r="F205" s="30"/>
      <c r="G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.25" customHeight="1">
      <c r="A206" s="30"/>
      <c r="B206" s="30"/>
      <c r="C206" s="30"/>
      <c r="D206" s="30"/>
      <c r="E206" s="30"/>
      <c r="F206" s="30"/>
      <c r="G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.25" customHeight="1">
      <c r="A207" s="30"/>
      <c r="B207" s="30"/>
      <c r="C207" s="30"/>
      <c r="D207" s="30"/>
      <c r="E207" s="30"/>
      <c r="F207" s="30"/>
      <c r="G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.25" customHeight="1">
      <c r="A208" s="30"/>
      <c r="B208" s="30"/>
      <c r="C208" s="30"/>
      <c r="D208" s="30"/>
      <c r="E208" s="30"/>
      <c r="F208" s="30"/>
      <c r="G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.25" customHeight="1">
      <c r="A209" s="30"/>
      <c r="B209" s="30"/>
      <c r="C209" s="30"/>
      <c r="D209" s="30"/>
      <c r="E209" s="30"/>
      <c r="F209" s="30"/>
      <c r="G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25" customHeight="1">
      <c r="A210" s="30"/>
      <c r="B210" s="30"/>
      <c r="C210" s="30"/>
      <c r="D210" s="30"/>
      <c r="E210" s="30"/>
      <c r="F210" s="30"/>
      <c r="G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.25" customHeight="1">
      <c r="A211" s="30"/>
      <c r="B211" s="30"/>
      <c r="C211" s="30"/>
      <c r="D211" s="30"/>
      <c r="E211" s="30"/>
      <c r="F211" s="30"/>
      <c r="G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.25" customHeight="1">
      <c r="A212" s="30"/>
      <c r="B212" s="30"/>
      <c r="C212" s="30"/>
      <c r="D212" s="30"/>
      <c r="E212" s="30"/>
      <c r="F212" s="30"/>
      <c r="G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.25" customHeight="1">
      <c r="A213" s="30"/>
      <c r="B213" s="30"/>
      <c r="C213" s="30"/>
      <c r="D213" s="30"/>
      <c r="E213" s="30"/>
      <c r="F213" s="30"/>
      <c r="G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.25" customHeight="1">
      <c r="A214" s="30"/>
      <c r="B214" s="30"/>
      <c r="C214" s="30"/>
      <c r="D214" s="30"/>
      <c r="E214" s="30"/>
      <c r="F214" s="30"/>
      <c r="G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.25" customHeight="1">
      <c r="A215" s="30"/>
      <c r="B215" s="30"/>
      <c r="C215" s="30"/>
      <c r="D215" s="30"/>
      <c r="E215" s="30"/>
      <c r="F215" s="30"/>
      <c r="G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.25" customHeight="1">
      <c r="A216" s="30"/>
      <c r="B216" s="30"/>
      <c r="C216" s="30"/>
      <c r="D216" s="30"/>
      <c r="E216" s="30"/>
      <c r="F216" s="30"/>
      <c r="G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25" customHeight="1">
      <c r="A217" s="30"/>
      <c r="B217" s="30"/>
      <c r="C217" s="30"/>
      <c r="D217" s="30"/>
      <c r="E217" s="30"/>
      <c r="F217" s="30"/>
      <c r="G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.25" customHeight="1">
      <c r="A218" s="30"/>
      <c r="B218" s="30"/>
      <c r="C218" s="30"/>
      <c r="D218" s="30"/>
      <c r="E218" s="30"/>
      <c r="F218" s="30"/>
      <c r="G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.25" customHeight="1">
      <c r="A219" s="30"/>
      <c r="B219" s="30"/>
      <c r="C219" s="30"/>
      <c r="D219" s="30"/>
      <c r="E219" s="30"/>
      <c r="F219" s="30"/>
      <c r="G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.25" customHeight="1">
      <c r="A220" s="30"/>
      <c r="B220" s="30"/>
      <c r="C220" s="30"/>
      <c r="D220" s="30"/>
      <c r="E220" s="30"/>
      <c r="F220" s="30"/>
      <c r="G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.25" customHeight="1">
      <c r="A221" s="30"/>
      <c r="B221" s="30"/>
      <c r="C221" s="30"/>
      <c r="D221" s="30"/>
      <c r="E221" s="30"/>
      <c r="F221" s="30"/>
      <c r="G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.25" customHeight="1">
      <c r="A222" s="30"/>
      <c r="B222" s="30"/>
      <c r="C222" s="30"/>
      <c r="D222" s="30"/>
      <c r="E222" s="30"/>
      <c r="F222" s="30"/>
      <c r="G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.25" customHeight="1">
      <c r="A223" s="30"/>
      <c r="B223" s="30"/>
      <c r="C223" s="30"/>
      <c r="D223" s="30"/>
      <c r="E223" s="30"/>
      <c r="F223" s="30"/>
      <c r="G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25" customHeight="1">
      <c r="A224" s="30"/>
      <c r="B224" s="30"/>
      <c r="C224" s="30"/>
      <c r="D224" s="30"/>
      <c r="E224" s="30"/>
      <c r="F224" s="30"/>
      <c r="G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.25" customHeight="1">
      <c r="A225" s="30"/>
      <c r="B225" s="30"/>
      <c r="C225" s="30"/>
      <c r="D225" s="30"/>
      <c r="E225" s="30"/>
      <c r="F225" s="30"/>
      <c r="G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.25" customHeight="1">
      <c r="A226" s="30"/>
      <c r="B226" s="30"/>
      <c r="C226" s="30"/>
      <c r="D226" s="30"/>
      <c r="E226" s="30"/>
      <c r="F226" s="30"/>
      <c r="G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.25" customHeight="1">
      <c r="A227" s="30"/>
      <c r="B227" s="30"/>
      <c r="C227" s="30"/>
      <c r="D227" s="30"/>
      <c r="E227" s="30"/>
      <c r="F227" s="30"/>
      <c r="G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.25" customHeight="1">
      <c r="A228" s="30"/>
      <c r="B228" s="30"/>
      <c r="C228" s="30"/>
      <c r="D228" s="30"/>
      <c r="E228" s="30"/>
      <c r="F228" s="30"/>
      <c r="G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25" customHeight="1">
      <c r="A229" s="30"/>
      <c r="B229" s="30"/>
      <c r="C229" s="30"/>
      <c r="D229" s="30"/>
      <c r="E229" s="30"/>
      <c r="F229" s="30"/>
      <c r="G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25" customHeight="1">
      <c r="A230" s="30"/>
      <c r="B230" s="30"/>
      <c r="C230" s="30"/>
      <c r="D230" s="30"/>
      <c r="E230" s="30"/>
      <c r="F230" s="30"/>
      <c r="G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30"/>
      <c r="B231" s="30"/>
      <c r="C231" s="30"/>
      <c r="D231" s="30"/>
      <c r="E231" s="30"/>
      <c r="F231" s="30"/>
      <c r="G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25" customHeight="1">
      <c r="A232" s="30"/>
      <c r="B232" s="30"/>
      <c r="C232" s="30"/>
      <c r="D232" s="30"/>
      <c r="E232" s="30"/>
      <c r="F232" s="30"/>
      <c r="G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25" customHeight="1">
      <c r="A233" s="30"/>
      <c r="B233" s="30"/>
      <c r="C233" s="30"/>
      <c r="D233" s="30"/>
      <c r="E233" s="30"/>
      <c r="F233" s="30"/>
      <c r="G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25" customHeight="1">
      <c r="A234" s="30"/>
      <c r="B234" s="30"/>
      <c r="C234" s="30"/>
      <c r="D234" s="30"/>
      <c r="E234" s="30"/>
      <c r="F234" s="30"/>
      <c r="G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30"/>
      <c r="B235" s="30"/>
      <c r="C235" s="30"/>
      <c r="D235" s="30"/>
      <c r="E235" s="30"/>
      <c r="F235" s="30"/>
      <c r="G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.25" customHeight="1">
      <c r="A236" s="30"/>
      <c r="B236" s="30"/>
      <c r="C236" s="30"/>
      <c r="D236" s="30"/>
      <c r="E236" s="30"/>
      <c r="F236" s="30"/>
      <c r="G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.25" customHeight="1">
      <c r="A237" s="30"/>
      <c r="B237" s="30"/>
      <c r="C237" s="30"/>
      <c r="D237" s="30"/>
      <c r="E237" s="30"/>
      <c r="F237" s="30"/>
      <c r="G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25" customHeight="1">
      <c r="A238" s="30"/>
      <c r="B238" s="30"/>
      <c r="C238" s="30"/>
      <c r="D238" s="30"/>
      <c r="E238" s="30"/>
      <c r="F238" s="30"/>
      <c r="G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.25" customHeight="1">
      <c r="A239" s="30"/>
      <c r="B239" s="30"/>
      <c r="C239" s="30"/>
      <c r="D239" s="30"/>
      <c r="E239" s="30"/>
      <c r="F239" s="30"/>
      <c r="G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.25" customHeight="1">
      <c r="A240" s="30"/>
      <c r="B240" s="30"/>
      <c r="C240" s="30"/>
      <c r="D240" s="30"/>
      <c r="E240" s="30"/>
      <c r="F240" s="30"/>
      <c r="G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.25" customHeight="1">
      <c r="A241" s="30"/>
      <c r="B241" s="30"/>
      <c r="C241" s="30"/>
      <c r="D241" s="30"/>
      <c r="E241" s="30"/>
      <c r="F241" s="30"/>
      <c r="G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.25" customHeight="1">
      <c r="A242" s="30"/>
      <c r="B242" s="30"/>
      <c r="C242" s="30"/>
      <c r="D242" s="30"/>
      <c r="E242" s="30"/>
      <c r="F242" s="30"/>
      <c r="G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.25" customHeight="1">
      <c r="A243" s="30"/>
      <c r="B243" s="30"/>
      <c r="C243" s="30"/>
      <c r="D243" s="30"/>
      <c r="E243" s="30"/>
      <c r="F243" s="30"/>
      <c r="G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.25" customHeight="1">
      <c r="A244" s="30"/>
      <c r="B244" s="30"/>
      <c r="C244" s="30"/>
      <c r="D244" s="30"/>
      <c r="E244" s="30"/>
      <c r="F244" s="30"/>
      <c r="G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25" customHeight="1">
      <c r="A245" s="30"/>
      <c r="B245" s="30"/>
      <c r="C245" s="30"/>
      <c r="D245" s="30"/>
      <c r="E245" s="30"/>
      <c r="F245" s="30"/>
      <c r="G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.25" customHeight="1">
      <c r="A246" s="30"/>
      <c r="B246" s="30"/>
      <c r="C246" s="30"/>
      <c r="D246" s="30"/>
      <c r="E246" s="30"/>
      <c r="F246" s="30"/>
      <c r="G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.25" customHeight="1">
      <c r="A247" s="30"/>
      <c r="B247" s="30"/>
      <c r="C247" s="30"/>
      <c r="D247" s="30"/>
      <c r="E247" s="30"/>
      <c r="F247" s="30"/>
      <c r="G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.25" customHeight="1">
      <c r="A248" s="30"/>
      <c r="B248" s="30"/>
      <c r="C248" s="30"/>
      <c r="D248" s="30"/>
      <c r="E248" s="30"/>
      <c r="F248" s="30"/>
      <c r="G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.25" customHeight="1">
      <c r="A249" s="30"/>
      <c r="B249" s="30"/>
      <c r="C249" s="30"/>
      <c r="D249" s="30"/>
      <c r="E249" s="30"/>
      <c r="F249" s="30"/>
      <c r="G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.25" customHeight="1">
      <c r="A250" s="30"/>
      <c r="B250" s="30"/>
      <c r="C250" s="30"/>
      <c r="D250" s="30"/>
      <c r="E250" s="30"/>
      <c r="F250" s="30"/>
      <c r="G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.25" customHeight="1">
      <c r="A251" s="30"/>
      <c r="B251" s="30"/>
      <c r="C251" s="30"/>
      <c r="D251" s="30"/>
      <c r="E251" s="30"/>
      <c r="F251" s="30"/>
      <c r="G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25" customHeight="1">
      <c r="A252" s="30"/>
      <c r="B252" s="30"/>
      <c r="C252" s="30"/>
      <c r="D252" s="30"/>
      <c r="E252" s="30"/>
      <c r="F252" s="30"/>
      <c r="G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.25" customHeight="1">
      <c r="A253" s="30"/>
      <c r="B253" s="30"/>
      <c r="C253" s="30"/>
      <c r="D253" s="30"/>
      <c r="E253" s="30"/>
      <c r="F253" s="30"/>
      <c r="G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.25" customHeight="1">
      <c r="A254" s="30"/>
      <c r="B254" s="30"/>
      <c r="C254" s="30"/>
      <c r="D254" s="30"/>
      <c r="E254" s="30"/>
      <c r="F254" s="30"/>
      <c r="G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.25" customHeight="1">
      <c r="A255" s="30"/>
      <c r="B255" s="30"/>
      <c r="C255" s="30"/>
      <c r="D255" s="30"/>
      <c r="E255" s="30"/>
      <c r="F255" s="30"/>
      <c r="G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.25" customHeight="1">
      <c r="A256" s="30"/>
      <c r="B256" s="30"/>
      <c r="C256" s="30"/>
      <c r="D256" s="30"/>
      <c r="E256" s="30"/>
      <c r="F256" s="30"/>
      <c r="G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.25" customHeight="1">
      <c r="A257" s="30"/>
      <c r="B257" s="30"/>
      <c r="C257" s="30"/>
      <c r="D257" s="30"/>
      <c r="E257" s="30"/>
      <c r="F257" s="30"/>
      <c r="G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.25" customHeight="1">
      <c r="A258" s="30"/>
      <c r="B258" s="30"/>
      <c r="C258" s="30"/>
      <c r="D258" s="30"/>
      <c r="E258" s="30"/>
      <c r="F258" s="30"/>
      <c r="G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25" customHeight="1">
      <c r="A259" s="30"/>
      <c r="B259" s="30"/>
      <c r="C259" s="30"/>
      <c r="D259" s="30"/>
      <c r="E259" s="30"/>
      <c r="F259" s="30"/>
      <c r="G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.25" customHeight="1">
      <c r="A260" s="30"/>
      <c r="B260" s="30"/>
      <c r="C260" s="30"/>
      <c r="D260" s="30"/>
      <c r="E260" s="30"/>
      <c r="F260" s="30"/>
      <c r="G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.25" customHeight="1">
      <c r="A261" s="30"/>
      <c r="B261" s="30"/>
      <c r="C261" s="30"/>
      <c r="D261" s="30"/>
      <c r="E261" s="30"/>
      <c r="F261" s="30"/>
      <c r="G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.25" customHeight="1">
      <c r="A262" s="30"/>
      <c r="B262" s="30"/>
      <c r="C262" s="30"/>
      <c r="D262" s="30"/>
      <c r="E262" s="30"/>
      <c r="F262" s="30"/>
      <c r="G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.25" customHeight="1">
      <c r="A263" s="30"/>
      <c r="B263" s="30"/>
      <c r="C263" s="30"/>
      <c r="D263" s="30"/>
      <c r="E263" s="30"/>
      <c r="F263" s="30"/>
      <c r="G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.25" customHeight="1">
      <c r="A264" s="30"/>
      <c r="B264" s="30"/>
      <c r="C264" s="30"/>
      <c r="D264" s="30"/>
      <c r="E264" s="30"/>
      <c r="F264" s="30"/>
      <c r="G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.25" customHeight="1">
      <c r="A265" s="30"/>
      <c r="B265" s="30"/>
      <c r="C265" s="30"/>
      <c r="D265" s="30"/>
      <c r="E265" s="30"/>
      <c r="F265" s="30"/>
      <c r="G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25" customHeight="1">
      <c r="A266" s="30"/>
      <c r="B266" s="30"/>
      <c r="C266" s="30"/>
      <c r="D266" s="30"/>
      <c r="E266" s="30"/>
      <c r="F266" s="30"/>
      <c r="G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.25" customHeight="1">
      <c r="A267" s="30"/>
      <c r="B267" s="30"/>
      <c r="C267" s="30"/>
      <c r="D267" s="30"/>
      <c r="E267" s="30"/>
      <c r="F267" s="30"/>
      <c r="G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.25" customHeight="1">
      <c r="A268" s="30"/>
      <c r="B268" s="30"/>
      <c r="C268" s="30"/>
      <c r="D268" s="30"/>
      <c r="E268" s="30"/>
      <c r="F268" s="30"/>
      <c r="G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.25" customHeight="1">
      <c r="A269" s="30"/>
      <c r="B269" s="30"/>
      <c r="C269" s="30"/>
      <c r="D269" s="30"/>
      <c r="E269" s="30"/>
      <c r="F269" s="30"/>
      <c r="G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.25" customHeight="1">
      <c r="A270" s="30"/>
      <c r="B270" s="30"/>
      <c r="C270" s="30"/>
      <c r="D270" s="30"/>
      <c r="E270" s="30"/>
      <c r="F270" s="30"/>
      <c r="G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.25" customHeight="1">
      <c r="A271" s="30"/>
      <c r="B271" s="30"/>
      <c r="C271" s="30"/>
      <c r="D271" s="30"/>
      <c r="E271" s="30"/>
      <c r="F271" s="30"/>
      <c r="G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.25" customHeight="1">
      <c r="A272" s="30"/>
      <c r="B272" s="30"/>
      <c r="C272" s="30"/>
      <c r="D272" s="30"/>
      <c r="E272" s="30"/>
      <c r="F272" s="30"/>
      <c r="G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25" customHeight="1">
      <c r="A273" s="30"/>
      <c r="B273" s="30"/>
      <c r="C273" s="30"/>
      <c r="D273" s="30"/>
      <c r="E273" s="30"/>
      <c r="F273" s="30"/>
      <c r="G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.25" customHeight="1">
      <c r="A274" s="30"/>
      <c r="B274" s="30"/>
      <c r="C274" s="30"/>
      <c r="D274" s="30"/>
      <c r="E274" s="30"/>
      <c r="F274" s="30"/>
      <c r="G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.25" customHeight="1">
      <c r="A275" s="30"/>
      <c r="B275" s="30"/>
      <c r="C275" s="30"/>
      <c r="D275" s="30"/>
      <c r="E275" s="30"/>
      <c r="F275" s="30"/>
      <c r="G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.25" customHeight="1">
      <c r="A276" s="30"/>
      <c r="B276" s="30"/>
      <c r="C276" s="30"/>
      <c r="D276" s="30"/>
      <c r="E276" s="30"/>
      <c r="F276" s="30"/>
      <c r="G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.25" customHeight="1">
      <c r="A277" s="30"/>
      <c r="B277" s="30"/>
      <c r="C277" s="30"/>
      <c r="D277" s="30"/>
      <c r="E277" s="30"/>
      <c r="F277" s="30"/>
      <c r="G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.25" customHeight="1">
      <c r="A278" s="30"/>
      <c r="B278" s="30"/>
      <c r="C278" s="30"/>
      <c r="D278" s="30"/>
      <c r="E278" s="30"/>
      <c r="F278" s="30"/>
      <c r="G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.25" customHeight="1">
      <c r="A279" s="30"/>
      <c r="B279" s="30"/>
      <c r="C279" s="30"/>
      <c r="D279" s="30"/>
      <c r="E279" s="30"/>
      <c r="F279" s="30"/>
      <c r="G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30"/>
      <c r="B280" s="30"/>
      <c r="C280" s="30"/>
      <c r="D280" s="30"/>
      <c r="E280" s="30"/>
      <c r="F280" s="30"/>
      <c r="G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.25" customHeight="1">
      <c r="A281" s="30"/>
      <c r="B281" s="30"/>
      <c r="C281" s="30"/>
      <c r="D281" s="30"/>
      <c r="E281" s="30"/>
      <c r="F281" s="30"/>
      <c r="G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.25" customHeight="1">
      <c r="A282" s="30"/>
      <c r="B282" s="30"/>
      <c r="C282" s="30"/>
      <c r="D282" s="30"/>
      <c r="E282" s="30"/>
      <c r="F282" s="30"/>
      <c r="G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.25" customHeight="1">
      <c r="A283" s="30"/>
      <c r="B283" s="30"/>
      <c r="C283" s="30"/>
      <c r="D283" s="30"/>
      <c r="E283" s="30"/>
      <c r="F283" s="30"/>
      <c r="G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.25" customHeight="1">
      <c r="A284" s="30"/>
      <c r="B284" s="30"/>
      <c r="C284" s="30"/>
      <c r="D284" s="30"/>
      <c r="E284" s="30"/>
      <c r="F284" s="30"/>
      <c r="G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.25" customHeight="1">
      <c r="A285" s="30"/>
      <c r="B285" s="30"/>
      <c r="C285" s="30"/>
      <c r="D285" s="30"/>
      <c r="E285" s="30"/>
      <c r="F285" s="30"/>
      <c r="G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.25" customHeight="1">
      <c r="A286" s="30"/>
      <c r="B286" s="30"/>
      <c r="C286" s="30"/>
      <c r="D286" s="30"/>
      <c r="E286" s="30"/>
      <c r="F286" s="30"/>
      <c r="G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25" customHeight="1">
      <c r="A287" s="30"/>
      <c r="B287" s="30"/>
      <c r="C287" s="30"/>
      <c r="D287" s="30"/>
      <c r="E287" s="30"/>
      <c r="F287" s="30"/>
      <c r="G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.25" customHeight="1">
      <c r="A288" s="30"/>
      <c r="B288" s="30"/>
      <c r="C288" s="30"/>
      <c r="D288" s="30"/>
      <c r="E288" s="30"/>
      <c r="F288" s="30"/>
      <c r="G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.25" customHeight="1">
      <c r="A289" s="30"/>
      <c r="B289" s="30"/>
      <c r="C289" s="30"/>
      <c r="D289" s="30"/>
      <c r="E289" s="30"/>
      <c r="F289" s="30"/>
      <c r="G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.25" customHeight="1">
      <c r="A290" s="30"/>
      <c r="B290" s="30"/>
      <c r="C290" s="30"/>
      <c r="D290" s="30"/>
      <c r="E290" s="30"/>
      <c r="F290" s="30"/>
      <c r="G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.25" customHeight="1">
      <c r="A291" s="30"/>
      <c r="B291" s="30"/>
      <c r="C291" s="30"/>
      <c r="D291" s="30"/>
      <c r="E291" s="30"/>
      <c r="F291" s="30"/>
      <c r="G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.25" customHeight="1">
      <c r="A292" s="30"/>
      <c r="B292" s="30"/>
      <c r="C292" s="30"/>
      <c r="D292" s="30"/>
      <c r="E292" s="30"/>
      <c r="F292" s="30"/>
      <c r="G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.25" customHeight="1">
      <c r="A293" s="30"/>
      <c r="B293" s="30"/>
      <c r="C293" s="30"/>
      <c r="D293" s="30"/>
      <c r="E293" s="30"/>
      <c r="F293" s="30"/>
      <c r="G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30"/>
      <c r="B294" s="30"/>
      <c r="C294" s="30"/>
      <c r="D294" s="30"/>
      <c r="E294" s="30"/>
      <c r="F294" s="30"/>
      <c r="G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.25" customHeight="1">
      <c r="A295" s="30"/>
      <c r="B295" s="30"/>
      <c r="C295" s="30"/>
      <c r="D295" s="30"/>
      <c r="E295" s="30"/>
      <c r="F295" s="30"/>
      <c r="G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.25" customHeight="1">
      <c r="A296" s="30"/>
      <c r="B296" s="30"/>
      <c r="C296" s="30"/>
      <c r="D296" s="30"/>
      <c r="E296" s="30"/>
      <c r="F296" s="30"/>
      <c r="G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.25" customHeight="1">
      <c r="A297" s="30"/>
      <c r="B297" s="30"/>
      <c r="C297" s="30"/>
      <c r="D297" s="30"/>
      <c r="E297" s="30"/>
      <c r="F297" s="30"/>
      <c r="G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.25" customHeight="1">
      <c r="A298" s="30"/>
      <c r="B298" s="30"/>
      <c r="C298" s="30"/>
      <c r="D298" s="30"/>
      <c r="E298" s="30"/>
      <c r="F298" s="30"/>
      <c r="G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.25" customHeight="1">
      <c r="A299" s="30"/>
      <c r="B299" s="30"/>
      <c r="C299" s="30"/>
      <c r="D299" s="30"/>
      <c r="E299" s="30"/>
      <c r="F299" s="30"/>
      <c r="G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.25" customHeight="1">
      <c r="A300" s="30"/>
      <c r="B300" s="30"/>
      <c r="C300" s="30"/>
      <c r="D300" s="30"/>
      <c r="E300" s="30"/>
      <c r="F300" s="30"/>
      <c r="G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A301" s="30"/>
      <c r="B301" s="30"/>
      <c r="C301" s="30"/>
      <c r="D301" s="30"/>
      <c r="E301" s="30"/>
      <c r="F301" s="30"/>
      <c r="G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.25" customHeight="1">
      <c r="A302" s="30"/>
      <c r="B302" s="30"/>
      <c r="C302" s="30"/>
      <c r="D302" s="30"/>
      <c r="E302" s="30"/>
      <c r="F302" s="30"/>
      <c r="G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.25" customHeight="1">
      <c r="A303" s="30"/>
      <c r="B303" s="30"/>
      <c r="C303" s="30"/>
      <c r="D303" s="30"/>
      <c r="E303" s="30"/>
      <c r="F303" s="30"/>
      <c r="G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.25" customHeight="1">
      <c r="A304" s="30"/>
      <c r="B304" s="30"/>
      <c r="C304" s="30"/>
      <c r="D304" s="30"/>
      <c r="E304" s="30"/>
      <c r="F304" s="30"/>
      <c r="G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.25" customHeight="1">
      <c r="A305" s="30"/>
      <c r="B305" s="30"/>
      <c r="C305" s="30"/>
      <c r="D305" s="30"/>
      <c r="E305" s="30"/>
      <c r="F305" s="30"/>
      <c r="G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.25" customHeight="1">
      <c r="A306" s="30"/>
      <c r="B306" s="30"/>
      <c r="C306" s="30"/>
      <c r="D306" s="30"/>
      <c r="E306" s="30"/>
      <c r="F306" s="30"/>
      <c r="G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30"/>
      <c r="B307" s="30"/>
      <c r="C307" s="30"/>
      <c r="D307" s="30"/>
      <c r="E307" s="30"/>
      <c r="F307" s="30"/>
      <c r="G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30"/>
      <c r="B308" s="30"/>
      <c r="C308" s="30"/>
      <c r="D308" s="30"/>
      <c r="E308" s="30"/>
      <c r="F308" s="30"/>
      <c r="G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30"/>
      <c r="B309" s="30"/>
      <c r="C309" s="30"/>
      <c r="D309" s="30"/>
      <c r="E309" s="30"/>
      <c r="F309" s="30"/>
      <c r="G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30"/>
      <c r="B310" s="30"/>
      <c r="C310" s="30"/>
      <c r="D310" s="30"/>
      <c r="E310" s="30"/>
      <c r="F310" s="30"/>
      <c r="G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30"/>
      <c r="B311" s="30"/>
      <c r="C311" s="30"/>
      <c r="D311" s="30"/>
      <c r="E311" s="30"/>
      <c r="F311" s="30"/>
      <c r="G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30"/>
      <c r="B312" s="30"/>
      <c r="C312" s="30"/>
      <c r="D312" s="30"/>
      <c r="E312" s="30"/>
      <c r="F312" s="30"/>
      <c r="G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.25" customHeight="1">
      <c r="A313" s="30"/>
      <c r="B313" s="30"/>
      <c r="C313" s="30"/>
      <c r="D313" s="30"/>
      <c r="E313" s="30"/>
      <c r="F313" s="30"/>
      <c r="G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.25" customHeight="1">
      <c r="A314" s="30"/>
      <c r="B314" s="30"/>
      <c r="C314" s="30"/>
      <c r="D314" s="30"/>
      <c r="E314" s="30"/>
      <c r="F314" s="30"/>
      <c r="G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A315" s="30"/>
      <c r="B315" s="30"/>
      <c r="C315" s="30"/>
      <c r="D315" s="30"/>
      <c r="E315" s="30"/>
      <c r="F315" s="30"/>
      <c r="G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.25" customHeight="1">
      <c r="A316" s="30"/>
      <c r="B316" s="30"/>
      <c r="C316" s="30"/>
      <c r="D316" s="30"/>
      <c r="E316" s="30"/>
      <c r="F316" s="30"/>
      <c r="G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4.25" customHeight="1">
      <c r="A317" s="30"/>
      <c r="B317" s="30"/>
      <c r="C317" s="30"/>
      <c r="D317" s="30"/>
      <c r="E317" s="30"/>
      <c r="F317" s="30"/>
      <c r="G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4.25" customHeight="1">
      <c r="A318" s="30"/>
      <c r="B318" s="30"/>
      <c r="C318" s="30"/>
      <c r="D318" s="30"/>
      <c r="E318" s="30"/>
      <c r="F318" s="30"/>
      <c r="G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4.25" customHeight="1">
      <c r="A319" s="30"/>
      <c r="B319" s="30"/>
      <c r="C319" s="30"/>
      <c r="D319" s="30"/>
      <c r="E319" s="30"/>
      <c r="F319" s="30"/>
      <c r="G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4.25" customHeight="1">
      <c r="A320" s="30"/>
      <c r="B320" s="30"/>
      <c r="C320" s="30"/>
      <c r="D320" s="30"/>
      <c r="E320" s="30"/>
      <c r="F320" s="30"/>
      <c r="G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4.25" customHeight="1">
      <c r="A321" s="30"/>
      <c r="B321" s="30"/>
      <c r="C321" s="30"/>
      <c r="D321" s="30"/>
      <c r="E321" s="30"/>
      <c r="F321" s="30"/>
      <c r="G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.25" customHeight="1">
      <c r="A322" s="30"/>
      <c r="B322" s="30"/>
      <c r="C322" s="30"/>
      <c r="D322" s="30"/>
      <c r="E322" s="30"/>
      <c r="F322" s="30"/>
      <c r="G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4.25" customHeight="1">
      <c r="A323" s="30"/>
      <c r="B323" s="30"/>
      <c r="C323" s="30"/>
      <c r="D323" s="30"/>
      <c r="E323" s="30"/>
      <c r="F323" s="30"/>
      <c r="G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4.25" customHeight="1">
      <c r="A324" s="30"/>
      <c r="B324" s="30"/>
      <c r="C324" s="30"/>
      <c r="D324" s="30"/>
      <c r="E324" s="30"/>
      <c r="F324" s="30"/>
      <c r="G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4.25" customHeight="1">
      <c r="A325" s="30"/>
      <c r="B325" s="30"/>
      <c r="C325" s="30"/>
      <c r="D325" s="30"/>
      <c r="E325" s="30"/>
      <c r="F325" s="30"/>
      <c r="G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4.25" customHeight="1">
      <c r="A326" s="30"/>
      <c r="B326" s="30"/>
      <c r="C326" s="30"/>
      <c r="D326" s="30"/>
      <c r="E326" s="30"/>
      <c r="F326" s="30"/>
      <c r="G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4.25" customHeight="1">
      <c r="A327" s="30"/>
      <c r="B327" s="30"/>
      <c r="C327" s="30"/>
      <c r="D327" s="30"/>
      <c r="E327" s="30"/>
      <c r="F327" s="30"/>
      <c r="G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4.25" customHeight="1">
      <c r="A328" s="30"/>
      <c r="B328" s="30"/>
      <c r="C328" s="30"/>
      <c r="D328" s="30"/>
      <c r="E328" s="30"/>
      <c r="F328" s="30"/>
      <c r="G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.25" customHeight="1">
      <c r="A329" s="30"/>
      <c r="B329" s="30"/>
      <c r="C329" s="30"/>
      <c r="D329" s="30"/>
      <c r="E329" s="30"/>
      <c r="F329" s="30"/>
      <c r="G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4.25" customHeight="1">
      <c r="A330" s="30"/>
      <c r="B330" s="30"/>
      <c r="C330" s="30"/>
      <c r="D330" s="30"/>
      <c r="E330" s="30"/>
      <c r="F330" s="30"/>
      <c r="G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4.25" customHeight="1">
      <c r="A331" s="30"/>
      <c r="B331" s="30"/>
      <c r="C331" s="30"/>
      <c r="D331" s="30"/>
      <c r="E331" s="30"/>
      <c r="F331" s="30"/>
      <c r="G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4.25" customHeight="1">
      <c r="A332" s="30"/>
      <c r="B332" s="30"/>
      <c r="C332" s="30"/>
      <c r="D332" s="30"/>
      <c r="E332" s="30"/>
      <c r="F332" s="30"/>
      <c r="G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4.25" customHeight="1">
      <c r="A333" s="30"/>
      <c r="B333" s="30"/>
      <c r="C333" s="30"/>
      <c r="D333" s="30"/>
      <c r="E333" s="30"/>
      <c r="F333" s="30"/>
      <c r="G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4.25" customHeight="1">
      <c r="A334" s="30"/>
      <c r="B334" s="30"/>
      <c r="C334" s="30"/>
      <c r="D334" s="30"/>
      <c r="E334" s="30"/>
      <c r="F334" s="30"/>
      <c r="G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4.25" customHeight="1">
      <c r="A335" s="30"/>
      <c r="B335" s="30"/>
      <c r="C335" s="30"/>
      <c r="D335" s="30"/>
      <c r="E335" s="30"/>
      <c r="F335" s="30"/>
      <c r="G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.25" customHeight="1">
      <c r="A336" s="30"/>
      <c r="B336" s="30"/>
      <c r="C336" s="30"/>
      <c r="D336" s="30"/>
      <c r="E336" s="30"/>
      <c r="F336" s="30"/>
      <c r="G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4.25" customHeight="1">
      <c r="A337" s="30"/>
      <c r="B337" s="30"/>
      <c r="C337" s="30"/>
      <c r="D337" s="30"/>
      <c r="E337" s="30"/>
      <c r="F337" s="30"/>
      <c r="G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4.25" customHeight="1">
      <c r="A338" s="30"/>
      <c r="B338" s="30"/>
      <c r="C338" s="30"/>
      <c r="D338" s="30"/>
      <c r="E338" s="30"/>
      <c r="F338" s="30"/>
      <c r="G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4.25" customHeight="1">
      <c r="A339" s="30"/>
      <c r="B339" s="30"/>
      <c r="C339" s="30"/>
      <c r="D339" s="30"/>
      <c r="E339" s="30"/>
      <c r="F339" s="30"/>
      <c r="G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4.25" customHeight="1">
      <c r="A340" s="30"/>
      <c r="B340" s="30"/>
      <c r="C340" s="30"/>
      <c r="D340" s="30"/>
      <c r="E340" s="30"/>
      <c r="F340" s="30"/>
      <c r="G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4.25" customHeight="1">
      <c r="A341" s="30"/>
      <c r="B341" s="30"/>
      <c r="C341" s="30"/>
      <c r="D341" s="30"/>
      <c r="E341" s="30"/>
      <c r="F341" s="30"/>
      <c r="G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4.25" customHeight="1">
      <c r="A342" s="30"/>
      <c r="B342" s="30"/>
      <c r="C342" s="30"/>
      <c r="D342" s="30"/>
      <c r="E342" s="30"/>
      <c r="F342" s="30"/>
      <c r="G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.25" customHeight="1">
      <c r="A343" s="30"/>
      <c r="B343" s="30"/>
      <c r="C343" s="30"/>
      <c r="D343" s="30"/>
      <c r="E343" s="30"/>
      <c r="F343" s="30"/>
      <c r="G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4.25" customHeight="1">
      <c r="A344" s="30"/>
      <c r="B344" s="30"/>
      <c r="C344" s="30"/>
      <c r="D344" s="30"/>
      <c r="E344" s="30"/>
      <c r="F344" s="30"/>
      <c r="G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4.25" customHeight="1">
      <c r="A345" s="30"/>
      <c r="B345" s="30"/>
      <c r="C345" s="30"/>
      <c r="D345" s="30"/>
      <c r="E345" s="30"/>
      <c r="F345" s="30"/>
      <c r="G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4.25" customHeight="1">
      <c r="A346" s="30"/>
      <c r="B346" s="30"/>
      <c r="C346" s="30"/>
      <c r="D346" s="30"/>
      <c r="E346" s="30"/>
      <c r="F346" s="30"/>
      <c r="G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4.25" customHeight="1">
      <c r="A347" s="30"/>
      <c r="B347" s="30"/>
      <c r="C347" s="30"/>
      <c r="D347" s="30"/>
      <c r="E347" s="30"/>
      <c r="F347" s="30"/>
      <c r="G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4.25" customHeight="1">
      <c r="A348" s="30"/>
      <c r="B348" s="30"/>
      <c r="C348" s="30"/>
      <c r="D348" s="30"/>
      <c r="E348" s="30"/>
      <c r="F348" s="30"/>
      <c r="G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4.25" customHeight="1">
      <c r="A349" s="30"/>
      <c r="B349" s="30"/>
      <c r="C349" s="30"/>
      <c r="D349" s="30"/>
      <c r="E349" s="30"/>
      <c r="F349" s="30"/>
      <c r="G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.25" customHeight="1">
      <c r="A350" s="30"/>
      <c r="B350" s="30"/>
      <c r="C350" s="30"/>
      <c r="D350" s="30"/>
      <c r="E350" s="30"/>
      <c r="F350" s="30"/>
      <c r="G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4.25" customHeight="1">
      <c r="A351" s="30"/>
      <c r="B351" s="30"/>
      <c r="C351" s="30"/>
      <c r="D351" s="30"/>
      <c r="E351" s="30"/>
      <c r="F351" s="30"/>
      <c r="G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4.25" customHeight="1">
      <c r="A352" s="30"/>
      <c r="B352" s="30"/>
      <c r="C352" s="30"/>
      <c r="D352" s="30"/>
      <c r="E352" s="30"/>
      <c r="F352" s="30"/>
      <c r="G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4.25" customHeight="1">
      <c r="A353" s="30"/>
      <c r="B353" s="30"/>
      <c r="C353" s="30"/>
      <c r="D353" s="30"/>
      <c r="E353" s="30"/>
      <c r="F353" s="30"/>
      <c r="G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4.25" customHeight="1">
      <c r="A354" s="30"/>
      <c r="B354" s="30"/>
      <c r="C354" s="30"/>
      <c r="D354" s="30"/>
      <c r="E354" s="30"/>
      <c r="F354" s="30"/>
      <c r="G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4.25" customHeight="1">
      <c r="A355" s="30"/>
      <c r="B355" s="30"/>
      <c r="C355" s="30"/>
      <c r="D355" s="30"/>
      <c r="E355" s="30"/>
      <c r="F355" s="30"/>
      <c r="G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4.25" customHeight="1">
      <c r="A356" s="30"/>
      <c r="B356" s="30"/>
      <c r="C356" s="30"/>
      <c r="D356" s="30"/>
      <c r="E356" s="30"/>
      <c r="F356" s="30"/>
      <c r="G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.25" customHeight="1">
      <c r="A357" s="30"/>
      <c r="B357" s="30"/>
      <c r="C357" s="30"/>
      <c r="D357" s="30"/>
      <c r="E357" s="30"/>
      <c r="F357" s="30"/>
      <c r="G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4.25" customHeight="1">
      <c r="A358" s="30"/>
      <c r="B358" s="30"/>
      <c r="C358" s="30"/>
      <c r="D358" s="30"/>
      <c r="E358" s="30"/>
      <c r="F358" s="30"/>
      <c r="G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4.25" customHeight="1">
      <c r="A359" s="30"/>
      <c r="B359" s="30"/>
      <c r="C359" s="30"/>
      <c r="D359" s="30"/>
      <c r="E359" s="30"/>
      <c r="F359" s="30"/>
      <c r="G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4.25" customHeight="1">
      <c r="A360" s="30"/>
      <c r="B360" s="30"/>
      <c r="C360" s="30"/>
      <c r="D360" s="30"/>
      <c r="E360" s="30"/>
      <c r="F360" s="30"/>
      <c r="G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4.25" customHeight="1">
      <c r="A361" s="30"/>
      <c r="B361" s="30"/>
      <c r="C361" s="30"/>
      <c r="D361" s="30"/>
      <c r="E361" s="30"/>
      <c r="F361" s="30"/>
      <c r="G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4.25" customHeight="1">
      <c r="A362" s="30"/>
      <c r="B362" s="30"/>
      <c r="C362" s="30"/>
      <c r="D362" s="30"/>
      <c r="E362" s="30"/>
      <c r="F362" s="30"/>
      <c r="G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4.25" customHeight="1">
      <c r="A363" s="30"/>
      <c r="B363" s="30"/>
      <c r="C363" s="30"/>
      <c r="D363" s="30"/>
      <c r="E363" s="30"/>
      <c r="F363" s="30"/>
      <c r="G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.25" customHeight="1">
      <c r="A364" s="30"/>
      <c r="B364" s="30"/>
      <c r="C364" s="30"/>
      <c r="D364" s="30"/>
      <c r="E364" s="30"/>
      <c r="F364" s="30"/>
      <c r="G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4.25" customHeight="1">
      <c r="A365" s="30"/>
      <c r="B365" s="30"/>
      <c r="C365" s="30"/>
      <c r="D365" s="30"/>
      <c r="E365" s="30"/>
      <c r="F365" s="30"/>
      <c r="G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4.25" customHeight="1">
      <c r="A366" s="30"/>
      <c r="B366" s="30"/>
      <c r="C366" s="30"/>
      <c r="D366" s="30"/>
      <c r="E366" s="30"/>
      <c r="F366" s="30"/>
      <c r="G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4.25" customHeight="1">
      <c r="A367" s="30"/>
      <c r="B367" s="30"/>
      <c r="C367" s="30"/>
      <c r="D367" s="30"/>
      <c r="E367" s="30"/>
      <c r="F367" s="30"/>
      <c r="G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4.25" customHeight="1">
      <c r="A368" s="30"/>
      <c r="B368" s="30"/>
      <c r="C368" s="30"/>
      <c r="D368" s="30"/>
      <c r="E368" s="30"/>
      <c r="F368" s="30"/>
      <c r="G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4.25" customHeight="1">
      <c r="A369" s="30"/>
      <c r="B369" s="30"/>
      <c r="C369" s="30"/>
      <c r="D369" s="30"/>
      <c r="E369" s="30"/>
      <c r="F369" s="30"/>
      <c r="G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4.25" customHeight="1">
      <c r="A370" s="30"/>
      <c r="B370" s="30"/>
      <c r="C370" s="30"/>
      <c r="D370" s="30"/>
      <c r="E370" s="30"/>
      <c r="F370" s="30"/>
      <c r="G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.25" customHeight="1">
      <c r="A371" s="30"/>
      <c r="B371" s="30"/>
      <c r="C371" s="30"/>
      <c r="D371" s="30"/>
      <c r="E371" s="30"/>
      <c r="F371" s="30"/>
      <c r="G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4.25" customHeight="1">
      <c r="A372" s="30"/>
      <c r="B372" s="30"/>
      <c r="C372" s="30"/>
      <c r="D372" s="30"/>
      <c r="E372" s="30"/>
      <c r="F372" s="30"/>
      <c r="G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4.25" customHeight="1">
      <c r="A373" s="30"/>
      <c r="B373" s="30"/>
      <c r="C373" s="30"/>
      <c r="D373" s="30"/>
      <c r="E373" s="30"/>
      <c r="F373" s="30"/>
      <c r="G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4.25" customHeight="1">
      <c r="A374" s="30"/>
      <c r="B374" s="30"/>
      <c r="C374" s="30"/>
      <c r="D374" s="30"/>
      <c r="E374" s="30"/>
      <c r="F374" s="30"/>
      <c r="G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4.25" customHeight="1">
      <c r="A375" s="30"/>
      <c r="B375" s="30"/>
      <c r="C375" s="30"/>
      <c r="D375" s="30"/>
      <c r="E375" s="30"/>
      <c r="F375" s="30"/>
      <c r="G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4.25" customHeight="1">
      <c r="A376" s="30"/>
      <c r="B376" s="30"/>
      <c r="C376" s="30"/>
      <c r="D376" s="30"/>
      <c r="E376" s="30"/>
      <c r="F376" s="30"/>
      <c r="G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4.25" customHeight="1">
      <c r="A377" s="30"/>
      <c r="B377" s="30"/>
      <c r="C377" s="30"/>
      <c r="D377" s="30"/>
      <c r="E377" s="30"/>
      <c r="F377" s="30"/>
      <c r="G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.25" customHeight="1">
      <c r="A378" s="30"/>
      <c r="B378" s="30"/>
      <c r="C378" s="30"/>
      <c r="D378" s="30"/>
      <c r="E378" s="30"/>
      <c r="F378" s="30"/>
      <c r="G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4.25" customHeight="1">
      <c r="A379" s="30"/>
      <c r="B379" s="30"/>
      <c r="C379" s="30"/>
      <c r="D379" s="30"/>
      <c r="E379" s="30"/>
      <c r="F379" s="30"/>
      <c r="G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4.25" customHeight="1">
      <c r="A380" s="30"/>
      <c r="B380" s="30"/>
      <c r="C380" s="30"/>
      <c r="D380" s="30"/>
      <c r="E380" s="30"/>
      <c r="F380" s="30"/>
      <c r="G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4.25" customHeight="1">
      <c r="A381" s="30"/>
      <c r="B381" s="30"/>
      <c r="C381" s="30"/>
      <c r="D381" s="30"/>
      <c r="E381" s="30"/>
      <c r="F381" s="30"/>
      <c r="G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4.25" customHeight="1">
      <c r="A382" s="30"/>
      <c r="B382" s="30"/>
      <c r="C382" s="30"/>
      <c r="D382" s="30"/>
      <c r="E382" s="30"/>
      <c r="F382" s="30"/>
      <c r="G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4.25" customHeight="1">
      <c r="A383" s="30"/>
      <c r="B383" s="30"/>
      <c r="C383" s="30"/>
      <c r="D383" s="30"/>
      <c r="E383" s="30"/>
      <c r="F383" s="30"/>
      <c r="G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4.25" customHeight="1">
      <c r="A384" s="30"/>
      <c r="B384" s="30"/>
      <c r="C384" s="30"/>
      <c r="D384" s="30"/>
      <c r="E384" s="30"/>
      <c r="F384" s="30"/>
      <c r="G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.25" customHeight="1">
      <c r="A385" s="30"/>
      <c r="B385" s="30"/>
      <c r="C385" s="30"/>
      <c r="D385" s="30"/>
      <c r="E385" s="30"/>
      <c r="F385" s="30"/>
      <c r="G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4.25" customHeight="1">
      <c r="A386" s="30"/>
      <c r="B386" s="30"/>
      <c r="C386" s="30"/>
      <c r="D386" s="30"/>
      <c r="E386" s="30"/>
      <c r="F386" s="30"/>
      <c r="G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4.25" customHeight="1">
      <c r="A387" s="30"/>
      <c r="B387" s="30"/>
      <c r="C387" s="30"/>
      <c r="D387" s="30"/>
      <c r="E387" s="30"/>
      <c r="F387" s="30"/>
      <c r="G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4.25" customHeight="1">
      <c r="A388" s="30"/>
      <c r="B388" s="30"/>
      <c r="C388" s="30"/>
      <c r="D388" s="30"/>
      <c r="E388" s="30"/>
      <c r="F388" s="30"/>
      <c r="G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4.25" customHeight="1">
      <c r="A389" s="30"/>
      <c r="B389" s="30"/>
      <c r="C389" s="30"/>
      <c r="D389" s="30"/>
      <c r="E389" s="30"/>
      <c r="F389" s="30"/>
      <c r="G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4.25" customHeight="1">
      <c r="A390" s="30"/>
      <c r="B390" s="30"/>
      <c r="C390" s="30"/>
      <c r="D390" s="30"/>
      <c r="E390" s="30"/>
      <c r="F390" s="30"/>
      <c r="G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4.25" customHeight="1">
      <c r="A391" s="30"/>
      <c r="B391" s="30"/>
      <c r="C391" s="30"/>
      <c r="D391" s="30"/>
      <c r="E391" s="30"/>
      <c r="F391" s="30"/>
      <c r="G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.25" customHeight="1">
      <c r="A392" s="30"/>
      <c r="B392" s="30"/>
      <c r="C392" s="30"/>
      <c r="D392" s="30"/>
      <c r="E392" s="30"/>
      <c r="F392" s="30"/>
      <c r="G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4.25" customHeight="1">
      <c r="A393" s="30"/>
      <c r="B393" s="30"/>
      <c r="C393" s="30"/>
      <c r="D393" s="30"/>
      <c r="E393" s="30"/>
      <c r="F393" s="30"/>
      <c r="G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4.25" customHeight="1">
      <c r="A394" s="30"/>
      <c r="B394" s="30"/>
      <c r="C394" s="30"/>
      <c r="D394" s="30"/>
      <c r="E394" s="30"/>
      <c r="F394" s="30"/>
      <c r="G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4.25" customHeight="1">
      <c r="A395" s="30"/>
      <c r="B395" s="30"/>
      <c r="C395" s="30"/>
      <c r="D395" s="30"/>
      <c r="E395" s="30"/>
      <c r="F395" s="30"/>
      <c r="G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4.25" customHeight="1">
      <c r="A396" s="30"/>
      <c r="B396" s="30"/>
      <c r="C396" s="30"/>
      <c r="D396" s="30"/>
      <c r="E396" s="30"/>
      <c r="F396" s="30"/>
      <c r="G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4.25" customHeight="1">
      <c r="A397" s="30"/>
      <c r="B397" s="30"/>
      <c r="C397" s="30"/>
      <c r="D397" s="30"/>
      <c r="E397" s="30"/>
      <c r="F397" s="30"/>
      <c r="G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4.25" customHeight="1">
      <c r="A398" s="30"/>
      <c r="B398" s="30"/>
      <c r="C398" s="30"/>
      <c r="D398" s="30"/>
      <c r="E398" s="30"/>
      <c r="F398" s="30"/>
      <c r="G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.25" customHeight="1">
      <c r="A399" s="30"/>
      <c r="B399" s="30"/>
      <c r="C399" s="30"/>
      <c r="D399" s="30"/>
      <c r="E399" s="30"/>
      <c r="F399" s="30"/>
      <c r="G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4.25" customHeight="1">
      <c r="A400" s="30"/>
      <c r="B400" s="30"/>
      <c r="C400" s="30"/>
      <c r="D400" s="30"/>
      <c r="E400" s="30"/>
      <c r="F400" s="30"/>
      <c r="G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4.25" customHeight="1">
      <c r="A401" s="30"/>
      <c r="B401" s="30"/>
      <c r="C401" s="30"/>
      <c r="D401" s="30"/>
      <c r="E401" s="30"/>
      <c r="F401" s="30"/>
      <c r="G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4.25" customHeight="1">
      <c r="A402" s="30"/>
      <c r="B402" s="30"/>
      <c r="C402" s="30"/>
      <c r="D402" s="30"/>
      <c r="E402" s="30"/>
      <c r="F402" s="30"/>
      <c r="G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4.25" customHeight="1">
      <c r="A403" s="30"/>
      <c r="B403" s="30"/>
      <c r="C403" s="30"/>
      <c r="D403" s="30"/>
      <c r="E403" s="30"/>
      <c r="F403" s="30"/>
      <c r="G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4.25" customHeight="1">
      <c r="A404" s="30"/>
      <c r="B404" s="30"/>
      <c r="C404" s="30"/>
      <c r="D404" s="30"/>
      <c r="E404" s="30"/>
      <c r="F404" s="30"/>
      <c r="G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4.25" customHeight="1">
      <c r="A405" s="30"/>
      <c r="B405" s="30"/>
      <c r="C405" s="30"/>
      <c r="D405" s="30"/>
      <c r="E405" s="30"/>
      <c r="F405" s="30"/>
      <c r="G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.25" customHeight="1">
      <c r="A406" s="30"/>
      <c r="B406" s="30"/>
      <c r="C406" s="30"/>
      <c r="D406" s="30"/>
      <c r="E406" s="30"/>
      <c r="F406" s="30"/>
      <c r="G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4.25" customHeight="1">
      <c r="A407" s="30"/>
      <c r="B407" s="30"/>
      <c r="C407" s="30"/>
      <c r="D407" s="30"/>
      <c r="E407" s="30"/>
      <c r="F407" s="30"/>
      <c r="G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4.25" customHeight="1">
      <c r="A408" s="30"/>
      <c r="B408" s="30"/>
      <c r="C408" s="30"/>
      <c r="D408" s="30"/>
      <c r="E408" s="30"/>
      <c r="F408" s="30"/>
      <c r="G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4.25" customHeight="1">
      <c r="A409" s="30"/>
      <c r="B409" s="30"/>
      <c r="C409" s="30"/>
      <c r="D409" s="30"/>
      <c r="E409" s="30"/>
      <c r="F409" s="30"/>
      <c r="G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4.25" customHeight="1">
      <c r="A410" s="30"/>
      <c r="B410" s="30"/>
      <c r="C410" s="30"/>
      <c r="D410" s="30"/>
      <c r="E410" s="30"/>
      <c r="F410" s="30"/>
      <c r="G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4.25" customHeight="1">
      <c r="A411" s="30"/>
      <c r="B411" s="30"/>
      <c r="C411" s="30"/>
      <c r="D411" s="30"/>
      <c r="E411" s="30"/>
      <c r="F411" s="30"/>
      <c r="G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4.25" customHeight="1">
      <c r="A412" s="30"/>
      <c r="B412" s="30"/>
      <c r="C412" s="30"/>
      <c r="D412" s="30"/>
      <c r="E412" s="30"/>
      <c r="F412" s="30"/>
      <c r="G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.25" customHeight="1">
      <c r="A413" s="30"/>
      <c r="B413" s="30"/>
      <c r="C413" s="30"/>
      <c r="D413" s="30"/>
      <c r="E413" s="30"/>
      <c r="F413" s="30"/>
      <c r="G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4.25" customHeight="1">
      <c r="A414" s="30"/>
      <c r="B414" s="30"/>
      <c r="C414" s="30"/>
      <c r="D414" s="30"/>
      <c r="E414" s="30"/>
      <c r="F414" s="30"/>
      <c r="G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4.25" customHeight="1">
      <c r="A415" s="30"/>
      <c r="B415" s="30"/>
      <c r="C415" s="30"/>
      <c r="D415" s="30"/>
      <c r="E415" s="30"/>
      <c r="F415" s="30"/>
      <c r="G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4.25" customHeight="1">
      <c r="A416" s="30"/>
      <c r="B416" s="30"/>
      <c r="C416" s="30"/>
      <c r="D416" s="30"/>
      <c r="E416" s="30"/>
      <c r="F416" s="30"/>
      <c r="G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4.25" customHeight="1">
      <c r="A417" s="30"/>
      <c r="B417" s="30"/>
      <c r="C417" s="30"/>
      <c r="D417" s="30"/>
      <c r="E417" s="30"/>
      <c r="F417" s="30"/>
      <c r="G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4.25" customHeight="1">
      <c r="A418" s="30"/>
      <c r="B418" s="30"/>
      <c r="C418" s="30"/>
      <c r="D418" s="30"/>
      <c r="E418" s="30"/>
      <c r="F418" s="30"/>
      <c r="G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4.25" customHeight="1">
      <c r="A419" s="30"/>
      <c r="B419" s="30"/>
      <c r="C419" s="30"/>
      <c r="D419" s="30"/>
      <c r="E419" s="30"/>
      <c r="F419" s="30"/>
      <c r="G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.25" customHeight="1">
      <c r="A420" s="30"/>
      <c r="B420" s="30"/>
      <c r="C420" s="30"/>
      <c r="D420" s="30"/>
      <c r="E420" s="30"/>
      <c r="F420" s="30"/>
      <c r="G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4.25" customHeight="1">
      <c r="A421" s="30"/>
      <c r="B421" s="30"/>
      <c r="C421" s="30"/>
      <c r="D421" s="30"/>
      <c r="E421" s="30"/>
      <c r="F421" s="30"/>
      <c r="G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4.25" customHeight="1">
      <c r="A422" s="30"/>
      <c r="B422" s="30"/>
      <c r="C422" s="30"/>
      <c r="D422" s="30"/>
      <c r="E422" s="30"/>
      <c r="F422" s="30"/>
      <c r="G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4.25" customHeight="1">
      <c r="A423" s="30"/>
      <c r="B423" s="30"/>
      <c r="C423" s="30"/>
      <c r="D423" s="30"/>
      <c r="E423" s="30"/>
      <c r="F423" s="30"/>
      <c r="G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4.25" customHeight="1">
      <c r="A424" s="30"/>
      <c r="B424" s="30"/>
      <c r="C424" s="30"/>
      <c r="D424" s="30"/>
      <c r="E424" s="30"/>
      <c r="F424" s="30"/>
      <c r="G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4.25" customHeight="1">
      <c r="A425" s="30"/>
      <c r="B425" s="30"/>
      <c r="C425" s="30"/>
      <c r="D425" s="30"/>
      <c r="E425" s="30"/>
      <c r="F425" s="30"/>
      <c r="G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4.25" customHeight="1">
      <c r="A426" s="30"/>
      <c r="B426" s="30"/>
      <c r="C426" s="30"/>
      <c r="D426" s="30"/>
      <c r="E426" s="30"/>
      <c r="F426" s="30"/>
      <c r="G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.25" customHeight="1">
      <c r="A427" s="30"/>
      <c r="B427" s="30"/>
      <c r="C427" s="30"/>
      <c r="D427" s="30"/>
      <c r="E427" s="30"/>
      <c r="F427" s="30"/>
      <c r="G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4.25" customHeight="1">
      <c r="A428" s="30"/>
      <c r="B428" s="30"/>
      <c r="C428" s="30"/>
      <c r="D428" s="30"/>
      <c r="E428" s="30"/>
      <c r="F428" s="30"/>
      <c r="G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4.25" customHeight="1">
      <c r="A429" s="30"/>
      <c r="B429" s="30"/>
      <c r="C429" s="30"/>
      <c r="D429" s="30"/>
      <c r="E429" s="30"/>
      <c r="F429" s="30"/>
      <c r="G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4.25" customHeight="1">
      <c r="A430" s="30"/>
      <c r="B430" s="30"/>
      <c r="C430" s="30"/>
      <c r="D430" s="30"/>
      <c r="E430" s="30"/>
      <c r="F430" s="30"/>
      <c r="G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4.25" customHeight="1">
      <c r="A431" s="30"/>
      <c r="B431" s="30"/>
      <c r="C431" s="30"/>
      <c r="D431" s="30"/>
      <c r="E431" s="30"/>
      <c r="F431" s="30"/>
      <c r="G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4.25" customHeight="1">
      <c r="A432" s="30"/>
      <c r="B432" s="30"/>
      <c r="C432" s="30"/>
      <c r="D432" s="30"/>
      <c r="E432" s="30"/>
      <c r="F432" s="30"/>
      <c r="G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4.25" customHeight="1">
      <c r="A433" s="30"/>
      <c r="B433" s="30"/>
      <c r="C433" s="30"/>
      <c r="D433" s="30"/>
      <c r="E433" s="30"/>
      <c r="F433" s="30"/>
      <c r="G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.25" customHeight="1">
      <c r="A434" s="30"/>
      <c r="B434" s="30"/>
      <c r="C434" s="30"/>
      <c r="D434" s="30"/>
      <c r="E434" s="30"/>
      <c r="F434" s="30"/>
      <c r="G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4.25" customHeight="1">
      <c r="A435" s="30"/>
      <c r="B435" s="30"/>
      <c r="C435" s="30"/>
      <c r="D435" s="30"/>
      <c r="E435" s="30"/>
      <c r="F435" s="30"/>
      <c r="G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4.25" customHeight="1">
      <c r="A436" s="30"/>
      <c r="B436" s="30"/>
      <c r="C436" s="30"/>
      <c r="D436" s="30"/>
      <c r="E436" s="30"/>
      <c r="F436" s="30"/>
      <c r="G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4.25" customHeight="1">
      <c r="A437" s="30"/>
      <c r="B437" s="30"/>
      <c r="C437" s="30"/>
      <c r="D437" s="30"/>
      <c r="E437" s="30"/>
      <c r="F437" s="30"/>
      <c r="G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4.25" customHeight="1">
      <c r="A438" s="30"/>
      <c r="B438" s="30"/>
      <c r="C438" s="30"/>
      <c r="D438" s="30"/>
      <c r="E438" s="30"/>
      <c r="F438" s="30"/>
      <c r="G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4.25" customHeight="1">
      <c r="A439" s="30"/>
      <c r="B439" s="30"/>
      <c r="C439" s="30"/>
      <c r="D439" s="30"/>
      <c r="E439" s="30"/>
      <c r="F439" s="30"/>
      <c r="G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4.25" customHeight="1">
      <c r="A440" s="30"/>
      <c r="B440" s="30"/>
      <c r="C440" s="30"/>
      <c r="D440" s="30"/>
      <c r="E440" s="30"/>
      <c r="F440" s="30"/>
      <c r="G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.25" customHeight="1">
      <c r="A441" s="30"/>
      <c r="B441" s="30"/>
      <c r="C441" s="30"/>
      <c r="D441" s="30"/>
      <c r="E441" s="30"/>
      <c r="F441" s="30"/>
      <c r="G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4.25" customHeight="1">
      <c r="A442" s="30"/>
      <c r="B442" s="30"/>
      <c r="C442" s="30"/>
      <c r="D442" s="30"/>
      <c r="E442" s="30"/>
      <c r="F442" s="30"/>
      <c r="G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4.25" customHeight="1">
      <c r="A443" s="30"/>
      <c r="B443" s="30"/>
      <c r="C443" s="30"/>
      <c r="D443" s="30"/>
      <c r="E443" s="30"/>
      <c r="F443" s="30"/>
      <c r="G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4.25" customHeight="1">
      <c r="A444" s="30"/>
      <c r="B444" s="30"/>
      <c r="C444" s="30"/>
      <c r="D444" s="30"/>
      <c r="E444" s="30"/>
      <c r="F444" s="30"/>
      <c r="G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4.25" customHeight="1">
      <c r="A445" s="30"/>
      <c r="B445" s="30"/>
      <c r="C445" s="30"/>
      <c r="D445" s="30"/>
      <c r="E445" s="30"/>
      <c r="F445" s="30"/>
      <c r="G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4.25" customHeight="1">
      <c r="A446" s="30"/>
      <c r="B446" s="30"/>
      <c r="C446" s="30"/>
      <c r="D446" s="30"/>
      <c r="E446" s="30"/>
      <c r="F446" s="30"/>
      <c r="G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4.25" customHeight="1">
      <c r="A447" s="30"/>
      <c r="B447" s="30"/>
      <c r="C447" s="30"/>
      <c r="D447" s="30"/>
      <c r="E447" s="30"/>
      <c r="F447" s="30"/>
      <c r="G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.25" customHeight="1">
      <c r="A448" s="30"/>
      <c r="B448" s="30"/>
      <c r="C448" s="30"/>
      <c r="D448" s="30"/>
      <c r="E448" s="30"/>
      <c r="F448" s="30"/>
      <c r="G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4.25" customHeight="1">
      <c r="A449" s="30"/>
      <c r="B449" s="30"/>
      <c r="C449" s="30"/>
      <c r="D449" s="30"/>
      <c r="E449" s="30"/>
      <c r="F449" s="30"/>
      <c r="G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4.25" customHeight="1">
      <c r="A450" s="30"/>
      <c r="B450" s="30"/>
      <c r="C450" s="30"/>
      <c r="D450" s="30"/>
      <c r="E450" s="30"/>
      <c r="F450" s="30"/>
      <c r="G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4.25" customHeight="1">
      <c r="A451" s="30"/>
      <c r="B451" s="30"/>
      <c r="C451" s="30"/>
      <c r="D451" s="30"/>
      <c r="E451" s="30"/>
      <c r="F451" s="30"/>
      <c r="G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4.25" customHeight="1">
      <c r="A452" s="30"/>
      <c r="B452" s="30"/>
      <c r="C452" s="30"/>
      <c r="D452" s="30"/>
      <c r="E452" s="30"/>
      <c r="F452" s="30"/>
      <c r="G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4.25" customHeight="1">
      <c r="A453" s="30"/>
      <c r="B453" s="30"/>
      <c r="C453" s="30"/>
      <c r="D453" s="30"/>
      <c r="E453" s="30"/>
      <c r="F453" s="30"/>
      <c r="G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4.25" customHeight="1">
      <c r="A454" s="30"/>
      <c r="B454" s="30"/>
      <c r="C454" s="30"/>
      <c r="D454" s="30"/>
      <c r="E454" s="30"/>
      <c r="F454" s="30"/>
      <c r="G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.25" customHeight="1">
      <c r="A455" s="30"/>
      <c r="B455" s="30"/>
      <c r="C455" s="30"/>
      <c r="D455" s="30"/>
      <c r="E455" s="30"/>
      <c r="F455" s="30"/>
      <c r="G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4.25" customHeight="1">
      <c r="A456" s="30"/>
      <c r="B456" s="30"/>
      <c r="C456" s="30"/>
      <c r="D456" s="30"/>
      <c r="E456" s="30"/>
      <c r="F456" s="30"/>
      <c r="G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4.25" customHeight="1">
      <c r="A457" s="30"/>
      <c r="B457" s="30"/>
      <c r="C457" s="30"/>
      <c r="D457" s="30"/>
      <c r="E457" s="30"/>
      <c r="F457" s="30"/>
      <c r="G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4.25" customHeight="1">
      <c r="A458" s="30"/>
      <c r="B458" s="30"/>
      <c r="C458" s="30"/>
      <c r="D458" s="30"/>
      <c r="E458" s="30"/>
      <c r="F458" s="30"/>
      <c r="G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4.25" customHeight="1">
      <c r="A459" s="30"/>
      <c r="B459" s="30"/>
      <c r="C459" s="30"/>
      <c r="D459" s="30"/>
      <c r="E459" s="30"/>
      <c r="F459" s="30"/>
      <c r="G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4.25" customHeight="1">
      <c r="A460" s="30"/>
      <c r="B460" s="30"/>
      <c r="C460" s="30"/>
      <c r="D460" s="30"/>
      <c r="E460" s="30"/>
      <c r="F460" s="30"/>
      <c r="G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4.25" customHeight="1">
      <c r="A461" s="30"/>
      <c r="B461" s="30"/>
      <c r="C461" s="30"/>
      <c r="D461" s="30"/>
      <c r="E461" s="30"/>
      <c r="F461" s="30"/>
      <c r="G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.25" customHeight="1">
      <c r="A462" s="30"/>
      <c r="B462" s="30"/>
      <c r="C462" s="30"/>
      <c r="D462" s="30"/>
      <c r="E462" s="30"/>
      <c r="F462" s="30"/>
      <c r="G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4.25" customHeight="1">
      <c r="A463" s="30"/>
      <c r="B463" s="30"/>
      <c r="C463" s="30"/>
      <c r="D463" s="30"/>
      <c r="E463" s="30"/>
      <c r="F463" s="30"/>
      <c r="G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4.25" customHeight="1">
      <c r="A464" s="30"/>
      <c r="B464" s="30"/>
      <c r="C464" s="30"/>
      <c r="D464" s="30"/>
      <c r="E464" s="30"/>
      <c r="F464" s="30"/>
      <c r="G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4.25" customHeight="1">
      <c r="A465" s="30"/>
      <c r="B465" s="30"/>
      <c r="C465" s="30"/>
      <c r="D465" s="30"/>
      <c r="E465" s="30"/>
      <c r="F465" s="30"/>
      <c r="G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4.25" customHeight="1">
      <c r="A466" s="30"/>
      <c r="B466" s="30"/>
      <c r="C466" s="30"/>
      <c r="D466" s="30"/>
      <c r="E466" s="30"/>
      <c r="F466" s="30"/>
      <c r="G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4.25" customHeight="1">
      <c r="A467" s="30"/>
      <c r="B467" s="30"/>
      <c r="C467" s="30"/>
      <c r="D467" s="30"/>
      <c r="E467" s="30"/>
      <c r="F467" s="30"/>
      <c r="G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4.25" customHeight="1">
      <c r="A468" s="30"/>
      <c r="B468" s="30"/>
      <c r="C468" s="30"/>
      <c r="D468" s="30"/>
      <c r="E468" s="30"/>
      <c r="F468" s="30"/>
      <c r="G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.25" customHeight="1">
      <c r="A469" s="30"/>
      <c r="B469" s="30"/>
      <c r="C469" s="30"/>
      <c r="D469" s="30"/>
      <c r="E469" s="30"/>
      <c r="F469" s="30"/>
      <c r="G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4.25" customHeight="1">
      <c r="A470" s="30"/>
      <c r="B470" s="30"/>
      <c r="C470" s="30"/>
      <c r="D470" s="30"/>
      <c r="E470" s="30"/>
      <c r="F470" s="30"/>
      <c r="G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4.25" customHeight="1">
      <c r="A471" s="30"/>
      <c r="B471" s="30"/>
      <c r="C471" s="30"/>
      <c r="D471" s="30"/>
      <c r="E471" s="30"/>
      <c r="F471" s="30"/>
      <c r="G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4.25" customHeight="1">
      <c r="A472" s="30"/>
      <c r="B472" s="30"/>
      <c r="C472" s="30"/>
      <c r="D472" s="30"/>
      <c r="E472" s="30"/>
      <c r="F472" s="30"/>
      <c r="G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4.25" customHeight="1">
      <c r="A473" s="30"/>
      <c r="B473" s="30"/>
      <c r="C473" s="30"/>
      <c r="D473" s="30"/>
      <c r="E473" s="30"/>
      <c r="F473" s="30"/>
      <c r="G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4.25" customHeight="1">
      <c r="A474" s="30"/>
      <c r="B474" s="30"/>
      <c r="C474" s="30"/>
      <c r="D474" s="30"/>
      <c r="E474" s="30"/>
      <c r="F474" s="30"/>
      <c r="G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4.25" customHeight="1">
      <c r="A475" s="30"/>
      <c r="B475" s="30"/>
      <c r="C475" s="30"/>
      <c r="D475" s="30"/>
      <c r="E475" s="30"/>
      <c r="F475" s="30"/>
      <c r="G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.25" customHeight="1">
      <c r="A476" s="30"/>
      <c r="B476" s="30"/>
      <c r="C476" s="30"/>
      <c r="D476" s="30"/>
      <c r="E476" s="30"/>
      <c r="F476" s="30"/>
      <c r="G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4.25" customHeight="1">
      <c r="A477" s="30"/>
      <c r="B477" s="30"/>
      <c r="C477" s="30"/>
      <c r="D477" s="30"/>
      <c r="E477" s="30"/>
      <c r="F477" s="30"/>
      <c r="G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4.25" customHeight="1">
      <c r="A478" s="30"/>
      <c r="B478" s="30"/>
      <c r="C478" s="30"/>
      <c r="D478" s="30"/>
      <c r="E478" s="30"/>
      <c r="F478" s="30"/>
      <c r="G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4.25" customHeight="1">
      <c r="A479" s="30"/>
      <c r="B479" s="30"/>
      <c r="C479" s="30"/>
      <c r="D479" s="30"/>
      <c r="E479" s="30"/>
      <c r="F479" s="30"/>
      <c r="G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4.25" customHeight="1">
      <c r="A480" s="30"/>
      <c r="B480" s="30"/>
      <c r="C480" s="30"/>
      <c r="D480" s="30"/>
      <c r="E480" s="30"/>
      <c r="F480" s="30"/>
      <c r="G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4.25" customHeight="1">
      <c r="A481" s="30"/>
      <c r="B481" s="30"/>
      <c r="C481" s="30"/>
      <c r="D481" s="30"/>
      <c r="E481" s="30"/>
      <c r="F481" s="30"/>
      <c r="G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4.25" customHeight="1">
      <c r="A482" s="30"/>
      <c r="B482" s="30"/>
      <c r="C482" s="30"/>
      <c r="D482" s="30"/>
      <c r="E482" s="30"/>
      <c r="F482" s="30"/>
      <c r="G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.25" customHeight="1">
      <c r="A483" s="30"/>
      <c r="B483" s="30"/>
      <c r="C483" s="30"/>
      <c r="D483" s="30"/>
      <c r="E483" s="30"/>
      <c r="F483" s="30"/>
      <c r="G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4.25" customHeight="1">
      <c r="A484" s="30"/>
      <c r="B484" s="30"/>
      <c r="C484" s="30"/>
      <c r="D484" s="30"/>
      <c r="E484" s="30"/>
      <c r="F484" s="30"/>
      <c r="G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4.25" customHeight="1">
      <c r="A485" s="30"/>
      <c r="B485" s="30"/>
      <c r="C485" s="30"/>
      <c r="D485" s="30"/>
      <c r="E485" s="30"/>
      <c r="F485" s="30"/>
      <c r="G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4.25" customHeight="1">
      <c r="A486" s="30"/>
      <c r="B486" s="30"/>
      <c r="C486" s="30"/>
      <c r="D486" s="30"/>
      <c r="E486" s="30"/>
      <c r="F486" s="30"/>
      <c r="G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4.25" customHeight="1">
      <c r="A487" s="30"/>
      <c r="B487" s="30"/>
      <c r="C487" s="30"/>
      <c r="D487" s="30"/>
      <c r="E487" s="30"/>
      <c r="F487" s="30"/>
      <c r="G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4.25" customHeight="1">
      <c r="A488" s="30"/>
      <c r="B488" s="30"/>
      <c r="C488" s="30"/>
      <c r="D488" s="30"/>
      <c r="E488" s="30"/>
      <c r="F488" s="30"/>
      <c r="G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4.25" customHeight="1">
      <c r="A489" s="30"/>
      <c r="B489" s="30"/>
      <c r="C489" s="30"/>
      <c r="D489" s="30"/>
      <c r="E489" s="30"/>
      <c r="F489" s="30"/>
      <c r="G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.25" customHeight="1">
      <c r="A490" s="30"/>
      <c r="B490" s="30"/>
      <c r="C490" s="30"/>
      <c r="D490" s="30"/>
      <c r="E490" s="30"/>
      <c r="F490" s="30"/>
      <c r="G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4.25" customHeight="1">
      <c r="A491" s="30"/>
      <c r="B491" s="30"/>
      <c r="C491" s="30"/>
      <c r="D491" s="30"/>
      <c r="E491" s="30"/>
      <c r="F491" s="30"/>
      <c r="G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4.25" customHeight="1">
      <c r="A492" s="30"/>
      <c r="B492" s="30"/>
      <c r="C492" s="30"/>
      <c r="D492" s="30"/>
      <c r="E492" s="30"/>
      <c r="F492" s="30"/>
      <c r="G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4.25" customHeight="1">
      <c r="A493" s="30"/>
      <c r="B493" s="30"/>
      <c r="C493" s="30"/>
      <c r="D493" s="30"/>
      <c r="E493" s="30"/>
      <c r="F493" s="30"/>
      <c r="G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4.25" customHeight="1">
      <c r="A494" s="30"/>
      <c r="B494" s="30"/>
      <c r="C494" s="30"/>
      <c r="D494" s="30"/>
      <c r="E494" s="30"/>
      <c r="F494" s="30"/>
      <c r="G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4.25" customHeight="1">
      <c r="A495" s="30"/>
      <c r="B495" s="30"/>
      <c r="C495" s="30"/>
      <c r="D495" s="30"/>
      <c r="E495" s="30"/>
      <c r="F495" s="30"/>
      <c r="G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4.25" customHeight="1">
      <c r="A496" s="30"/>
      <c r="B496" s="30"/>
      <c r="C496" s="30"/>
      <c r="D496" s="30"/>
      <c r="E496" s="30"/>
      <c r="F496" s="30"/>
      <c r="G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.25" customHeight="1">
      <c r="A497" s="30"/>
      <c r="B497" s="30"/>
      <c r="C497" s="30"/>
      <c r="D497" s="30"/>
      <c r="E497" s="30"/>
      <c r="F497" s="30"/>
      <c r="G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4.25" customHeight="1">
      <c r="A498" s="30"/>
      <c r="B498" s="30"/>
      <c r="C498" s="30"/>
      <c r="D498" s="30"/>
      <c r="E498" s="30"/>
      <c r="F498" s="30"/>
      <c r="G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4.25" customHeight="1">
      <c r="A499" s="30"/>
      <c r="B499" s="30"/>
      <c r="C499" s="30"/>
      <c r="D499" s="30"/>
      <c r="E499" s="30"/>
      <c r="F499" s="30"/>
      <c r="G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4.25" customHeight="1">
      <c r="A500" s="30"/>
      <c r="B500" s="30"/>
      <c r="C500" s="30"/>
      <c r="D500" s="30"/>
      <c r="E500" s="30"/>
      <c r="F500" s="30"/>
      <c r="G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4.25" customHeight="1">
      <c r="A501" s="30"/>
      <c r="B501" s="30"/>
      <c r="C501" s="30"/>
      <c r="D501" s="30"/>
      <c r="E501" s="30"/>
      <c r="F501" s="30"/>
      <c r="G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4.25" customHeight="1">
      <c r="A502" s="30"/>
      <c r="B502" s="30"/>
      <c r="C502" s="30"/>
      <c r="D502" s="30"/>
      <c r="E502" s="30"/>
      <c r="F502" s="30"/>
      <c r="G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4.25" customHeight="1">
      <c r="A503" s="30"/>
      <c r="B503" s="30"/>
      <c r="C503" s="30"/>
      <c r="D503" s="30"/>
      <c r="E503" s="30"/>
      <c r="F503" s="30"/>
      <c r="G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.25" customHeight="1">
      <c r="A504" s="30"/>
      <c r="B504" s="30"/>
      <c r="C504" s="30"/>
      <c r="D504" s="30"/>
      <c r="E504" s="30"/>
      <c r="F504" s="30"/>
      <c r="G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4.25" customHeight="1">
      <c r="A505" s="30"/>
      <c r="B505" s="30"/>
      <c r="C505" s="30"/>
      <c r="D505" s="30"/>
      <c r="E505" s="30"/>
      <c r="F505" s="30"/>
      <c r="G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4.25" customHeight="1">
      <c r="A506" s="30"/>
      <c r="B506" s="30"/>
      <c r="C506" s="30"/>
      <c r="D506" s="30"/>
      <c r="E506" s="30"/>
      <c r="F506" s="30"/>
      <c r="G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4.25" customHeight="1">
      <c r="A507" s="30"/>
      <c r="B507" s="30"/>
      <c r="C507" s="30"/>
      <c r="D507" s="30"/>
      <c r="E507" s="30"/>
      <c r="F507" s="30"/>
      <c r="G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4.25" customHeight="1">
      <c r="A508" s="30"/>
      <c r="B508" s="30"/>
      <c r="C508" s="30"/>
      <c r="D508" s="30"/>
      <c r="E508" s="30"/>
      <c r="F508" s="30"/>
      <c r="G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4.25" customHeight="1">
      <c r="A509" s="30"/>
      <c r="B509" s="30"/>
      <c r="C509" s="30"/>
      <c r="D509" s="30"/>
      <c r="E509" s="30"/>
      <c r="F509" s="30"/>
      <c r="G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4.25" customHeight="1">
      <c r="A510" s="30"/>
      <c r="B510" s="30"/>
      <c r="C510" s="30"/>
      <c r="D510" s="30"/>
      <c r="E510" s="30"/>
      <c r="F510" s="30"/>
      <c r="G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.25" customHeight="1">
      <c r="A511" s="30"/>
      <c r="B511" s="30"/>
      <c r="C511" s="30"/>
      <c r="D511" s="30"/>
      <c r="E511" s="30"/>
      <c r="F511" s="30"/>
      <c r="G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4.25" customHeight="1">
      <c r="A512" s="30"/>
      <c r="B512" s="30"/>
      <c r="C512" s="30"/>
      <c r="D512" s="30"/>
      <c r="E512" s="30"/>
      <c r="F512" s="30"/>
      <c r="G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4.25" customHeight="1">
      <c r="A513" s="30"/>
      <c r="B513" s="30"/>
      <c r="C513" s="30"/>
      <c r="D513" s="30"/>
      <c r="E513" s="30"/>
      <c r="F513" s="30"/>
      <c r="G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4.25" customHeight="1">
      <c r="A514" s="30"/>
      <c r="B514" s="30"/>
      <c r="C514" s="30"/>
      <c r="D514" s="30"/>
      <c r="E514" s="30"/>
      <c r="F514" s="30"/>
      <c r="G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4.25" customHeight="1">
      <c r="A515" s="30"/>
      <c r="B515" s="30"/>
      <c r="C515" s="30"/>
      <c r="D515" s="30"/>
      <c r="E515" s="30"/>
      <c r="F515" s="30"/>
      <c r="G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4.25" customHeight="1">
      <c r="A516" s="30"/>
      <c r="B516" s="30"/>
      <c r="C516" s="30"/>
      <c r="D516" s="30"/>
      <c r="E516" s="30"/>
      <c r="F516" s="30"/>
      <c r="G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4.25" customHeight="1">
      <c r="A517" s="30"/>
      <c r="B517" s="30"/>
      <c r="C517" s="30"/>
      <c r="D517" s="30"/>
      <c r="E517" s="30"/>
      <c r="F517" s="30"/>
      <c r="G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.25" customHeight="1">
      <c r="A518" s="30"/>
      <c r="B518" s="30"/>
      <c r="C518" s="30"/>
      <c r="D518" s="30"/>
      <c r="E518" s="30"/>
      <c r="F518" s="30"/>
      <c r="G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4.25" customHeight="1">
      <c r="A519" s="30"/>
      <c r="B519" s="30"/>
      <c r="C519" s="30"/>
      <c r="D519" s="30"/>
      <c r="E519" s="30"/>
      <c r="F519" s="30"/>
      <c r="G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4.25" customHeight="1">
      <c r="A520" s="30"/>
      <c r="B520" s="30"/>
      <c r="C520" s="30"/>
      <c r="D520" s="30"/>
      <c r="E520" s="30"/>
      <c r="F520" s="30"/>
      <c r="G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4.25" customHeight="1">
      <c r="A521" s="30"/>
      <c r="B521" s="30"/>
      <c r="C521" s="30"/>
      <c r="D521" s="30"/>
      <c r="E521" s="30"/>
      <c r="F521" s="30"/>
      <c r="G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4.25" customHeight="1">
      <c r="A522" s="30"/>
      <c r="B522" s="30"/>
      <c r="C522" s="30"/>
      <c r="D522" s="30"/>
      <c r="E522" s="30"/>
      <c r="F522" s="30"/>
      <c r="G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4.25" customHeight="1">
      <c r="A523" s="30"/>
      <c r="B523" s="30"/>
      <c r="C523" s="30"/>
      <c r="D523" s="30"/>
      <c r="E523" s="30"/>
      <c r="F523" s="30"/>
      <c r="G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4.25" customHeight="1">
      <c r="A524" s="30"/>
      <c r="B524" s="30"/>
      <c r="C524" s="30"/>
      <c r="D524" s="30"/>
      <c r="E524" s="30"/>
      <c r="F524" s="30"/>
      <c r="G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.25" customHeight="1">
      <c r="A525" s="30"/>
      <c r="B525" s="30"/>
      <c r="C525" s="30"/>
      <c r="D525" s="30"/>
      <c r="E525" s="30"/>
      <c r="F525" s="30"/>
      <c r="G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4.25" customHeight="1">
      <c r="A526" s="30"/>
      <c r="B526" s="30"/>
      <c r="C526" s="30"/>
      <c r="D526" s="30"/>
      <c r="E526" s="30"/>
      <c r="F526" s="30"/>
      <c r="G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4.25" customHeight="1">
      <c r="A527" s="30"/>
      <c r="B527" s="30"/>
      <c r="C527" s="30"/>
      <c r="D527" s="30"/>
      <c r="E527" s="30"/>
      <c r="F527" s="30"/>
      <c r="G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4.25" customHeight="1">
      <c r="A528" s="30"/>
      <c r="B528" s="30"/>
      <c r="C528" s="30"/>
      <c r="D528" s="30"/>
      <c r="E528" s="30"/>
      <c r="F528" s="30"/>
      <c r="G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4.25" customHeight="1">
      <c r="A529" s="30"/>
      <c r="B529" s="30"/>
      <c r="C529" s="30"/>
      <c r="D529" s="30"/>
      <c r="E529" s="30"/>
      <c r="F529" s="30"/>
      <c r="G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4.25" customHeight="1">
      <c r="A530" s="30"/>
      <c r="B530" s="30"/>
      <c r="C530" s="30"/>
      <c r="D530" s="30"/>
      <c r="E530" s="30"/>
      <c r="F530" s="30"/>
      <c r="G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4.25" customHeight="1">
      <c r="A531" s="30"/>
      <c r="B531" s="30"/>
      <c r="C531" s="30"/>
      <c r="D531" s="30"/>
      <c r="E531" s="30"/>
      <c r="F531" s="30"/>
      <c r="G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.25" customHeight="1">
      <c r="A532" s="30"/>
      <c r="B532" s="30"/>
      <c r="C532" s="30"/>
      <c r="D532" s="30"/>
      <c r="E532" s="30"/>
      <c r="F532" s="30"/>
      <c r="G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4.25" customHeight="1">
      <c r="A533" s="30"/>
      <c r="B533" s="30"/>
      <c r="C533" s="30"/>
      <c r="D533" s="30"/>
      <c r="E533" s="30"/>
      <c r="F533" s="30"/>
      <c r="G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4.25" customHeight="1">
      <c r="A534" s="30"/>
      <c r="B534" s="30"/>
      <c r="C534" s="30"/>
      <c r="D534" s="30"/>
      <c r="E534" s="30"/>
      <c r="F534" s="30"/>
      <c r="G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4.25" customHeight="1">
      <c r="A535" s="30"/>
      <c r="B535" s="30"/>
      <c r="C535" s="30"/>
      <c r="D535" s="30"/>
      <c r="E535" s="30"/>
      <c r="F535" s="30"/>
      <c r="G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4.25" customHeight="1">
      <c r="A536" s="30"/>
      <c r="B536" s="30"/>
      <c r="C536" s="30"/>
      <c r="D536" s="30"/>
      <c r="E536" s="30"/>
      <c r="F536" s="30"/>
      <c r="G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4.25" customHeight="1">
      <c r="A537" s="30"/>
      <c r="B537" s="30"/>
      <c r="C537" s="30"/>
      <c r="D537" s="30"/>
      <c r="E537" s="30"/>
      <c r="F537" s="30"/>
      <c r="G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4.25" customHeight="1">
      <c r="A538" s="30"/>
      <c r="B538" s="30"/>
      <c r="C538" s="30"/>
      <c r="D538" s="30"/>
      <c r="E538" s="30"/>
      <c r="F538" s="30"/>
      <c r="G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.25" customHeight="1">
      <c r="A539" s="30"/>
      <c r="B539" s="30"/>
      <c r="C539" s="30"/>
      <c r="D539" s="30"/>
      <c r="E539" s="30"/>
      <c r="F539" s="30"/>
      <c r="G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4.25" customHeight="1">
      <c r="A540" s="30"/>
      <c r="B540" s="30"/>
      <c r="C540" s="30"/>
      <c r="D540" s="30"/>
      <c r="E540" s="30"/>
      <c r="F540" s="30"/>
      <c r="G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4.25" customHeight="1">
      <c r="A541" s="30"/>
      <c r="B541" s="30"/>
      <c r="C541" s="30"/>
      <c r="D541" s="30"/>
      <c r="E541" s="30"/>
      <c r="F541" s="30"/>
      <c r="G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4.25" customHeight="1">
      <c r="A542" s="30"/>
      <c r="B542" s="30"/>
      <c r="C542" s="30"/>
      <c r="D542" s="30"/>
      <c r="E542" s="30"/>
      <c r="F542" s="30"/>
      <c r="G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4.25" customHeight="1">
      <c r="A543" s="30"/>
      <c r="B543" s="30"/>
      <c r="C543" s="30"/>
      <c r="D543" s="30"/>
      <c r="E543" s="30"/>
      <c r="F543" s="30"/>
      <c r="G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4.25" customHeight="1">
      <c r="A544" s="30"/>
      <c r="B544" s="30"/>
      <c r="C544" s="30"/>
      <c r="D544" s="30"/>
      <c r="E544" s="30"/>
      <c r="F544" s="30"/>
      <c r="G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4.25" customHeight="1">
      <c r="A545" s="30"/>
      <c r="B545" s="30"/>
      <c r="C545" s="30"/>
      <c r="D545" s="30"/>
      <c r="E545" s="30"/>
      <c r="F545" s="30"/>
      <c r="G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.25" customHeight="1">
      <c r="A546" s="30"/>
      <c r="B546" s="30"/>
      <c r="C546" s="30"/>
      <c r="D546" s="30"/>
      <c r="E546" s="30"/>
      <c r="F546" s="30"/>
      <c r="G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4.25" customHeight="1">
      <c r="A547" s="30"/>
      <c r="B547" s="30"/>
      <c r="C547" s="30"/>
      <c r="D547" s="30"/>
      <c r="E547" s="30"/>
      <c r="F547" s="30"/>
      <c r="G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4.25" customHeight="1">
      <c r="A548" s="30"/>
      <c r="B548" s="30"/>
      <c r="C548" s="30"/>
      <c r="D548" s="30"/>
      <c r="E548" s="30"/>
      <c r="F548" s="30"/>
      <c r="G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4.25" customHeight="1">
      <c r="A549" s="30"/>
      <c r="B549" s="30"/>
      <c r="C549" s="30"/>
      <c r="D549" s="30"/>
      <c r="E549" s="30"/>
      <c r="F549" s="30"/>
      <c r="G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4.25" customHeight="1">
      <c r="A550" s="30"/>
      <c r="B550" s="30"/>
      <c r="C550" s="30"/>
      <c r="D550" s="30"/>
      <c r="E550" s="30"/>
      <c r="F550" s="30"/>
      <c r="G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4.25" customHeight="1">
      <c r="A551" s="30"/>
      <c r="B551" s="30"/>
      <c r="C551" s="30"/>
      <c r="D551" s="30"/>
      <c r="E551" s="30"/>
      <c r="F551" s="30"/>
      <c r="G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4.25" customHeight="1">
      <c r="A552" s="30"/>
      <c r="B552" s="30"/>
      <c r="C552" s="30"/>
      <c r="D552" s="30"/>
      <c r="E552" s="30"/>
      <c r="F552" s="30"/>
      <c r="G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.25" customHeight="1">
      <c r="A553" s="30"/>
      <c r="B553" s="30"/>
      <c r="C553" s="30"/>
      <c r="D553" s="30"/>
      <c r="E553" s="30"/>
      <c r="F553" s="30"/>
      <c r="G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4.25" customHeight="1">
      <c r="A554" s="30"/>
      <c r="B554" s="30"/>
      <c r="C554" s="30"/>
      <c r="D554" s="30"/>
      <c r="E554" s="30"/>
      <c r="F554" s="30"/>
      <c r="G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4.25" customHeight="1">
      <c r="A555" s="30"/>
      <c r="B555" s="30"/>
      <c r="C555" s="30"/>
      <c r="D555" s="30"/>
      <c r="E555" s="30"/>
      <c r="F555" s="30"/>
      <c r="G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4.25" customHeight="1">
      <c r="A556" s="30"/>
      <c r="B556" s="30"/>
      <c r="C556" s="30"/>
      <c r="D556" s="30"/>
      <c r="E556" s="30"/>
      <c r="F556" s="30"/>
      <c r="G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4.25" customHeight="1">
      <c r="A557" s="30"/>
      <c r="B557" s="30"/>
      <c r="C557" s="30"/>
      <c r="D557" s="30"/>
      <c r="E557" s="30"/>
      <c r="F557" s="30"/>
      <c r="G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4.25" customHeight="1">
      <c r="A558" s="30"/>
      <c r="B558" s="30"/>
      <c r="C558" s="30"/>
      <c r="D558" s="30"/>
      <c r="E558" s="30"/>
      <c r="F558" s="30"/>
      <c r="G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4.25" customHeight="1">
      <c r="A559" s="30"/>
      <c r="B559" s="30"/>
      <c r="C559" s="30"/>
      <c r="D559" s="30"/>
      <c r="E559" s="30"/>
      <c r="F559" s="30"/>
      <c r="G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.25" customHeight="1">
      <c r="A560" s="30"/>
      <c r="B560" s="30"/>
      <c r="C560" s="30"/>
      <c r="D560" s="30"/>
      <c r="E560" s="30"/>
      <c r="F560" s="30"/>
      <c r="G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4.25" customHeight="1">
      <c r="A561" s="30"/>
      <c r="B561" s="30"/>
      <c r="C561" s="30"/>
      <c r="D561" s="30"/>
      <c r="E561" s="30"/>
      <c r="F561" s="30"/>
      <c r="G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4.25" customHeight="1">
      <c r="A562" s="30"/>
      <c r="B562" s="30"/>
      <c r="C562" s="30"/>
      <c r="D562" s="30"/>
      <c r="E562" s="30"/>
      <c r="F562" s="30"/>
      <c r="G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4.25" customHeight="1">
      <c r="A563" s="30"/>
      <c r="B563" s="30"/>
      <c r="C563" s="30"/>
      <c r="D563" s="30"/>
      <c r="E563" s="30"/>
      <c r="F563" s="30"/>
      <c r="G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4.25" customHeight="1">
      <c r="A564" s="30"/>
      <c r="B564" s="30"/>
      <c r="C564" s="30"/>
      <c r="D564" s="30"/>
      <c r="E564" s="30"/>
      <c r="F564" s="30"/>
      <c r="G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4.25" customHeight="1">
      <c r="A565" s="30"/>
      <c r="B565" s="30"/>
      <c r="C565" s="30"/>
      <c r="D565" s="30"/>
      <c r="E565" s="30"/>
      <c r="F565" s="30"/>
      <c r="G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4.25" customHeight="1">
      <c r="A566" s="30"/>
      <c r="B566" s="30"/>
      <c r="C566" s="30"/>
      <c r="D566" s="30"/>
      <c r="E566" s="30"/>
      <c r="F566" s="30"/>
      <c r="G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.25" customHeight="1">
      <c r="A567" s="30"/>
      <c r="B567" s="30"/>
      <c r="C567" s="30"/>
      <c r="D567" s="30"/>
      <c r="E567" s="30"/>
      <c r="F567" s="30"/>
      <c r="G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4.25" customHeight="1">
      <c r="A568" s="30"/>
      <c r="B568" s="30"/>
      <c r="C568" s="30"/>
      <c r="D568" s="30"/>
      <c r="E568" s="30"/>
      <c r="F568" s="30"/>
      <c r="G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4.25" customHeight="1">
      <c r="A569" s="30"/>
      <c r="B569" s="30"/>
      <c r="C569" s="30"/>
      <c r="D569" s="30"/>
      <c r="E569" s="30"/>
      <c r="F569" s="30"/>
      <c r="G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4.25" customHeight="1">
      <c r="A570" s="30"/>
      <c r="B570" s="30"/>
      <c r="C570" s="30"/>
      <c r="D570" s="30"/>
      <c r="E570" s="30"/>
      <c r="F570" s="30"/>
      <c r="G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4.25" customHeight="1">
      <c r="A571" s="30"/>
      <c r="B571" s="30"/>
      <c r="C571" s="30"/>
      <c r="D571" s="30"/>
      <c r="E571" s="30"/>
      <c r="F571" s="30"/>
      <c r="G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4.25" customHeight="1">
      <c r="A572" s="30"/>
      <c r="B572" s="30"/>
      <c r="C572" s="30"/>
      <c r="D572" s="30"/>
      <c r="E572" s="30"/>
      <c r="F572" s="30"/>
      <c r="G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4.25" customHeight="1">
      <c r="A573" s="30"/>
      <c r="B573" s="30"/>
      <c r="C573" s="30"/>
      <c r="D573" s="30"/>
      <c r="E573" s="30"/>
      <c r="F573" s="30"/>
      <c r="G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.25" customHeight="1">
      <c r="A574" s="30"/>
      <c r="B574" s="30"/>
      <c r="C574" s="30"/>
      <c r="D574" s="30"/>
      <c r="E574" s="30"/>
      <c r="F574" s="30"/>
      <c r="G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4.25" customHeight="1">
      <c r="A575" s="30"/>
      <c r="B575" s="30"/>
      <c r="C575" s="30"/>
      <c r="D575" s="30"/>
      <c r="E575" s="30"/>
      <c r="F575" s="30"/>
      <c r="G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4.25" customHeight="1">
      <c r="A576" s="30"/>
      <c r="B576" s="30"/>
      <c r="C576" s="30"/>
      <c r="D576" s="30"/>
      <c r="E576" s="30"/>
      <c r="F576" s="30"/>
      <c r="G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4.25" customHeight="1">
      <c r="A577" s="30"/>
      <c r="B577" s="30"/>
      <c r="C577" s="30"/>
      <c r="D577" s="30"/>
      <c r="E577" s="30"/>
      <c r="F577" s="30"/>
      <c r="G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4.25" customHeight="1">
      <c r="A578" s="30"/>
      <c r="B578" s="30"/>
      <c r="C578" s="30"/>
      <c r="D578" s="30"/>
      <c r="E578" s="30"/>
      <c r="F578" s="30"/>
      <c r="G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4.25" customHeight="1">
      <c r="A579" s="30"/>
      <c r="B579" s="30"/>
      <c r="C579" s="30"/>
      <c r="D579" s="30"/>
      <c r="E579" s="30"/>
      <c r="F579" s="30"/>
      <c r="G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4.25" customHeight="1">
      <c r="A580" s="30"/>
      <c r="B580" s="30"/>
      <c r="C580" s="30"/>
      <c r="D580" s="30"/>
      <c r="E580" s="30"/>
      <c r="F580" s="30"/>
      <c r="G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.25" customHeight="1">
      <c r="A581" s="30"/>
      <c r="B581" s="30"/>
      <c r="C581" s="30"/>
      <c r="D581" s="30"/>
      <c r="E581" s="30"/>
      <c r="F581" s="30"/>
      <c r="G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4.25" customHeight="1">
      <c r="A582" s="30"/>
      <c r="B582" s="30"/>
      <c r="C582" s="30"/>
      <c r="D582" s="30"/>
      <c r="E582" s="30"/>
      <c r="F582" s="30"/>
      <c r="G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4.25" customHeight="1">
      <c r="A583" s="30"/>
      <c r="B583" s="30"/>
      <c r="C583" s="30"/>
      <c r="D583" s="30"/>
      <c r="E583" s="30"/>
      <c r="F583" s="30"/>
      <c r="G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4.25" customHeight="1">
      <c r="A584" s="30"/>
      <c r="B584" s="30"/>
      <c r="C584" s="30"/>
      <c r="D584" s="30"/>
      <c r="E584" s="30"/>
      <c r="F584" s="30"/>
      <c r="G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4.25" customHeight="1">
      <c r="A585" s="30"/>
      <c r="B585" s="30"/>
      <c r="C585" s="30"/>
      <c r="D585" s="30"/>
      <c r="E585" s="30"/>
      <c r="F585" s="30"/>
      <c r="G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4.25" customHeight="1">
      <c r="A586" s="30"/>
      <c r="B586" s="30"/>
      <c r="C586" s="30"/>
      <c r="D586" s="30"/>
      <c r="E586" s="30"/>
      <c r="F586" s="30"/>
      <c r="G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4.25" customHeight="1">
      <c r="A587" s="30"/>
      <c r="B587" s="30"/>
      <c r="C587" s="30"/>
      <c r="D587" s="30"/>
      <c r="E587" s="30"/>
      <c r="F587" s="30"/>
      <c r="G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.25" customHeight="1">
      <c r="A588" s="30"/>
      <c r="B588" s="30"/>
      <c r="C588" s="30"/>
      <c r="D588" s="30"/>
      <c r="E588" s="30"/>
      <c r="F588" s="30"/>
      <c r="G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4.25" customHeight="1">
      <c r="A589" s="30"/>
      <c r="B589" s="30"/>
      <c r="C589" s="30"/>
      <c r="D589" s="30"/>
      <c r="E589" s="30"/>
      <c r="F589" s="30"/>
      <c r="G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4.25" customHeight="1">
      <c r="A590" s="30"/>
      <c r="B590" s="30"/>
      <c r="C590" s="30"/>
      <c r="D590" s="30"/>
      <c r="E590" s="30"/>
      <c r="F590" s="30"/>
      <c r="G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4.25" customHeight="1">
      <c r="A591" s="30"/>
      <c r="B591" s="30"/>
      <c r="C591" s="30"/>
      <c r="D591" s="30"/>
      <c r="E591" s="30"/>
      <c r="F591" s="30"/>
      <c r="G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4.25" customHeight="1">
      <c r="A592" s="30"/>
      <c r="B592" s="30"/>
      <c r="C592" s="30"/>
      <c r="D592" s="30"/>
      <c r="E592" s="30"/>
      <c r="F592" s="30"/>
      <c r="G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4.25" customHeight="1">
      <c r="A593" s="30"/>
      <c r="B593" s="30"/>
      <c r="C593" s="30"/>
      <c r="D593" s="30"/>
      <c r="E593" s="30"/>
      <c r="F593" s="30"/>
      <c r="G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4.25" customHeight="1">
      <c r="A594" s="30"/>
      <c r="B594" s="30"/>
      <c r="C594" s="30"/>
      <c r="D594" s="30"/>
      <c r="E594" s="30"/>
      <c r="F594" s="30"/>
      <c r="G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.25" customHeight="1">
      <c r="A595" s="30"/>
      <c r="B595" s="30"/>
      <c r="C595" s="30"/>
      <c r="D595" s="30"/>
      <c r="E595" s="30"/>
      <c r="F595" s="30"/>
      <c r="G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4.25" customHeight="1">
      <c r="A596" s="30"/>
      <c r="B596" s="30"/>
      <c r="C596" s="30"/>
      <c r="D596" s="30"/>
      <c r="E596" s="30"/>
      <c r="F596" s="30"/>
      <c r="G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4.25" customHeight="1">
      <c r="A597" s="30"/>
      <c r="B597" s="30"/>
      <c r="C597" s="30"/>
      <c r="D597" s="30"/>
      <c r="E597" s="30"/>
      <c r="F597" s="30"/>
      <c r="G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4.25" customHeight="1">
      <c r="A598" s="30"/>
      <c r="B598" s="30"/>
      <c r="C598" s="30"/>
      <c r="D598" s="30"/>
      <c r="E598" s="30"/>
      <c r="F598" s="30"/>
      <c r="G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4.25" customHeight="1">
      <c r="A599" s="30"/>
      <c r="B599" s="30"/>
      <c r="C599" s="30"/>
      <c r="D599" s="30"/>
      <c r="E599" s="30"/>
      <c r="F599" s="30"/>
      <c r="G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4.25" customHeight="1">
      <c r="A600" s="30"/>
      <c r="B600" s="30"/>
      <c r="C600" s="30"/>
      <c r="D600" s="30"/>
      <c r="E600" s="30"/>
      <c r="F600" s="30"/>
      <c r="G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4.25" customHeight="1">
      <c r="A601" s="30"/>
      <c r="B601" s="30"/>
      <c r="C601" s="30"/>
      <c r="D601" s="30"/>
      <c r="E601" s="30"/>
      <c r="F601" s="30"/>
      <c r="G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.25" customHeight="1">
      <c r="A602" s="30"/>
      <c r="B602" s="30"/>
      <c r="C602" s="30"/>
      <c r="D602" s="30"/>
      <c r="E602" s="30"/>
      <c r="F602" s="30"/>
      <c r="G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4.25" customHeight="1">
      <c r="A603" s="30"/>
      <c r="B603" s="30"/>
      <c r="C603" s="30"/>
      <c r="D603" s="30"/>
      <c r="E603" s="30"/>
      <c r="F603" s="30"/>
      <c r="G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4.25" customHeight="1">
      <c r="A604" s="30"/>
      <c r="B604" s="30"/>
      <c r="C604" s="30"/>
      <c r="D604" s="30"/>
      <c r="E604" s="30"/>
      <c r="F604" s="30"/>
      <c r="G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4.25" customHeight="1">
      <c r="A605" s="30"/>
      <c r="B605" s="30"/>
      <c r="C605" s="30"/>
      <c r="D605" s="30"/>
      <c r="E605" s="30"/>
      <c r="F605" s="30"/>
      <c r="G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4.25" customHeight="1">
      <c r="A606" s="30"/>
      <c r="B606" s="30"/>
      <c r="C606" s="30"/>
      <c r="D606" s="30"/>
      <c r="E606" s="30"/>
      <c r="F606" s="30"/>
      <c r="G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4.25" customHeight="1">
      <c r="A607" s="30"/>
      <c r="B607" s="30"/>
      <c r="C607" s="30"/>
      <c r="D607" s="30"/>
      <c r="E607" s="30"/>
      <c r="F607" s="30"/>
      <c r="G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4.25" customHeight="1">
      <c r="A608" s="30"/>
      <c r="B608" s="30"/>
      <c r="C608" s="30"/>
      <c r="D608" s="30"/>
      <c r="E608" s="30"/>
      <c r="F608" s="30"/>
      <c r="G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.25" customHeight="1">
      <c r="A609" s="30"/>
      <c r="B609" s="30"/>
      <c r="C609" s="30"/>
      <c r="D609" s="30"/>
      <c r="E609" s="30"/>
      <c r="F609" s="30"/>
      <c r="G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4.25" customHeight="1">
      <c r="A610" s="30"/>
      <c r="B610" s="30"/>
      <c r="C610" s="30"/>
      <c r="D610" s="30"/>
      <c r="E610" s="30"/>
      <c r="F610" s="30"/>
      <c r="G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4.25" customHeight="1">
      <c r="A611" s="30"/>
      <c r="B611" s="30"/>
      <c r="C611" s="30"/>
      <c r="D611" s="30"/>
      <c r="E611" s="30"/>
      <c r="F611" s="30"/>
      <c r="G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4.25" customHeight="1">
      <c r="A612" s="30"/>
      <c r="B612" s="30"/>
      <c r="C612" s="30"/>
      <c r="D612" s="30"/>
      <c r="E612" s="30"/>
      <c r="F612" s="30"/>
      <c r="G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4.25" customHeight="1">
      <c r="A613" s="30"/>
      <c r="B613" s="30"/>
      <c r="C613" s="30"/>
      <c r="D613" s="30"/>
      <c r="E613" s="30"/>
      <c r="F613" s="30"/>
      <c r="G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4.25" customHeight="1">
      <c r="A614" s="30"/>
      <c r="B614" s="30"/>
      <c r="C614" s="30"/>
      <c r="D614" s="30"/>
      <c r="E614" s="30"/>
      <c r="F614" s="30"/>
      <c r="G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4.25" customHeight="1">
      <c r="A615" s="30"/>
      <c r="B615" s="30"/>
      <c r="C615" s="30"/>
      <c r="D615" s="30"/>
      <c r="E615" s="30"/>
      <c r="F615" s="30"/>
      <c r="G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.25" customHeight="1">
      <c r="A616" s="30"/>
      <c r="B616" s="30"/>
      <c r="C616" s="30"/>
      <c r="D616" s="30"/>
      <c r="E616" s="30"/>
      <c r="F616" s="30"/>
      <c r="G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4.25" customHeight="1">
      <c r="A617" s="30"/>
      <c r="B617" s="30"/>
      <c r="C617" s="30"/>
      <c r="D617" s="30"/>
      <c r="E617" s="30"/>
      <c r="F617" s="30"/>
      <c r="G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4.25" customHeight="1">
      <c r="A618" s="30"/>
      <c r="B618" s="30"/>
      <c r="C618" s="30"/>
      <c r="D618" s="30"/>
      <c r="E618" s="30"/>
      <c r="F618" s="30"/>
      <c r="G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4.25" customHeight="1">
      <c r="A619" s="30"/>
      <c r="B619" s="30"/>
      <c r="C619" s="30"/>
      <c r="D619" s="30"/>
      <c r="E619" s="30"/>
      <c r="F619" s="30"/>
      <c r="G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4.25" customHeight="1">
      <c r="A620" s="30"/>
      <c r="B620" s="30"/>
      <c r="C620" s="30"/>
      <c r="D620" s="30"/>
      <c r="E620" s="30"/>
      <c r="F620" s="30"/>
      <c r="G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4.25" customHeight="1">
      <c r="A621" s="30"/>
      <c r="B621" s="30"/>
      <c r="C621" s="30"/>
      <c r="D621" s="30"/>
      <c r="E621" s="30"/>
      <c r="F621" s="30"/>
      <c r="G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4.25" customHeight="1">
      <c r="A622" s="30"/>
      <c r="B622" s="30"/>
      <c r="C622" s="30"/>
      <c r="D622" s="30"/>
      <c r="E622" s="30"/>
      <c r="F622" s="30"/>
      <c r="G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.25" customHeight="1">
      <c r="A623" s="30"/>
      <c r="B623" s="30"/>
      <c r="C623" s="30"/>
      <c r="D623" s="30"/>
      <c r="E623" s="30"/>
      <c r="F623" s="30"/>
      <c r="G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4.25" customHeight="1">
      <c r="A624" s="30"/>
      <c r="B624" s="30"/>
      <c r="C624" s="30"/>
      <c r="D624" s="30"/>
      <c r="E624" s="30"/>
      <c r="F624" s="30"/>
      <c r="G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4.25" customHeight="1">
      <c r="A625" s="30"/>
      <c r="B625" s="30"/>
      <c r="C625" s="30"/>
      <c r="D625" s="30"/>
      <c r="E625" s="30"/>
      <c r="F625" s="30"/>
      <c r="G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4.25" customHeight="1">
      <c r="A626" s="30"/>
      <c r="B626" s="30"/>
      <c r="C626" s="30"/>
      <c r="D626" s="30"/>
      <c r="E626" s="30"/>
      <c r="F626" s="30"/>
      <c r="G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4.25" customHeight="1">
      <c r="A627" s="30"/>
      <c r="B627" s="30"/>
      <c r="C627" s="30"/>
      <c r="D627" s="30"/>
      <c r="E627" s="30"/>
      <c r="F627" s="30"/>
      <c r="G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4.25" customHeight="1">
      <c r="A628" s="30"/>
      <c r="B628" s="30"/>
      <c r="C628" s="30"/>
      <c r="D628" s="30"/>
      <c r="E628" s="30"/>
      <c r="F628" s="30"/>
      <c r="G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4.25" customHeight="1">
      <c r="A629" s="30"/>
      <c r="B629" s="30"/>
      <c r="C629" s="30"/>
      <c r="D629" s="30"/>
      <c r="E629" s="30"/>
      <c r="F629" s="30"/>
      <c r="G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.25" customHeight="1">
      <c r="A630" s="30"/>
      <c r="B630" s="30"/>
      <c r="C630" s="30"/>
      <c r="D630" s="30"/>
      <c r="E630" s="30"/>
      <c r="F630" s="30"/>
      <c r="G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4.25" customHeight="1">
      <c r="A631" s="30"/>
      <c r="B631" s="30"/>
      <c r="C631" s="30"/>
      <c r="D631" s="30"/>
      <c r="E631" s="30"/>
      <c r="F631" s="30"/>
      <c r="G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4.25" customHeight="1">
      <c r="A632" s="30"/>
      <c r="B632" s="30"/>
      <c r="C632" s="30"/>
      <c r="D632" s="30"/>
      <c r="E632" s="30"/>
      <c r="F632" s="30"/>
      <c r="G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4.25" customHeight="1">
      <c r="A633" s="30"/>
      <c r="B633" s="30"/>
      <c r="C633" s="30"/>
      <c r="D633" s="30"/>
      <c r="E633" s="30"/>
      <c r="F633" s="30"/>
      <c r="G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4.25" customHeight="1">
      <c r="A634" s="30"/>
      <c r="B634" s="30"/>
      <c r="C634" s="30"/>
      <c r="D634" s="30"/>
      <c r="E634" s="30"/>
      <c r="F634" s="30"/>
      <c r="G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4.25" customHeight="1">
      <c r="A635" s="30"/>
      <c r="B635" s="30"/>
      <c r="C635" s="30"/>
      <c r="D635" s="30"/>
      <c r="E635" s="30"/>
      <c r="F635" s="30"/>
      <c r="G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4.25" customHeight="1">
      <c r="A636" s="30"/>
      <c r="B636" s="30"/>
      <c r="C636" s="30"/>
      <c r="D636" s="30"/>
      <c r="E636" s="30"/>
      <c r="F636" s="30"/>
      <c r="G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.25" customHeight="1">
      <c r="A637" s="30"/>
      <c r="B637" s="30"/>
      <c r="C637" s="30"/>
      <c r="D637" s="30"/>
      <c r="E637" s="30"/>
      <c r="F637" s="30"/>
      <c r="G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4.25" customHeight="1">
      <c r="A638" s="30"/>
      <c r="B638" s="30"/>
      <c r="C638" s="30"/>
      <c r="D638" s="30"/>
      <c r="E638" s="30"/>
      <c r="F638" s="30"/>
      <c r="G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4.25" customHeight="1">
      <c r="A639" s="30"/>
      <c r="B639" s="30"/>
      <c r="C639" s="30"/>
      <c r="D639" s="30"/>
      <c r="E639" s="30"/>
      <c r="F639" s="30"/>
      <c r="G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4.25" customHeight="1">
      <c r="A640" s="30"/>
      <c r="B640" s="30"/>
      <c r="C640" s="30"/>
      <c r="D640" s="30"/>
      <c r="E640" s="30"/>
      <c r="F640" s="30"/>
      <c r="G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4.25" customHeight="1">
      <c r="A641" s="30"/>
      <c r="B641" s="30"/>
      <c r="C641" s="30"/>
      <c r="D641" s="30"/>
      <c r="E641" s="30"/>
      <c r="F641" s="30"/>
      <c r="G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4.25" customHeight="1">
      <c r="A642" s="30"/>
      <c r="B642" s="30"/>
      <c r="C642" s="30"/>
      <c r="D642" s="30"/>
      <c r="E642" s="30"/>
      <c r="F642" s="30"/>
      <c r="G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4.25" customHeight="1">
      <c r="A643" s="30"/>
      <c r="B643" s="30"/>
      <c r="C643" s="30"/>
      <c r="D643" s="30"/>
      <c r="E643" s="30"/>
      <c r="F643" s="30"/>
      <c r="G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.25" customHeight="1">
      <c r="A644" s="30"/>
      <c r="B644" s="30"/>
      <c r="C644" s="30"/>
      <c r="D644" s="30"/>
      <c r="E644" s="30"/>
      <c r="F644" s="30"/>
      <c r="G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4.25" customHeight="1">
      <c r="A645" s="30"/>
      <c r="B645" s="30"/>
      <c r="C645" s="30"/>
      <c r="D645" s="30"/>
      <c r="E645" s="30"/>
      <c r="F645" s="30"/>
      <c r="G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4.25" customHeight="1">
      <c r="A646" s="30"/>
      <c r="B646" s="30"/>
      <c r="C646" s="30"/>
      <c r="D646" s="30"/>
      <c r="E646" s="30"/>
      <c r="F646" s="30"/>
      <c r="G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4.25" customHeight="1">
      <c r="A647" s="30"/>
      <c r="B647" s="30"/>
      <c r="C647" s="30"/>
      <c r="D647" s="30"/>
      <c r="E647" s="30"/>
      <c r="F647" s="30"/>
      <c r="G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4.25" customHeight="1">
      <c r="A648" s="30"/>
      <c r="B648" s="30"/>
      <c r="C648" s="30"/>
      <c r="D648" s="30"/>
      <c r="E648" s="30"/>
      <c r="F648" s="30"/>
      <c r="G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4.25" customHeight="1">
      <c r="A649" s="30"/>
      <c r="B649" s="30"/>
      <c r="C649" s="30"/>
      <c r="D649" s="30"/>
      <c r="E649" s="30"/>
      <c r="F649" s="30"/>
      <c r="G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4.25" customHeight="1">
      <c r="A650" s="30"/>
      <c r="B650" s="30"/>
      <c r="C650" s="30"/>
      <c r="D650" s="30"/>
      <c r="E650" s="30"/>
      <c r="F650" s="30"/>
      <c r="G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.25" customHeight="1">
      <c r="A651" s="30"/>
      <c r="B651" s="30"/>
      <c r="C651" s="30"/>
      <c r="D651" s="30"/>
      <c r="E651" s="30"/>
      <c r="F651" s="30"/>
      <c r="G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4.25" customHeight="1">
      <c r="A652" s="30"/>
      <c r="B652" s="30"/>
      <c r="C652" s="30"/>
      <c r="D652" s="30"/>
      <c r="E652" s="30"/>
      <c r="F652" s="30"/>
      <c r="G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4.25" customHeight="1">
      <c r="A653" s="30"/>
      <c r="B653" s="30"/>
      <c r="C653" s="30"/>
      <c r="D653" s="30"/>
      <c r="E653" s="30"/>
      <c r="F653" s="30"/>
      <c r="G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4.25" customHeight="1">
      <c r="A654" s="30"/>
      <c r="B654" s="30"/>
      <c r="C654" s="30"/>
      <c r="D654" s="30"/>
      <c r="E654" s="30"/>
      <c r="F654" s="30"/>
      <c r="G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4.25" customHeight="1">
      <c r="A655" s="30"/>
      <c r="B655" s="30"/>
      <c r="C655" s="30"/>
      <c r="D655" s="30"/>
      <c r="E655" s="30"/>
      <c r="F655" s="30"/>
      <c r="G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4.25" customHeight="1">
      <c r="A656" s="30"/>
      <c r="B656" s="30"/>
      <c r="C656" s="30"/>
      <c r="D656" s="30"/>
      <c r="E656" s="30"/>
      <c r="F656" s="30"/>
      <c r="G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4.25" customHeight="1">
      <c r="A657" s="30"/>
      <c r="B657" s="30"/>
      <c r="C657" s="30"/>
      <c r="D657" s="30"/>
      <c r="E657" s="30"/>
      <c r="F657" s="30"/>
      <c r="G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.25" customHeight="1">
      <c r="A658" s="30"/>
      <c r="B658" s="30"/>
      <c r="C658" s="30"/>
      <c r="D658" s="30"/>
      <c r="E658" s="30"/>
      <c r="F658" s="30"/>
      <c r="G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4.25" customHeight="1">
      <c r="A659" s="30"/>
      <c r="B659" s="30"/>
      <c r="C659" s="30"/>
      <c r="D659" s="30"/>
      <c r="E659" s="30"/>
      <c r="F659" s="30"/>
      <c r="G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4.25" customHeight="1">
      <c r="A660" s="30"/>
      <c r="B660" s="30"/>
      <c r="C660" s="30"/>
      <c r="D660" s="30"/>
      <c r="E660" s="30"/>
      <c r="F660" s="30"/>
      <c r="G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4.25" customHeight="1">
      <c r="A661" s="30"/>
      <c r="B661" s="30"/>
      <c r="C661" s="30"/>
      <c r="D661" s="30"/>
      <c r="E661" s="30"/>
      <c r="F661" s="30"/>
      <c r="G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4.25" customHeight="1">
      <c r="A662" s="30"/>
      <c r="B662" s="30"/>
      <c r="C662" s="30"/>
      <c r="D662" s="30"/>
      <c r="E662" s="30"/>
      <c r="F662" s="30"/>
      <c r="G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4.25" customHeight="1">
      <c r="A663" s="30"/>
      <c r="B663" s="30"/>
      <c r="C663" s="30"/>
      <c r="D663" s="30"/>
      <c r="E663" s="30"/>
      <c r="F663" s="30"/>
      <c r="G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4.25" customHeight="1">
      <c r="A664" s="30"/>
      <c r="B664" s="30"/>
      <c r="C664" s="30"/>
      <c r="D664" s="30"/>
      <c r="E664" s="30"/>
      <c r="F664" s="30"/>
      <c r="G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.25" customHeight="1">
      <c r="A665" s="30"/>
      <c r="B665" s="30"/>
      <c r="C665" s="30"/>
      <c r="D665" s="30"/>
      <c r="E665" s="30"/>
      <c r="F665" s="30"/>
      <c r="G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4.25" customHeight="1">
      <c r="A666" s="30"/>
      <c r="B666" s="30"/>
      <c r="C666" s="30"/>
      <c r="D666" s="30"/>
      <c r="E666" s="30"/>
      <c r="F666" s="30"/>
      <c r="G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4.25" customHeight="1">
      <c r="A667" s="30"/>
      <c r="B667" s="30"/>
      <c r="C667" s="30"/>
      <c r="D667" s="30"/>
      <c r="E667" s="30"/>
      <c r="F667" s="30"/>
      <c r="G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4.25" customHeight="1">
      <c r="A668" s="30"/>
      <c r="B668" s="30"/>
      <c r="C668" s="30"/>
      <c r="D668" s="30"/>
      <c r="E668" s="30"/>
      <c r="F668" s="30"/>
      <c r="G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4.25" customHeight="1">
      <c r="A669" s="30"/>
      <c r="B669" s="30"/>
      <c r="C669" s="30"/>
      <c r="D669" s="30"/>
      <c r="E669" s="30"/>
      <c r="F669" s="30"/>
      <c r="G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4.25" customHeight="1">
      <c r="A670" s="30"/>
      <c r="B670" s="30"/>
      <c r="C670" s="30"/>
      <c r="D670" s="30"/>
      <c r="E670" s="30"/>
      <c r="F670" s="30"/>
      <c r="G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4.25" customHeight="1">
      <c r="A671" s="30"/>
      <c r="B671" s="30"/>
      <c r="C671" s="30"/>
      <c r="D671" s="30"/>
      <c r="E671" s="30"/>
      <c r="F671" s="30"/>
      <c r="G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.25" customHeight="1">
      <c r="A672" s="30"/>
      <c r="B672" s="30"/>
      <c r="C672" s="30"/>
      <c r="D672" s="30"/>
      <c r="E672" s="30"/>
      <c r="F672" s="30"/>
      <c r="G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4.25" customHeight="1">
      <c r="A673" s="30"/>
      <c r="B673" s="30"/>
      <c r="C673" s="30"/>
      <c r="D673" s="30"/>
      <c r="E673" s="30"/>
      <c r="F673" s="30"/>
      <c r="G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4.25" customHeight="1">
      <c r="A674" s="30"/>
      <c r="B674" s="30"/>
      <c r="C674" s="30"/>
      <c r="D674" s="30"/>
      <c r="E674" s="30"/>
      <c r="F674" s="30"/>
      <c r="G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4.25" customHeight="1">
      <c r="A675" s="30"/>
      <c r="B675" s="30"/>
      <c r="C675" s="30"/>
      <c r="D675" s="30"/>
      <c r="E675" s="30"/>
      <c r="F675" s="30"/>
      <c r="G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4.25" customHeight="1">
      <c r="A676" s="30"/>
      <c r="B676" s="30"/>
      <c r="C676" s="30"/>
      <c r="D676" s="30"/>
      <c r="E676" s="30"/>
      <c r="F676" s="30"/>
      <c r="G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4.25" customHeight="1">
      <c r="A677" s="30"/>
      <c r="B677" s="30"/>
      <c r="C677" s="30"/>
      <c r="D677" s="30"/>
      <c r="E677" s="30"/>
      <c r="F677" s="30"/>
      <c r="G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4.25" customHeight="1">
      <c r="A678" s="30"/>
      <c r="B678" s="30"/>
      <c r="C678" s="30"/>
      <c r="D678" s="30"/>
      <c r="E678" s="30"/>
      <c r="F678" s="30"/>
      <c r="G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.25" customHeight="1">
      <c r="A679" s="30"/>
      <c r="B679" s="30"/>
      <c r="C679" s="30"/>
      <c r="D679" s="30"/>
      <c r="E679" s="30"/>
      <c r="F679" s="30"/>
      <c r="G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4.25" customHeight="1">
      <c r="A680" s="30"/>
      <c r="B680" s="30"/>
      <c r="C680" s="30"/>
      <c r="D680" s="30"/>
      <c r="E680" s="30"/>
      <c r="F680" s="30"/>
      <c r="G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4.25" customHeight="1">
      <c r="A681" s="30"/>
      <c r="B681" s="30"/>
      <c r="C681" s="30"/>
      <c r="D681" s="30"/>
      <c r="E681" s="30"/>
      <c r="F681" s="30"/>
      <c r="G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4.25" customHeight="1">
      <c r="A682" s="30"/>
      <c r="B682" s="30"/>
      <c r="C682" s="30"/>
      <c r="D682" s="30"/>
      <c r="E682" s="30"/>
      <c r="F682" s="30"/>
      <c r="G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4.25" customHeight="1">
      <c r="A683" s="30"/>
      <c r="B683" s="30"/>
      <c r="C683" s="30"/>
      <c r="D683" s="30"/>
      <c r="E683" s="30"/>
      <c r="F683" s="30"/>
      <c r="G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4.25" customHeight="1">
      <c r="A684" s="30"/>
      <c r="B684" s="30"/>
      <c r="C684" s="30"/>
      <c r="D684" s="30"/>
      <c r="E684" s="30"/>
      <c r="F684" s="30"/>
      <c r="G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4.25" customHeight="1">
      <c r="A685" s="30"/>
      <c r="B685" s="30"/>
      <c r="C685" s="30"/>
      <c r="D685" s="30"/>
      <c r="E685" s="30"/>
      <c r="F685" s="30"/>
      <c r="G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.25" customHeight="1">
      <c r="A686" s="30"/>
      <c r="B686" s="30"/>
      <c r="C686" s="30"/>
      <c r="D686" s="30"/>
      <c r="E686" s="30"/>
      <c r="F686" s="30"/>
      <c r="G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4.25" customHeight="1">
      <c r="A687" s="30"/>
      <c r="B687" s="30"/>
      <c r="C687" s="30"/>
      <c r="D687" s="30"/>
      <c r="E687" s="30"/>
      <c r="F687" s="30"/>
      <c r="G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4.25" customHeight="1">
      <c r="A688" s="30"/>
      <c r="B688" s="30"/>
      <c r="C688" s="30"/>
      <c r="D688" s="30"/>
      <c r="E688" s="30"/>
      <c r="F688" s="30"/>
      <c r="G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4.25" customHeight="1">
      <c r="A689" s="30"/>
      <c r="B689" s="30"/>
      <c r="C689" s="30"/>
      <c r="D689" s="30"/>
      <c r="E689" s="30"/>
      <c r="F689" s="30"/>
      <c r="G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4.25" customHeight="1">
      <c r="A690" s="30"/>
      <c r="B690" s="30"/>
      <c r="C690" s="30"/>
      <c r="D690" s="30"/>
      <c r="E690" s="30"/>
      <c r="F690" s="30"/>
      <c r="G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4.25" customHeight="1">
      <c r="A691" s="30"/>
      <c r="B691" s="30"/>
      <c r="C691" s="30"/>
      <c r="D691" s="30"/>
      <c r="E691" s="30"/>
      <c r="F691" s="30"/>
      <c r="G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4.25" customHeight="1">
      <c r="A692" s="30"/>
      <c r="B692" s="30"/>
      <c r="C692" s="30"/>
      <c r="D692" s="30"/>
      <c r="E692" s="30"/>
      <c r="F692" s="30"/>
      <c r="G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.25" customHeight="1">
      <c r="A693" s="30"/>
      <c r="B693" s="30"/>
      <c r="C693" s="30"/>
      <c r="D693" s="30"/>
      <c r="E693" s="30"/>
      <c r="F693" s="30"/>
      <c r="G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4.25" customHeight="1">
      <c r="A694" s="30"/>
      <c r="B694" s="30"/>
      <c r="C694" s="30"/>
      <c r="D694" s="30"/>
      <c r="E694" s="30"/>
      <c r="F694" s="30"/>
      <c r="G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4.25" customHeight="1">
      <c r="A695" s="30"/>
      <c r="B695" s="30"/>
      <c r="C695" s="30"/>
      <c r="D695" s="30"/>
      <c r="E695" s="30"/>
      <c r="F695" s="30"/>
      <c r="G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4.25" customHeight="1">
      <c r="A696" s="30"/>
      <c r="B696" s="30"/>
      <c r="C696" s="30"/>
      <c r="D696" s="30"/>
      <c r="E696" s="30"/>
      <c r="F696" s="30"/>
      <c r="G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4.25" customHeight="1">
      <c r="A697" s="30"/>
      <c r="B697" s="30"/>
      <c r="C697" s="30"/>
      <c r="D697" s="30"/>
      <c r="E697" s="30"/>
      <c r="F697" s="30"/>
      <c r="G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4.25" customHeight="1">
      <c r="A698" s="30"/>
      <c r="B698" s="30"/>
      <c r="C698" s="30"/>
      <c r="D698" s="30"/>
      <c r="E698" s="30"/>
      <c r="F698" s="30"/>
      <c r="G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4.25" customHeight="1">
      <c r="A699" s="30"/>
      <c r="B699" s="30"/>
      <c r="C699" s="30"/>
      <c r="D699" s="30"/>
      <c r="E699" s="30"/>
      <c r="F699" s="30"/>
      <c r="G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.25" customHeight="1">
      <c r="A700" s="30"/>
      <c r="B700" s="30"/>
      <c r="C700" s="30"/>
      <c r="D700" s="30"/>
      <c r="E700" s="30"/>
      <c r="F700" s="30"/>
      <c r="G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4.25" customHeight="1">
      <c r="A701" s="30"/>
      <c r="B701" s="30"/>
      <c r="C701" s="30"/>
      <c r="D701" s="30"/>
      <c r="E701" s="30"/>
      <c r="F701" s="30"/>
      <c r="G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4.25" customHeight="1">
      <c r="A702" s="30"/>
      <c r="B702" s="30"/>
      <c r="C702" s="30"/>
      <c r="D702" s="30"/>
      <c r="E702" s="30"/>
      <c r="F702" s="30"/>
      <c r="G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4.25" customHeight="1">
      <c r="A703" s="30"/>
      <c r="B703" s="30"/>
      <c r="C703" s="30"/>
      <c r="D703" s="30"/>
      <c r="E703" s="30"/>
      <c r="F703" s="30"/>
      <c r="G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4.25" customHeight="1">
      <c r="A704" s="30"/>
      <c r="B704" s="30"/>
      <c r="C704" s="30"/>
      <c r="D704" s="30"/>
      <c r="E704" s="30"/>
      <c r="F704" s="30"/>
      <c r="G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4.25" customHeight="1">
      <c r="A705" s="30"/>
      <c r="B705" s="30"/>
      <c r="C705" s="30"/>
      <c r="D705" s="30"/>
      <c r="E705" s="30"/>
      <c r="F705" s="30"/>
      <c r="G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4.25" customHeight="1">
      <c r="A706" s="30"/>
      <c r="B706" s="30"/>
      <c r="C706" s="30"/>
      <c r="D706" s="30"/>
      <c r="E706" s="30"/>
      <c r="F706" s="30"/>
      <c r="G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.25" customHeight="1">
      <c r="A707" s="30"/>
      <c r="B707" s="30"/>
      <c r="C707" s="30"/>
      <c r="D707" s="30"/>
      <c r="E707" s="30"/>
      <c r="F707" s="30"/>
      <c r="G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4.25" customHeight="1">
      <c r="A708" s="30"/>
      <c r="B708" s="30"/>
      <c r="C708" s="30"/>
      <c r="D708" s="30"/>
      <c r="E708" s="30"/>
      <c r="F708" s="30"/>
      <c r="G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4.25" customHeight="1">
      <c r="A709" s="30"/>
      <c r="B709" s="30"/>
      <c r="C709" s="30"/>
      <c r="D709" s="30"/>
      <c r="E709" s="30"/>
      <c r="F709" s="30"/>
      <c r="G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4.25" customHeight="1">
      <c r="A710" s="30"/>
      <c r="B710" s="30"/>
      <c r="C710" s="30"/>
      <c r="D710" s="30"/>
      <c r="E710" s="30"/>
      <c r="F710" s="30"/>
      <c r="G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4.25" customHeight="1">
      <c r="A711" s="30"/>
      <c r="B711" s="30"/>
      <c r="C711" s="30"/>
      <c r="D711" s="30"/>
      <c r="E711" s="30"/>
      <c r="F711" s="30"/>
      <c r="G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4.25" customHeight="1">
      <c r="A712" s="30"/>
      <c r="B712" s="30"/>
      <c r="C712" s="30"/>
      <c r="D712" s="30"/>
      <c r="E712" s="30"/>
      <c r="F712" s="30"/>
      <c r="G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4.25" customHeight="1">
      <c r="A713" s="30"/>
      <c r="B713" s="30"/>
      <c r="C713" s="30"/>
      <c r="D713" s="30"/>
      <c r="E713" s="30"/>
      <c r="F713" s="30"/>
      <c r="G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.25" customHeight="1">
      <c r="A714" s="30"/>
      <c r="B714" s="30"/>
      <c r="C714" s="30"/>
      <c r="D714" s="30"/>
      <c r="E714" s="30"/>
      <c r="F714" s="30"/>
      <c r="G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4.25" customHeight="1">
      <c r="A715" s="30"/>
      <c r="B715" s="30"/>
      <c r="C715" s="30"/>
      <c r="D715" s="30"/>
      <c r="E715" s="30"/>
      <c r="F715" s="30"/>
      <c r="G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4.25" customHeight="1">
      <c r="A716" s="30"/>
      <c r="B716" s="30"/>
      <c r="C716" s="30"/>
      <c r="D716" s="30"/>
      <c r="E716" s="30"/>
      <c r="F716" s="30"/>
      <c r="G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4.25" customHeight="1">
      <c r="A717" s="30"/>
      <c r="B717" s="30"/>
      <c r="C717" s="30"/>
      <c r="D717" s="30"/>
      <c r="E717" s="30"/>
      <c r="F717" s="30"/>
      <c r="G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4.25" customHeight="1">
      <c r="A718" s="30"/>
      <c r="B718" s="30"/>
      <c r="C718" s="30"/>
      <c r="D718" s="30"/>
      <c r="E718" s="30"/>
      <c r="F718" s="30"/>
      <c r="G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4.25" customHeight="1">
      <c r="A719" s="30"/>
      <c r="B719" s="30"/>
      <c r="C719" s="30"/>
      <c r="D719" s="30"/>
      <c r="E719" s="30"/>
      <c r="F719" s="30"/>
      <c r="G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4.25" customHeight="1">
      <c r="A720" s="30"/>
      <c r="B720" s="30"/>
      <c r="C720" s="30"/>
      <c r="D720" s="30"/>
      <c r="E720" s="30"/>
      <c r="F720" s="30"/>
      <c r="G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.25" customHeight="1">
      <c r="A721" s="30"/>
      <c r="B721" s="30"/>
      <c r="C721" s="30"/>
      <c r="D721" s="30"/>
      <c r="E721" s="30"/>
      <c r="F721" s="30"/>
      <c r="G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4.25" customHeight="1">
      <c r="A722" s="30"/>
      <c r="B722" s="30"/>
      <c r="C722" s="30"/>
      <c r="D722" s="30"/>
      <c r="E722" s="30"/>
      <c r="F722" s="30"/>
      <c r="G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4.25" customHeight="1">
      <c r="A723" s="30"/>
      <c r="B723" s="30"/>
      <c r="C723" s="30"/>
      <c r="D723" s="30"/>
      <c r="E723" s="30"/>
      <c r="F723" s="30"/>
      <c r="G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4.25" customHeight="1">
      <c r="A724" s="30"/>
      <c r="B724" s="30"/>
      <c r="C724" s="30"/>
      <c r="D724" s="30"/>
      <c r="E724" s="30"/>
      <c r="F724" s="30"/>
      <c r="G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4.25" customHeight="1">
      <c r="A725" s="30"/>
      <c r="B725" s="30"/>
      <c r="C725" s="30"/>
      <c r="D725" s="30"/>
      <c r="E725" s="30"/>
      <c r="F725" s="30"/>
      <c r="G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4.25" customHeight="1">
      <c r="A726" s="30"/>
      <c r="B726" s="30"/>
      <c r="C726" s="30"/>
      <c r="D726" s="30"/>
      <c r="E726" s="30"/>
      <c r="F726" s="30"/>
      <c r="G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4.25" customHeight="1">
      <c r="A727" s="30"/>
      <c r="B727" s="30"/>
      <c r="C727" s="30"/>
      <c r="D727" s="30"/>
      <c r="E727" s="30"/>
      <c r="F727" s="30"/>
      <c r="G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.25" customHeight="1">
      <c r="A728" s="30"/>
      <c r="B728" s="30"/>
      <c r="C728" s="30"/>
      <c r="D728" s="30"/>
      <c r="E728" s="30"/>
      <c r="F728" s="30"/>
      <c r="G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4.25" customHeight="1">
      <c r="A729" s="30"/>
      <c r="B729" s="30"/>
      <c r="C729" s="30"/>
      <c r="D729" s="30"/>
      <c r="E729" s="30"/>
      <c r="F729" s="30"/>
      <c r="G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4.25" customHeight="1">
      <c r="A730" s="30"/>
      <c r="B730" s="30"/>
      <c r="C730" s="30"/>
      <c r="D730" s="30"/>
      <c r="E730" s="30"/>
      <c r="F730" s="30"/>
      <c r="G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4.25" customHeight="1">
      <c r="A731" s="30"/>
      <c r="B731" s="30"/>
      <c r="C731" s="30"/>
      <c r="D731" s="30"/>
      <c r="E731" s="30"/>
      <c r="F731" s="30"/>
      <c r="G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4.25" customHeight="1">
      <c r="A732" s="30"/>
      <c r="B732" s="30"/>
      <c r="C732" s="30"/>
      <c r="D732" s="30"/>
      <c r="E732" s="30"/>
      <c r="F732" s="30"/>
      <c r="G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4.25" customHeight="1">
      <c r="A733" s="30"/>
      <c r="B733" s="30"/>
      <c r="C733" s="30"/>
      <c r="D733" s="30"/>
      <c r="E733" s="30"/>
      <c r="F733" s="30"/>
      <c r="G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4.25" customHeight="1">
      <c r="A734" s="30"/>
      <c r="B734" s="30"/>
      <c r="C734" s="30"/>
      <c r="D734" s="30"/>
      <c r="E734" s="30"/>
      <c r="F734" s="30"/>
      <c r="G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.25" customHeight="1">
      <c r="A735" s="30"/>
      <c r="B735" s="30"/>
      <c r="C735" s="30"/>
      <c r="D735" s="30"/>
      <c r="E735" s="30"/>
      <c r="F735" s="30"/>
      <c r="G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4.25" customHeight="1">
      <c r="A736" s="30"/>
      <c r="B736" s="30"/>
      <c r="C736" s="30"/>
      <c r="D736" s="30"/>
      <c r="E736" s="30"/>
      <c r="F736" s="30"/>
      <c r="G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4.25" customHeight="1">
      <c r="A737" s="30"/>
      <c r="B737" s="30"/>
      <c r="C737" s="30"/>
      <c r="D737" s="30"/>
      <c r="E737" s="30"/>
      <c r="F737" s="30"/>
      <c r="G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4.25" customHeight="1">
      <c r="A738" s="30"/>
      <c r="B738" s="30"/>
      <c r="C738" s="30"/>
      <c r="D738" s="30"/>
      <c r="E738" s="30"/>
      <c r="F738" s="30"/>
      <c r="G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4.25" customHeight="1">
      <c r="A739" s="30"/>
      <c r="B739" s="30"/>
      <c r="C739" s="30"/>
      <c r="D739" s="30"/>
      <c r="E739" s="30"/>
      <c r="F739" s="30"/>
      <c r="G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4.25" customHeight="1">
      <c r="A740" s="30"/>
      <c r="B740" s="30"/>
      <c r="C740" s="30"/>
      <c r="D740" s="30"/>
      <c r="E740" s="30"/>
      <c r="F740" s="30"/>
      <c r="G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4.25" customHeight="1">
      <c r="A741" s="30"/>
      <c r="B741" s="30"/>
      <c r="C741" s="30"/>
      <c r="D741" s="30"/>
      <c r="E741" s="30"/>
      <c r="F741" s="30"/>
      <c r="G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.25" customHeight="1">
      <c r="A742" s="30"/>
      <c r="B742" s="30"/>
      <c r="C742" s="30"/>
      <c r="D742" s="30"/>
      <c r="E742" s="30"/>
      <c r="F742" s="30"/>
      <c r="G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4.25" customHeight="1">
      <c r="A743" s="30"/>
      <c r="B743" s="30"/>
      <c r="C743" s="30"/>
      <c r="D743" s="30"/>
      <c r="E743" s="30"/>
      <c r="F743" s="30"/>
      <c r="G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4.25" customHeight="1">
      <c r="A744" s="30"/>
      <c r="B744" s="30"/>
      <c r="C744" s="30"/>
      <c r="D744" s="30"/>
      <c r="E744" s="30"/>
      <c r="F744" s="30"/>
      <c r="G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4.25" customHeight="1">
      <c r="A745" s="30"/>
      <c r="B745" s="30"/>
      <c r="C745" s="30"/>
      <c r="D745" s="30"/>
      <c r="E745" s="30"/>
      <c r="F745" s="30"/>
      <c r="G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4.25" customHeight="1">
      <c r="A746" s="30"/>
      <c r="B746" s="30"/>
      <c r="C746" s="30"/>
      <c r="D746" s="30"/>
      <c r="E746" s="30"/>
      <c r="F746" s="30"/>
      <c r="G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4.25" customHeight="1">
      <c r="A747" s="30"/>
      <c r="B747" s="30"/>
      <c r="C747" s="30"/>
      <c r="D747" s="30"/>
      <c r="E747" s="30"/>
      <c r="F747" s="30"/>
      <c r="G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4.25" customHeight="1">
      <c r="A748" s="30"/>
      <c r="B748" s="30"/>
      <c r="C748" s="30"/>
      <c r="D748" s="30"/>
      <c r="E748" s="30"/>
      <c r="F748" s="30"/>
      <c r="G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.25" customHeight="1">
      <c r="A749" s="30"/>
      <c r="B749" s="30"/>
      <c r="C749" s="30"/>
      <c r="D749" s="30"/>
      <c r="E749" s="30"/>
      <c r="F749" s="30"/>
      <c r="G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4.25" customHeight="1">
      <c r="A750" s="30"/>
      <c r="B750" s="30"/>
      <c r="C750" s="30"/>
      <c r="D750" s="30"/>
      <c r="E750" s="30"/>
      <c r="F750" s="30"/>
      <c r="G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4.25" customHeight="1">
      <c r="A751" s="30"/>
      <c r="B751" s="30"/>
      <c r="C751" s="30"/>
      <c r="D751" s="30"/>
      <c r="E751" s="30"/>
      <c r="F751" s="30"/>
      <c r="G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4.25" customHeight="1">
      <c r="A752" s="30"/>
      <c r="B752" s="30"/>
      <c r="C752" s="30"/>
      <c r="D752" s="30"/>
      <c r="E752" s="30"/>
      <c r="F752" s="30"/>
      <c r="G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4.25" customHeight="1">
      <c r="A753" s="30"/>
      <c r="B753" s="30"/>
      <c r="C753" s="30"/>
      <c r="D753" s="30"/>
      <c r="E753" s="30"/>
      <c r="F753" s="30"/>
      <c r="G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4.25" customHeight="1">
      <c r="A754" s="30"/>
      <c r="B754" s="30"/>
      <c r="C754" s="30"/>
      <c r="D754" s="30"/>
      <c r="E754" s="30"/>
      <c r="F754" s="30"/>
      <c r="G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4.25" customHeight="1">
      <c r="A755" s="30"/>
      <c r="B755" s="30"/>
      <c r="C755" s="30"/>
      <c r="D755" s="30"/>
      <c r="E755" s="30"/>
      <c r="F755" s="30"/>
      <c r="G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.25" customHeight="1">
      <c r="A756" s="30"/>
      <c r="B756" s="30"/>
      <c r="C756" s="30"/>
      <c r="D756" s="30"/>
      <c r="E756" s="30"/>
      <c r="F756" s="30"/>
      <c r="G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4.25" customHeight="1">
      <c r="A757" s="30"/>
      <c r="B757" s="30"/>
      <c r="C757" s="30"/>
      <c r="D757" s="30"/>
      <c r="E757" s="30"/>
      <c r="F757" s="30"/>
      <c r="G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4.25" customHeight="1">
      <c r="A758" s="30"/>
      <c r="B758" s="30"/>
      <c r="C758" s="30"/>
      <c r="D758" s="30"/>
      <c r="E758" s="30"/>
      <c r="F758" s="30"/>
      <c r="G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4.25" customHeight="1">
      <c r="A759" s="30"/>
      <c r="B759" s="30"/>
      <c r="C759" s="30"/>
      <c r="D759" s="30"/>
      <c r="E759" s="30"/>
      <c r="F759" s="30"/>
      <c r="G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4.25" customHeight="1">
      <c r="A760" s="30"/>
      <c r="B760" s="30"/>
      <c r="C760" s="30"/>
      <c r="D760" s="30"/>
      <c r="E760" s="30"/>
      <c r="F760" s="30"/>
      <c r="G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4.25" customHeight="1">
      <c r="A761" s="30"/>
      <c r="B761" s="30"/>
      <c r="C761" s="30"/>
      <c r="D761" s="30"/>
      <c r="E761" s="30"/>
      <c r="F761" s="30"/>
      <c r="G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4.25" customHeight="1">
      <c r="A762" s="30"/>
      <c r="B762" s="30"/>
      <c r="C762" s="30"/>
      <c r="D762" s="30"/>
      <c r="E762" s="30"/>
      <c r="F762" s="30"/>
      <c r="G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.25" customHeight="1">
      <c r="A763" s="30"/>
      <c r="B763" s="30"/>
      <c r="C763" s="30"/>
      <c r="D763" s="30"/>
      <c r="E763" s="30"/>
      <c r="F763" s="30"/>
      <c r="G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4.25" customHeight="1">
      <c r="A764" s="30"/>
      <c r="B764" s="30"/>
      <c r="C764" s="30"/>
      <c r="D764" s="30"/>
      <c r="E764" s="30"/>
      <c r="F764" s="30"/>
      <c r="G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4.25" customHeight="1">
      <c r="A765" s="30"/>
      <c r="B765" s="30"/>
      <c r="C765" s="30"/>
      <c r="D765" s="30"/>
      <c r="E765" s="30"/>
      <c r="F765" s="30"/>
      <c r="G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4.25" customHeight="1">
      <c r="A766" s="30"/>
      <c r="B766" s="30"/>
      <c r="C766" s="30"/>
      <c r="D766" s="30"/>
      <c r="E766" s="30"/>
      <c r="F766" s="30"/>
      <c r="G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4.25" customHeight="1">
      <c r="A767" s="30"/>
      <c r="B767" s="30"/>
      <c r="C767" s="30"/>
      <c r="D767" s="30"/>
      <c r="E767" s="30"/>
      <c r="F767" s="30"/>
      <c r="G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4.25" customHeight="1">
      <c r="A768" s="30"/>
      <c r="B768" s="30"/>
      <c r="C768" s="30"/>
      <c r="D768" s="30"/>
      <c r="E768" s="30"/>
      <c r="F768" s="30"/>
      <c r="G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4.25" customHeight="1">
      <c r="A769" s="30"/>
      <c r="B769" s="30"/>
      <c r="C769" s="30"/>
      <c r="D769" s="30"/>
      <c r="E769" s="30"/>
      <c r="F769" s="30"/>
      <c r="G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.25" customHeight="1">
      <c r="A770" s="30"/>
      <c r="B770" s="30"/>
      <c r="C770" s="30"/>
      <c r="D770" s="30"/>
      <c r="E770" s="30"/>
      <c r="F770" s="30"/>
      <c r="G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4.25" customHeight="1">
      <c r="A771" s="30"/>
      <c r="B771" s="30"/>
      <c r="C771" s="30"/>
      <c r="D771" s="30"/>
      <c r="E771" s="30"/>
      <c r="F771" s="30"/>
      <c r="G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4.25" customHeight="1">
      <c r="A772" s="30"/>
      <c r="B772" s="30"/>
      <c r="C772" s="30"/>
      <c r="D772" s="30"/>
      <c r="E772" s="30"/>
      <c r="F772" s="30"/>
      <c r="G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4.25" customHeight="1">
      <c r="A773" s="30"/>
      <c r="B773" s="30"/>
      <c r="C773" s="30"/>
      <c r="D773" s="30"/>
      <c r="E773" s="30"/>
      <c r="F773" s="30"/>
      <c r="G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4.25" customHeight="1">
      <c r="A774" s="30"/>
      <c r="B774" s="30"/>
      <c r="C774" s="30"/>
      <c r="D774" s="30"/>
      <c r="E774" s="30"/>
      <c r="F774" s="30"/>
      <c r="G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4.25" customHeight="1">
      <c r="A775" s="30"/>
      <c r="B775" s="30"/>
      <c r="C775" s="30"/>
      <c r="D775" s="30"/>
      <c r="E775" s="30"/>
      <c r="F775" s="30"/>
      <c r="G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4.25" customHeight="1">
      <c r="A776" s="30"/>
      <c r="B776" s="30"/>
      <c r="C776" s="30"/>
      <c r="D776" s="30"/>
      <c r="E776" s="30"/>
      <c r="F776" s="30"/>
      <c r="G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.25" customHeight="1">
      <c r="A777" s="30"/>
      <c r="B777" s="30"/>
      <c r="C777" s="30"/>
      <c r="D777" s="30"/>
      <c r="E777" s="30"/>
      <c r="F777" s="30"/>
      <c r="G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4.25" customHeight="1">
      <c r="A778" s="30"/>
      <c r="B778" s="30"/>
      <c r="C778" s="30"/>
      <c r="D778" s="30"/>
      <c r="E778" s="30"/>
      <c r="F778" s="30"/>
      <c r="G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4.25" customHeight="1">
      <c r="A779" s="30"/>
      <c r="B779" s="30"/>
      <c r="C779" s="30"/>
      <c r="D779" s="30"/>
      <c r="E779" s="30"/>
      <c r="F779" s="30"/>
      <c r="G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4.25" customHeight="1">
      <c r="A780" s="30"/>
      <c r="B780" s="30"/>
      <c r="C780" s="30"/>
      <c r="D780" s="30"/>
      <c r="E780" s="30"/>
      <c r="F780" s="30"/>
      <c r="G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4.25" customHeight="1">
      <c r="A781" s="30"/>
      <c r="B781" s="30"/>
      <c r="C781" s="30"/>
      <c r="D781" s="30"/>
      <c r="E781" s="30"/>
      <c r="F781" s="30"/>
      <c r="G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4.25" customHeight="1">
      <c r="A782" s="30"/>
      <c r="B782" s="30"/>
      <c r="C782" s="30"/>
      <c r="D782" s="30"/>
      <c r="E782" s="30"/>
      <c r="F782" s="30"/>
      <c r="G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4.25" customHeight="1">
      <c r="A783" s="30"/>
      <c r="B783" s="30"/>
      <c r="C783" s="30"/>
      <c r="D783" s="30"/>
      <c r="E783" s="30"/>
      <c r="F783" s="30"/>
      <c r="G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.25" customHeight="1">
      <c r="A784" s="30"/>
      <c r="B784" s="30"/>
      <c r="C784" s="30"/>
      <c r="D784" s="30"/>
      <c r="E784" s="30"/>
      <c r="F784" s="30"/>
      <c r="G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4.25" customHeight="1">
      <c r="A785" s="30"/>
      <c r="B785" s="30"/>
      <c r="C785" s="30"/>
      <c r="D785" s="30"/>
      <c r="E785" s="30"/>
      <c r="F785" s="30"/>
      <c r="G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4.25" customHeight="1">
      <c r="A786" s="30"/>
      <c r="B786" s="30"/>
      <c r="C786" s="30"/>
      <c r="D786" s="30"/>
      <c r="E786" s="30"/>
      <c r="F786" s="30"/>
      <c r="G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4.25" customHeight="1">
      <c r="A787" s="30"/>
      <c r="B787" s="30"/>
      <c r="C787" s="30"/>
      <c r="D787" s="30"/>
      <c r="E787" s="30"/>
      <c r="F787" s="30"/>
      <c r="G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4.25" customHeight="1">
      <c r="A788" s="30"/>
      <c r="B788" s="30"/>
      <c r="C788" s="30"/>
      <c r="D788" s="30"/>
      <c r="E788" s="30"/>
      <c r="F788" s="30"/>
      <c r="G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4.25" customHeight="1">
      <c r="A789" s="30"/>
      <c r="B789" s="30"/>
      <c r="C789" s="30"/>
      <c r="D789" s="30"/>
      <c r="E789" s="30"/>
      <c r="F789" s="30"/>
      <c r="G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4.25" customHeight="1">
      <c r="A790" s="30"/>
      <c r="B790" s="30"/>
      <c r="C790" s="30"/>
      <c r="D790" s="30"/>
      <c r="E790" s="30"/>
      <c r="F790" s="30"/>
      <c r="G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.25" customHeight="1">
      <c r="A791" s="30"/>
      <c r="B791" s="30"/>
      <c r="C791" s="30"/>
      <c r="D791" s="30"/>
      <c r="E791" s="30"/>
      <c r="F791" s="30"/>
      <c r="G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4.25" customHeight="1">
      <c r="A792" s="30"/>
      <c r="B792" s="30"/>
      <c r="C792" s="30"/>
      <c r="D792" s="30"/>
      <c r="E792" s="30"/>
      <c r="F792" s="30"/>
      <c r="G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4.25" customHeight="1">
      <c r="A793" s="30"/>
      <c r="B793" s="30"/>
      <c r="C793" s="30"/>
      <c r="D793" s="30"/>
      <c r="E793" s="30"/>
      <c r="F793" s="30"/>
      <c r="G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4.25" customHeight="1">
      <c r="A794" s="30"/>
      <c r="B794" s="30"/>
      <c r="C794" s="30"/>
      <c r="D794" s="30"/>
      <c r="E794" s="30"/>
      <c r="F794" s="30"/>
      <c r="G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4.25" customHeight="1">
      <c r="A795" s="30"/>
      <c r="B795" s="30"/>
      <c r="C795" s="30"/>
      <c r="D795" s="30"/>
      <c r="E795" s="30"/>
      <c r="F795" s="30"/>
      <c r="G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4.25" customHeight="1">
      <c r="A796" s="30"/>
      <c r="B796" s="30"/>
      <c r="C796" s="30"/>
      <c r="D796" s="30"/>
      <c r="E796" s="30"/>
      <c r="F796" s="30"/>
      <c r="G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4.25" customHeight="1">
      <c r="A797" s="30"/>
      <c r="B797" s="30"/>
      <c r="C797" s="30"/>
      <c r="D797" s="30"/>
      <c r="E797" s="30"/>
      <c r="F797" s="30"/>
      <c r="G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.25" customHeight="1">
      <c r="A798" s="30"/>
      <c r="B798" s="30"/>
      <c r="C798" s="30"/>
      <c r="D798" s="30"/>
      <c r="E798" s="30"/>
      <c r="F798" s="30"/>
      <c r="G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4.25" customHeight="1">
      <c r="A799" s="30"/>
      <c r="B799" s="30"/>
      <c r="C799" s="30"/>
      <c r="D799" s="30"/>
      <c r="E799" s="30"/>
      <c r="F799" s="30"/>
      <c r="G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4.25" customHeight="1">
      <c r="A800" s="30"/>
      <c r="B800" s="30"/>
      <c r="C800" s="30"/>
      <c r="D800" s="30"/>
      <c r="E800" s="30"/>
      <c r="F800" s="30"/>
      <c r="G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4.25" customHeight="1">
      <c r="A801" s="30"/>
      <c r="B801" s="30"/>
      <c r="C801" s="30"/>
      <c r="D801" s="30"/>
      <c r="E801" s="30"/>
      <c r="F801" s="30"/>
      <c r="G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4.25" customHeight="1">
      <c r="A802" s="30"/>
      <c r="B802" s="30"/>
      <c r="C802" s="30"/>
      <c r="D802" s="30"/>
      <c r="E802" s="30"/>
      <c r="F802" s="30"/>
      <c r="G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4.25" customHeight="1">
      <c r="A803" s="30"/>
      <c r="B803" s="30"/>
      <c r="C803" s="30"/>
      <c r="D803" s="30"/>
      <c r="E803" s="30"/>
      <c r="F803" s="30"/>
      <c r="G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4.25" customHeight="1">
      <c r="A804" s="30"/>
      <c r="B804" s="30"/>
      <c r="C804" s="30"/>
      <c r="D804" s="30"/>
      <c r="E804" s="30"/>
      <c r="F804" s="30"/>
      <c r="G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.25" customHeight="1">
      <c r="A805" s="30"/>
      <c r="B805" s="30"/>
      <c r="C805" s="30"/>
      <c r="D805" s="30"/>
      <c r="E805" s="30"/>
      <c r="F805" s="30"/>
      <c r="G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4.25" customHeight="1">
      <c r="A806" s="30"/>
      <c r="B806" s="30"/>
      <c r="C806" s="30"/>
      <c r="D806" s="30"/>
      <c r="E806" s="30"/>
      <c r="F806" s="30"/>
      <c r="G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4.25" customHeight="1">
      <c r="A807" s="30"/>
      <c r="B807" s="30"/>
      <c r="C807" s="30"/>
      <c r="D807" s="30"/>
      <c r="E807" s="30"/>
      <c r="F807" s="30"/>
      <c r="G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4.25" customHeight="1">
      <c r="A808" s="30"/>
      <c r="B808" s="30"/>
      <c r="C808" s="30"/>
      <c r="D808" s="30"/>
      <c r="E808" s="30"/>
      <c r="F808" s="30"/>
      <c r="G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4.25" customHeight="1">
      <c r="A809" s="30"/>
      <c r="B809" s="30"/>
      <c r="C809" s="30"/>
      <c r="D809" s="30"/>
      <c r="E809" s="30"/>
      <c r="F809" s="30"/>
      <c r="G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4.25" customHeight="1">
      <c r="A810" s="30"/>
      <c r="B810" s="30"/>
      <c r="C810" s="30"/>
      <c r="D810" s="30"/>
      <c r="E810" s="30"/>
      <c r="F810" s="30"/>
      <c r="G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4.25" customHeight="1">
      <c r="A811" s="30"/>
      <c r="B811" s="30"/>
      <c r="C811" s="30"/>
      <c r="D811" s="30"/>
      <c r="E811" s="30"/>
      <c r="F811" s="30"/>
      <c r="G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4.25" customHeight="1">
      <c r="A812" s="30"/>
      <c r="B812" s="30"/>
      <c r="C812" s="30"/>
      <c r="D812" s="30"/>
      <c r="E812" s="30"/>
      <c r="F812" s="30"/>
      <c r="G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4.25" customHeight="1">
      <c r="A813" s="30"/>
      <c r="B813" s="30"/>
      <c r="C813" s="30"/>
      <c r="D813" s="30"/>
      <c r="E813" s="30"/>
      <c r="F813" s="30"/>
      <c r="G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4.25" customHeight="1">
      <c r="A814" s="30"/>
      <c r="B814" s="30"/>
      <c r="C814" s="30"/>
      <c r="D814" s="30"/>
      <c r="E814" s="30"/>
      <c r="F814" s="30"/>
      <c r="G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4.25" customHeight="1">
      <c r="A815" s="30"/>
      <c r="B815" s="30"/>
      <c r="C815" s="30"/>
      <c r="D815" s="30"/>
      <c r="E815" s="30"/>
      <c r="F815" s="30"/>
      <c r="G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4.25" customHeight="1">
      <c r="A816" s="30"/>
      <c r="B816" s="30"/>
      <c r="C816" s="30"/>
      <c r="D816" s="30"/>
      <c r="E816" s="30"/>
      <c r="F816" s="30"/>
      <c r="G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4.25" customHeight="1">
      <c r="A817" s="30"/>
      <c r="B817" s="30"/>
      <c r="C817" s="30"/>
      <c r="D817" s="30"/>
      <c r="E817" s="30"/>
      <c r="F817" s="30"/>
      <c r="G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4.25" customHeight="1">
      <c r="A818" s="30"/>
      <c r="B818" s="30"/>
      <c r="C818" s="30"/>
      <c r="D818" s="30"/>
      <c r="E818" s="30"/>
      <c r="F818" s="30"/>
      <c r="G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4.25" customHeight="1">
      <c r="A819" s="30"/>
      <c r="B819" s="30"/>
      <c r="C819" s="30"/>
      <c r="D819" s="30"/>
      <c r="E819" s="30"/>
      <c r="F819" s="30"/>
      <c r="G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4.25" customHeight="1">
      <c r="A820" s="30"/>
      <c r="B820" s="30"/>
      <c r="C820" s="30"/>
      <c r="D820" s="30"/>
      <c r="E820" s="30"/>
      <c r="F820" s="30"/>
      <c r="G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4.25" customHeight="1">
      <c r="A821" s="30"/>
      <c r="B821" s="30"/>
      <c r="C821" s="30"/>
      <c r="D821" s="30"/>
      <c r="E821" s="30"/>
      <c r="F821" s="30"/>
      <c r="G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4.25" customHeight="1">
      <c r="A822" s="30"/>
      <c r="B822" s="30"/>
      <c r="C822" s="30"/>
      <c r="D822" s="30"/>
      <c r="E822" s="30"/>
      <c r="F822" s="30"/>
      <c r="G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4.25" customHeight="1">
      <c r="A823" s="30"/>
      <c r="B823" s="30"/>
      <c r="C823" s="30"/>
      <c r="D823" s="30"/>
      <c r="E823" s="30"/>
      <c r="F823" s="30"/>
      <c r="G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4.25" customHeight="1">
      <c r="A824" s="30"/>
      <c r="B824" s="30"/>
      <c r="C824" s="30"/>
      <c r="D824" s="30"/>
      <c r="E824" s="30"/>
      <c r="F824" s="30"/>
      <c r="G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4.25" customHeight="1">
      <c r="A825" s="30"/>
      <c r="B825" s="30"/>
      <c r="C825" s="30"/>
      <c r="D825" s="30"/>
      <c r="E825" s="30"/>
      <c r="F825" s="30"/>
      <c r="G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4.25" customHeight="1">
      <c r="A826" s="30"/>
      <c r="B826" s="30"/>
      <c r="C826" s="30"/>
      <c r="D826" s="30"/>
      <c r="E826" s="30"/>
      <c r="F826" s="30"/>
      <c r="G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4.25" customHeight="1">
      <c r="A827" s="30"/>
      <c r="B827" s="30"/>
      <c r="C827" s="30"/>
      <c r="D827" s="30"/>
      <c r="E827" s="30"/>
      <c r="F827" s="30"/>
      <c r="G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4.25" customHeight="1">
      <c r="A828" s="30"/>
      <c r="B828" s="30"/>
      <c r="C828" s="30"/>
      <c r="D828" s="30"/>
      <c r="E828" s="30"/>
      <c r="F828" s="30"/>
      <c r="G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4.25" customHeight="1">
      <c r="A829" s="30"/>
      <c r="B829" s="30"/>
      <c r="C829" s="30"/>
      <c r="D829" s="30"/>
      <c r="E829" s="30"/>
      <c r="F829" s="30"/>
      <c r="G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4.25" customHeight="1">
      <c r="A830" s="30"/>
      <c r="B830" s="30"/>
      <c r="C830" s="30"/>
      <c r="D830" s="30"/>
      <c r="E830" s="30"/>
      <c r="F830" s="30"/>
      <c r="G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4.25" customHeight="1">
      <c r="A831" s="30"/>
      <c r="B831" s="30"/>
      <c r="C831" s="30"/>
      <c r="D831" s="30"/>
      <c r="E831" s="30"/>
      <c r="F831" s="30"/>
      <c r="G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4.25" customHeight="1">
      <c r="A832" s="30"/>
      <c r="B832" s="30"/>
      <c r="C832" s="30"/>
      <c r="D832" s="30"/>
      <c r="E832" s="30"/>
      <c r="F832" s="30"/>
      <c r="G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4.25" customHeight="1">
      <c r="A833" s="30"/>
      <c r="B833" s="30"/>
      <c r="C833" s="30"/>
      <c r="D833" s="30"/>
      <c r="E833" s="30"/>
      <c r="F833" s="30"/>
      <c r="G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4.25" customHeight="1">
      <c r="A834" s="30"/>
      <c r="B834" s="30"/>
      <c r="C834" s="30"/>
      <c r="D834" s="30"/>
      <c r="E834" s="30"/>
      <c r="F834" s="30"/>
      <c r="G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4.25" customHeight="1">
      <c r="A835" s="30"/>
      <c r="B835" s="30"/>
      <c r="C835" s="30"/>
      <c r="D835" s="30"/>
      <c r="E835" s="30"/>
      <c r="F835" s="30"/>
      <c r="G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4.25" customHeight="1">
      <c r="A836" s="30"/>
      <c r="B836" s="30"/>
      <c r="C836" s="30"/>
      <c r="D836" s="30"/>
      <c r="E836" s="30"/>
      <c r="F836" s="30"/>
      <c r="G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4.25" customHeight="1">
      <c r="A837" s="30"/>
      <c r="B837" s="30"/>
      <c r="C837" s="30"/>
      <c r="D837" s="30"/>
      <c r="E837" s="30"/>
      <c r="F837" s="30"/>
      <c r="G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4.25" customHeight="1">
      <c r="A838" s="30"/>
      <c r="B838" s="30"/>
      <c r="C838" s="30"/>
      <c r="D838" s="30"/>
      <c r="E838" s="30"/>
      <c r="F838" s="30"/>
      <c r="G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4.25" customHeight="1">
      <c r="A839" s="30"/>
      <c r="B839" s="30"/>
      <c r="C839" s="30"/>
      <c r="D839" s="30"/>
      <c r="E839" s="30"/>
      <c r="F839" s="30"/>
      <c r="G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4.25" customHeight="1">
      <c r="A840" s="30"/>
      <c r="B840" s="30"/>
      <c r="C840" s="30"/>
      <c r="D840" s="30"/>
      <c r="E840" s="30"/>
      <c r="F840" s="30"/>
      <c r="G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4.25" customHeight="1">
      <c r="A841" s="30"/>
      <c r="B841" s="30"/>
      <c r="C841" s="30"/>
      <c r="D841" s="30"/>
      <c r="E841" s="30"/>
      <c r="F841" s="30"/>
      <c r="G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4.25" customHeight="1">
      <c r="A842" s="30"/>
      <c r="B842" s="30"/>
      <c r="C842" s="30"/>
      <c r="D842" s="30"/>
      <c r="E842" s="30"/>
      <c r="F842" s="30"/>
      <c r="G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4.25" customHeight="1">
      <c r="A843" s="30"/>
      <c r="B843" s="30"/>
      <c r="C843" s="30"/>
      <c r="D843" s="30"/>
      <c r="E843" s="30"/>
      <c r="F843" s="30"/>
      <c r="G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4.25" customHeight="1">
      <c r="A844" s="30"/>
      <c r="B844" s="30"/>
      <c r="C844" s="30"/>
      <c r="D844" s="30"/>
      <c r="E844" s="30"/>
      <c r="F844" s="30"/>
      <c r="G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4.25" customHeight="1">
      <c r="A845" s="30"/>
      <c r="B845" s="30"/>
      <c r="C845" s="30"/>
      <c r="D845" s="30"/>
      <c r="E845" s="30"/>
      <c r="F845" s="30"/>
      <c r="G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4.25" customHeight="1">
      <c r="A846" s="30"/>
      <c r="B846" s="30"/>
      <c r="C846" s="30"/>
      <c r="D846" s="30"/>
      <c r="E846" s="30"/>
      <c r="F846" s="30"/>
      <c r="G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4.25" customHeight="1">
      <c r="A847" s="30"/>
      <c r="B847" s="30"/>
      <c r="C847" s="30"/>
      <c r="D847" s="30"/>
      <c r="E847" s="30"/>
      <c r="F847" s="30"/>
      <c r="G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4.25" customHeight="1">
      <c r="A848" s="30"/>
      <c r="B848" s="30"/>
      <c r="C848" s="30"/>
      <c r="D848" s="30"/>
      <c r="E848" s="30"/>
      <c r="F848" s="30"/>
      <c r="G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4.25" customHeight="1">
      <c r="A849" s="30"/>
      <c r="B849" s="30"/>
      <c r="C849" s="30"/>
      <c r="D849" s="30"/>
      <c r="E849" s="30"/>
      <c r="F849" s="30"/>
      <c r="G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4.25" customHeight="1">
      <c r="A850" s="30"/>
      <c r="B850" s="30"/>
      <c r="C850" s="30"/>
      <c r="D850" s="30"/>
      <c r="E850" s="30"/>
      <c r="F850" s="30"/>
      <c r="G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4.25" customHeight="1">
      <c r="A851" s="30"/>
      <c r="B851" s="30"/>
      <c r="C851" s="30"/>
      <c r="D851" s="30"/>
      <c r="E851" s="30"/>
      <c r="F851" s="30"/>
      <c r="G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4.25" customHeight="1">
      <c r="A852" s="30"/>
      <c r="B852" s="30"/>
      <c r="C852" s="30"/>
      <c r="D852" s="30"/>
      <c r="E852" s="30"/>
      <c r="F852" s="30"/>
      <c r="G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4.25" customHeight="1">
      <c r="A853" s="30"/>
      <c r="B853" s="30"/>
      <c r="C853" s="30"/>
      <c r="D853" s="30"/>
      <c r="E853" s="30"/>
      <c r="F853" s="30"/>
      <c r="G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4.25" customHeight="1">
      <c r="A854" s="30"/>
      <c r="B854" s="30"/>
      <c r="C854" s="30"/>
      <c r="D854" s="30"/>
      <c r="E854" s="30"/>
      <c r="F854" s="30"/>
      <c r="G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4.25" customHeight="1">
      <c r="A855" s="30"/>
      <c r="B855" s="30"/>
      <c r="C855" s="30"/>
      <c r="D855" s="30"/>
      <c r="E855" s="30"/>
      <c r="F855" s="30"/>
      <c r="G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4.25" customHeight="1">
      <c r="A856" s="30"/>
      <c r="B856" s="30"/>
      <c r="C856" s="30"/>
      <c r="D856" s="30"/>
      <c r="E856" s="30"/>
      <c r="F856" s="30"/>
      <c r="G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4.25" customHeight="1">
      <c r="A857" s="30"/>
      <c r="B857" s="30"/>
      <c r="C857" s="30"/>
      <c r="D857" s="30"/>
      <c r="E857" s="30"/>
      <c r="F857" s="30"/>
      <c r="G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4.25" customHeight="1">
      <c r="A858" s="30"/>
      <c r="B858" s="30"/>
      <c r="C858" s="30"/>
      <c r="D858" s="30"/>
      <c r="E858" s="30"/>
      <c r="F858" s="30"/>
      <c r="G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4.25" customHeight="1">
      <c r="A859" s="30"/>
      <c r="B859" s="30"/>
      <c r="C859" s="30"/>
      <c r="D859" s="30"/>
      <c r="E859" s="30"/>
      <c r="F859" s="30"/>
      <c r="G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4.25" customHeight="1">
      <c r="A860" s="30"/>
      <c r="B860" s="30"/>
      <c r="C860" s="30"/>
      <c r="D860" s="30"/>
      <c r="E860" s="30"/>
      <c r="F860" s="30"/>
      <c r="G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4.25" customHeight="1">
      <c r="A861" s="30"/>
      <c r="B861" s="30"/>
      <c r="C861" s="30"/>
      <c r="D861" s="30"/>
      <c r="E861" s="30"/>
      <c r="F861" s="30"/>
      <c r="G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4.25" customHeight="1">
      <c r="A862" s="30"/>
      <c r="B862" s="30"/>
      <c r="C862" s="30"/>
      <c r="D862" s="30"/>
      <c r="E862" s="30"/>
      <c r="F862" s="30"/>
      <c r="G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4.25" customHeight="1">
      <c r="A863" s="30"/>
      <c r="B863" s="30"/>
      <c r="C863" s="30"/>
      <c r="D863" s="30"/>
      <c r="E863" s="30"/>
      <c r="F863" s="30"/>
      <c r="G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4.25" customHeight="1">
      <c r="A864" s="30"/>
      <c r="B864" s="30"/>
      <c r="C864" s="30"/>
      <c r="D864" s="30"/>
      <c r="E864" s="30"/>
      <c r="F864" s="30"/>
      <c r="G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4.25" customHeight="1">
      <c r="A865" s="30"/>
      <c r="B865" s="30"/>
      <c r="C865" s="30"/>
      <c r="D865" s="30"/>
      <c r="E865" s="30"/>
      <c r="F865" s="30"/>
      <c r="G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4.25" customHeight="1">
      <c r="A866" s="30"/>
      <c r="B866" s="30"/>
      <c r="C866" s="30"/>
      <c r="D866" s="30"/>
      <c r="E866" s="30"/>
      <c r="F866" s="30"/>
      <c r="G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4.25" customHeight="1">
      <c r="A867" s="30"/>
      <c r="B867" s="30"/>
      <c r="C867" s="30"/>
      <c r="D867" s="30"/>
      <c r="E867" s="30"/>
      <c r="F867" s="30"/>
      <c r="G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4.25" customHeight="1">
      <c r="A868" s="30"/>
      <c r="B868" s="30"/>
      <c r="C868" s="30"/>
      <c r="D868" s="30"/>
      <c r="E868" s="30"/>
      <c r="F868" s="30"/>
      <c r="G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4.25" customHeight="1">
      <c r="A869" s="30"/>
      <c r="B869" s="30"/>
      <c r="C869" s="30"/>
      <c r="D869" s="30"/>
      <c r="E869" s="30"/>
      <c r="F869" s="30"/>
      <c r="G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4.25" customHeight="1">
      <c r="A870" s="30"/>
      <c r="B870" s="30"/>
      <c r="C870" s="30"/>
      <c r="D870" s="30"/>
      <c r="E870" s="30"/>
      <c r="F870" s="30"/>
      <c r="G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4.25" customHeight="1">
      <c r="A871" s="30"/>
      <c r="B871" s="30"/>
      <c r="C871" s="30"/>
      <c r="D871" s="30"/>
      <c r="E871" s="30"/>
      <c r="F871" s="30"/>
      <c r="G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4.25" customHeight="1">
      <c r="A872" s="30"/>
      <c r="B872" s="30"/>
      <c r="C872" s="30"/>
      <c r="D872" s="30"/>
      <c r="E872" s="30"/>
      <c r="F872" s="30"/>
      <c r="G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4.25" customHeight="1">
      <c r="A873" s="30"/>
      <c r="B873" s="30"/>
      <c r="C873" s="30"/>
      <c r="D873" s="30"/>
      <c r="E873" s="30"/>
      <c r="F873" s="30"/>
      <c r="G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4.25" customHeight="1">
      <c r="A874" s="30"/>
      <c r="B874" s="30"/>
      <c r="C874" s="30"/>
      <c r="D874" s="30"/>
      <c r="E874" s="30"/>
      <c r="F874" s="30"/>
      <c r="G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4.25" customHeight="1">
      <c r="A875" s="30"/>
      <c r="B875" s="30"/>
      <c r="C875" s="30"/>
      <c r="D875" s="30"/>
      <c r="E875" s="30"/>
      <c r="F875" s="30"/>
      <c r="G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4.25" customHeight="1">
      <c r="A876" s="30"/>
      <c r="B876" s="30"/>
      <c r="C876" s="30"/>
      <c r="D876" s="30"/>
      <c r="E876" s="30"/>
      <c r="F876" s="30"/>
      <c r="G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4.25" customHeight="1">
      <c r="A877" s="30"/>
      <c r="B877" s="30"/>
      <c r="C877" s="30"/>
      <c r="D877" s="30"/>
      <c r="E877" s="30"/>
      <c r="F877" s="30"/>
      <c r="G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4.25" customHeight="1">
      <c r="A878" s="30"/>
      <c r="B878" s="30"/>
      <c r="C878" s="30"/>
      <c r="D878" s="30"/>
      <c r="E878" s="30"/>
      <c r="F878" s="30"/>
      <c r="G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4.25" customHeight="1">
      <c r="A879" s="30"/>
      <c r="B879" s="30"/>
      <c r="C879" s="30"/>
      <c r="D879" s="30"/>
      <c r="E879" s="30"/>
      <c r="F879" s="30"/>
      <c r="G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4.25" customHeight="1">
      <c r="A880" s="30"/>
      <c r="B880" s="30"/>
      <c r="C880" s="30"/>
      <c r="D880" s="30"/>
      <c r="E880" s="30"/>
      <c r="F880" s="30"/>
      <c r="G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4.25" customHeight="1">
      <c r="A881" s="30"/>
      <c r="B881" s="30"/>
      <c r="C881" s="30"/>
      <c r="D881" s="30"/>
      <c r="E881" s="30"/>
      <c r="F881" s="30"/>
      <c r="G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4.25" customHeight="1">
      <c r="A882" s="30"/>
      <c r="B882" s="30"/>
      <c r="C882" s="30"/>
      <c r="D882" s="30"/>
      <c r="E882" s="30"/>
      <c r="F882" s="30"/>
      <c r="G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4.25" customHeight="1">
      <c r="A883" s="30"/>
      <c r="B883" s="30"/>
      <c r="C883" s="30"/>
      <c r="D883" s="30"/>
      <c r="E883" s="30"/>
      <c r="F883" s="30"/>
      <c r="G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4.25" customHeight="1">
      <c r="A884" s="30"/>
      <c r="B884" s="30"/>
      <c r="C884" s="30"/>
      <c r="D884" s="30"/>
      <c r="E884" s="30"/>
      <c r="F884" s="30"/>
      <c r="G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4.25" customHeight="1">
      <c r="A885" s="30"/>
      <c r="B885" s="30"/>
      <c r="C885" s="30"/>
      <c r="D885" s="30"/>
      <c r="E885" s="30"/>
      <c r="F885" s="30"/>
      <c r="G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4.25" customHeight="1">
      <c r="A886" s="30"/>
      <c r="B886" s="30"/>
      <c r="C886" s="30"/>
      <c r="D886" s="30"/>
      <c r="E886" s="30"/>
      <c r="F886" s="30"/>
      <c r="G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4.25" customHeight="1">
      <c r="A887" s="30"/>
      <c r="B887" s="30"/>
      <c r="C887" s="30"/>
      <c r="D887" s="30"/>
      <c r="E887" s="30"/>
      <c r="F887" s="30"/>
      <c r="G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4.25" customHeight="1">
      <c r="A888" s="30"/>
      <c r="B888" s="30"/>
      <c r="C888" s="30"/>
      <c r="D888" s="30"/>
      <c r="E888" s="30"/>
      <c r="F888" s="30"/>
      <c r="G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4.25" customHeight="1">
      <c r="A889" s="30"/>
      <c r="B889" s="30"/>
      <c r="C889" s="30"/>
      <c r="D889" s="30"/>
      <c r="E889" s="30"/>
      <c r="F889" s="30"/>
      <c r="G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4.25" customHeight="1">
      <c r="A890" s="30"/>
      <c r="B890" s="30"/>
      <c r="C890" s="30"/>
      <c r="D890" s="30"/>
      <c r="E890" s="30"/>
      <c r="F890" s="30"/>
      <c r="G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4.25" customHeight="1">
      <c r="A891" s="30"/>
      <c r="B891" s="30"/>
      <c r="C891" s="30"/>
      <c r="D891" s="30"/>
      <c r="E891" s="30"/>
      <c r="F891" s="30"/>
      <c r="G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4.25" customHeight="1">
      <c r="A892" s="30"/>
      <c r="B892" s="30"/>
      <c r="C892" s="30"/>
      <c r="D892" s="30"/>
      <c r="E892" s="30"/>
      <c r="F892" s="30"/>
      <c r="G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4.25" customHeight="1">
      <c r="A893" s="30"/>
      <c r="B893" s="30"/>
      <c r="C893" s="30"/>
      <c r="D893" s="30"/>
      <c r="E893" s="30"/>
      <c r="F893" s="30"/>
      <c r="G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4.25" customHeight="1">
      <c r="A894" s="30"/>
      <c r="B894" s="30"/>
      <c r="C894" s="30"/>
      <c r="D894" s="30"/>
      <c r="E894" s="30"/>
      <c r="F894" s="30"/>
      <c r="G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4.25" customHeight="1">
      <c r="A895" s="30"/>
      <c r="B895" s="30"/>
      <c r="C895" s="30"/>
      <c r="D895" s="30"/>
      <c r="E895" s="30"/>
      <c r="F895" s="30"/>
      <c r="G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4.25" customHeight="1">
      <c r="A896" s="30"/>
      <c r="B896" s="30"/>
      <c r="C896" s="30"/>
      <c r="D896" s="30"/>
      <c r="E896" s="30"/>
      <c r="F896" s="30"/>
      <c r="G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4.25" customHeight="1">
      <c r="A897" s="30"/>
      <c r="B897" s="30"/>
      <c r="C897" s="30"/>
      <c r="D897" s="30"/>
      <c r="E897" s="30"/>
      <c r="F897" s="30"/>
      <c r="G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4.25" customHeight="1">
      <c r="A898" s="30"/>
      <c r="B898" s="30"/>
      <c r="C898" s="30"/>
      <c r="D898" s="30"/>
      <c r="E898" s="30"/>
      <c r="F898" s="30"/>
      <c r="G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4.25" customHeight="1">
      <c r="A899" s="30"/>
      <c r="B899" s="30"/>
      <c r="C899" s="30"/>
      <c r="D899" s="30"/>
      <c r="E899" s="30"/>
      <c r="F899" s="30"/>
      <c r="G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4.25" customHeight="1">
      <c r="A900" s="30"/>
      <c r="B900" s="30"/>
      <c r="C900" s="30"/>
      <c r="D900" s="30"/>
      <c r="E900" s="30"/>
      <c r="F900" s="30"/>
      <c r="G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4.25" customHeight="1">
      <c r="A901" s="30"/>
      <c r="B901" s="30"/>
      <c r="C901" s="30"/>
      <c r="D901" s="30"/>
      <c r="E901" s="30"/>
      <c r="F901" s="30"/>
      <c r="G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4.25" customHeight="1">
      <c r="A902" s="30"/>
      <c r="B902" s="30"/>
      <c r="C902" s="30"/>
      <c r="D902" s="30"/>
      <c r="E902" s="30"/>
      <c r="F902" s="30"/>
      <c r="G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4.25" customHeight="1">
      <c r="A903" s="30"/>
      <c r="B903" s="30"/>
      <c r="C903" s="30"/>
      <c r="D903" s="30"/>
      <c r="E903" s="30"/>
      <c r="F903" s="30"/>
      <c r="G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4.25" customHeight="1">
      <c r="A904" s="30"/>
      <c r="B904" s="30"/>
      <c r="C904" s="30"/>
      <c r="D904" s="30"/>
      <c r="E904" s="30"/>
      <c r="F904" s="30"/>
      <c r="G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4.25" customHeight="1">
      <c r="A905" s="30"/>
      <c r="B905" s="30"/>
      <c r="C905" s="30"/>
      <c r="D905" s="30"/>
      <c r="E905" s="30"/>
      <c r="F905" s="30"/>
      <c r="G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4.25" customHeight="1">
      <c r="A906" s="30"/>
      <c r="B906" s="30"/>
      <c r="C906" s="30"/>
      <c r="D906" s="30"/>
      <c r="E906" s="30"/>
      <c r="F906" s="30"/>
      <c r="G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4.25" customHeight="1">
      <c r="A907" s="30"/>
      <c r="B907" s="30"/>
      <c r="C907" s="30"/>
      <c r="D907" s="30"/>
      <c r="E907" s="30"/>
      <c r="F907" s="30"/>
      <c r="G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4.25" customHeight="1">
      <c r="A908" s="30"/>
      <c r="B908" s="30"/>
      <c r="C908" s="30"/>
      <c r="D908" s="30"/>
      <c r="E908" s="30"/>
      <c r="F908" s="30"/>
      <c r="G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4.25" customHeight="1">
      <c r="A909" s="30"/>
      <c r="B909" s="30"/>
      <c r="C909" s="30"/>
      <c r="D909" s="30"/>
      <c r="E909" s="30"/>
      <c r="F909" s="30"/>
      <c r="G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4.25" customHeight="1">
      <c r="A910" s="30"/>
      <c r="B910" s="30"/>
      <c r="C910" s="30"/>
      <c r="D910" s="30"/>
      <c r="E910" s="30"/>
      <c r="F910" s="30"/>
      <c r="G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4.25" customHeight="1">
      <c r="A911" s="30"/>
      <c r="B911" s="30"/>
      <c r="C911" s="30"/>
      <c r="D911" s="30"/>
      <c r="E911" s="30"/>
      <c r="F911" s="30"/>
      <c r="G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4.25" customHeight="1">
      <c r="A912" s="30"/>
      <c r="B912" s="30"/>
      <c r="C912" s="30"/>
      <c r="D912" s="30"/>
      <c r="E912" s="30"/>
      <c r="F912" s="30"/>
      <c r="G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4.25" customHeight="1">
      <c r="A913" s="30"/>
      <c r="B913" s="30"/>
      <c r="C913" s="30"/>
      <c r="D913" s="30"/>
      <c r="E913" s="30"/>
      <c r="F913" s="30"/>
      <c r="G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4.25" customHeight="1">
      <c r="A914" s="30"/>
      <c r="B914" s="30"/>
      <c r="C914" s="30"/>
      <c r="D914" s="30"/>
      <c r="E914" s="30"/>
      <c r="F914" s="30"/>
      <c r="G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4.25" customHeight="1">
      <c r="A915" s="30"/>
      <c r="B915" s="30"/>
      <c r="C915" s="30"/>
      <c r="D915" s="30"/>
      <c r="E915" s="30"/>
      <c r="F915" s="30"/>
      <c r="G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4.25" customHeight="1">
      <c r="A916" s="30"/>
      <c r="B916" s="30"/>
      <c r="C916" s="30"/>
      <c r="D916" s="30"/>
      <c r="E916" s="30"/>
      <c r="F916" s="30"/>
      <c r="G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4.25" customHeight="1">
      <c r="A917" s="30"/>
      <c r="B917" s="30"/>
      <c r="C917" s="30"/>
      <c r="D917" s="30"/>
      <c r="E917" s="30"/>
      <c r="F917" s="30"/>
      <c r="G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4.25" customHeight="1">
      <c r="A918" s="30"/>
      <c r="B918" s="30"/>
      <c r="C918" s="30"/>
      <c r="D918" s="30"/>
      <c r="E918" s="30"/>
      <c r="F918" s="30"/>
      <c r="G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4.25" customHeight="1">
      <c r="A919" s="30"/>
      <c r="B919" s="30"/>
      <c r="C919" s="30"/>
      <c r="D919" s="30"/>
      <c r="E919" s="30"/>
      <c r="F919" s="30"/>
      <c r="G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4.25" customHeight="1">
      <c r="A920" s="30"/>
      <c r="B920" s="30"/>
      <c r="C920" s="30"/>
      <c r="D920" s="30"/>
      <c r="E920" s="30"/>
      <c r="F920" s="30"/>
      <c r="G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4.25" customHeight="1">
      <c r="A921" s="30"/>
      <c r="B921" s="30"/>
      <c r="C921" s="30"/>
      <c r="D921" s="30"/>
      <c r="E921" s="30"/>
      <c r="F921" s="30"/>
      <c r="G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4.25" customHeight="1">
      <c r="A922" s="30"/>
      <c r="B922" s="30"/>
      <c r="C922" s="30"/>
      <c r="D922" s="30"/>
      <c r="E922" s="30"/>
      <c r="F922" s="30"/>
      <c r="G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4.25" customHeight="1">
      <c r="A923" s="30"/>
      <c r="B923" s="30"/>
      <c r="C923" s="30"/>
      <c r="D923" s="30"/>
      <c r="E923" s="30"/>
      <c r="F923" s="30"/>
      <c r="G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4.25" customHeight="1">
      <c r="A924" s="30"/>
      <c r="B924" s="30"/>
      <c r="C924" s="30"/>
      <c r="D924" s="30"/>
      <c r="E924" s="30"/>
      <c r="F924" s="30"/>
      <c r="G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4.25" customHeight="1">
      <c r="A925" s="30"/>
      <c r="B925" s="30"/>
      <c r="C925" s="30"/>
      <c r="D925" s="30"/>
      <c r="E925" s="30"/>
      <c r="F925" s="30"/>
      <c r="G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4.25" customHeight="1">
      <c r="A926" s="30"/>
      <c r="B926" s="30"/>
      <c r="C926" s="30"/>
      <c r="D926" s="30"/>
      <c r="E926" s="30"/>
      <c r="F926" s="30"/>
      <c r="G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4.25" customHeight="1">
      <c r="A927" s="30"/>
      <c r="B927" s="30"/>
      <c r="C927" s="30"/>
      <c r="D927" s="30"/>
      <c r="E927" s="30"/>
      <c r="F927" s="30"/>
      <c r="G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4.25" customHeight="1">
      <c r="A928" s="30"/>
      <c r="B928" s="30"/>
      <c r="C928" s="30"/>
      <c r="D928" s="30"/>
      <c r="E928" s="30"/>
      <c r="F928" s="30"/>
      <c r="G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4.25" customHeight="1">
      <c r="A929" s="30"/>
      <c r="B929" s="30"/>
      <c r="C929" s="30"/>
      <c r="D929" s="30"/>
      <c r="E929" s="30"/>
      <c r="F929" s="30"/>
      <c r="G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4.25" customHeight="1">
      <c r="A930" s="30"/>
      <c r="B930" s="30"/>
      <c r="C930" s="30"/>
      <c r="D930" s="30"/>
      <c r="E930" s="30"/>
      <c r="F930" s="30"/>
      <c r="G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4.25" customHeight="1">
      <c r="A931" s="30"/>
      <c r="B931" s="30"/>
      <c r="C931" s="30"/>
      <c r="D931" s="30"/>
      <c r="E931" s="30"/>
      <c r="F931" s="30"/>
      <c r="G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4.25" customHeight="1">
      <c r="A932" s="30"/>
      <c r="B932" s="30"/>
      <c r="C932" s="30"/>
      <c r="D932" s="30"/>
      <c r="E932" s="30"/>
      <c r="F932" s="30"/>
      <c r="G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4.25" customHeight="1">
      <c r="A933" s="30"/>
      <c r="B933" s="30"/>
      <c r="C933" s="30"/>
      <c r="D933" s="30"/>
      <c r="E933" s="30"/>
      <c r="F933" s="30"/>
      <c r="G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4.25" customHeight="1">
      <c r="A934" s="30"/>
      <c r="B934" s="30"/>
      <c r="C934" s="30"/>
      <c r="D934" s="30"/>
      <c r="E934" s="30"/>
      <c r="F934" s="30"/>
      <c r="G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4.25" customHeight="1">
      <c r="A935" s="30"/>
      <c r="B935" s="30"/>
      <c r="C935" s="30"/>
      <c r="D935" s="30"/>
      <c r="E935" s="30"/>
      <c r="F935" s="30"/>
      <c r="G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4.25" customHeight="1">
      <c r="A936" s="30"/>
      <c r="B936" s="30"/>
      <c r="C936" s="30"/>
      <c r="D936" s="30"/>
      <c r="E936" s="30"/>
      <c r="F936" s="30"/>
      <c r="G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4.25" customHeight="1">
      <c r="A937" s="30"/>
      <c r="B937" s="30"/>
      <c r="C937" s="30"/>
      <c r="D937" s="30"/>
      <c r="E937" s="30"/>
      <c r="F937" s="30"/>
      <c r="G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4.25" customHeight="1">
      <c r="A938" s="30"/>
      <c r="B938" s="30"/>
      <c r="C938" s="30"/>
      <c r="D938" s="30"/>
      <c r="E938" s="30"/>
      <c r="F938" s="30"/>
      <c r="G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4.25" customHeight="1">
      <c r="A939" s="30"/>
      <c r="B939" s="30"/>
      <c r="C939" s="30"/>
      <c r="D939" s="30"/>
      <c r="E939" s="30"/>
      <c r="F939" s="30"/>
      <c r="G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4.25" customHeight="1">
      <c r="A940" s="30"/>
      <c r="B940" s="30"/>
      <c r="C940" s="30"/>
      <c r="D940" s="30"/>
      <c r="E940" s="30"/>
      <c r="F940" s="30"/>
      <c r="G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4.25" customHeight="1">
      <c r="A941" s="30"/>
      <c r="B941" s="30"/>
      <c r="C941" s="30"/>
      <c r="D941" s="30"/>
      <c r="E941" s="30"/>
      <c r="F941" s="30"/>
      <c r="G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4.25" customHeight="1">
      <c r="A942" s="30"/>
      <c r="B942" s="30"/>
      <c r="C942" s="30"/>
      <c r="D942" s="30"/>
      <c r="E942" s="30"/>
      <c r="F942" s="30"/>
      <c r="G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4.25" customHeight="1">
      <c r="A943" s="30"/>
      <c r="B943" s="30"/>
      <c r="C943" s="30"/>
      <c r="D943" s="30"/>
      <c r="E943" s="30"/>
      <c r="F943" s="30"/>
      <c r="G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4.25" customHeight="1">
      <c r="A944" s="30"/>
      <c r="B944" s="30"/>
      <c r="C944" s="30"/>
      <c r="D944" s="30"/>
      <c r="E944" s="30"/>
      <c r="F944" s="30"/>
      <c r="G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4.25" customHeight="1">
      <c r="A945" s="30"/>
      <c r="B945" s="30"/>
      <c r="C945" s="30"/>
      <c r="D945" s="30"/>
      <c r="E945" s="30"/>
      <c r="F945" s="30"/>
      <c r="G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4.25" customHeight="1">
      <c r="A946" s="30"/>
      <c r="B946" s="30"/>
      <c r="C946" s="30"/>
      <c r="D946" s="30"/>
      <c r="E946" s="30"/>
      <c r="F946" s="30"/>
      <c r="G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4.25" customHeight="1">
      <c r="A947" s="30"/>
      <c r="B947" s="30"/>
      <c r="C947" s="30"/>
      <c r="D947" s="30"/>
      <c r="E947" s="30"/>
      <c r="F947" s="30"/>
      <c r="G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4.25" customHeight="1">
      <c r="A948" s="30"/>
      <c r="B948" s="30"/>
      <c r="C948" s="30"/>
      <c r="D948" s="30"/>
      <c r="E948" s="30"/>
      <c r="F948" s="30"/>
      <c r="G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4.25" customHeight="1">
      <c r="A949" s="30"/>
      <c r="B949" s="30"/>
      <c r="C949" s="30"/>
      <c r="D949" s="30"/>
      <c r="E949" s="30"/>
      <c r="F949" s="30"/>
      <c r="G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4.25" customHeight="1">
      <c r="A950" s="30"/>
      <c r="B950" s="30"/>
      <c r="C950" s="30"/>
      <c r="D950" s="30"/>
      <c r="E950" s="30"/>
      <c r="F950" s="30"/>
      <c r="G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4.25" customHeight="1">
      <c r="A951" s="30"/>
      <c r="B951" s="30"/>
      <c r="C951" s="30"/>
      <c r="D951" s="30"/>
      <c r="E951" s="30"/>
      <c r="F951" s="30"/>
      <c r="G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4.25" customHeight="1">
      <c r="A952" s="30"/>
      <c r="B952" s="30"/>
      <c r="C952" s="30"/>
      <c r="D952" s="30"/>
      <c r="E952" s="30"/>
      <c r="F952" s="30"/>
      <c r="G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4.25" customHeight="1">
      <c r="A953" s="30"/>
      <c r="B953" s="30"/>
      <c r="C953" s="30"/>
      <c r="D953" s="30"/>
      <c r="E953" s="30"/>
      <c r="F953" s="30"/>
      <c r="G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4.25" customHeight="1">
      <c r="A954" s="30"/>
      <c r="B954" s="30"/>
      <c r="C954" s="30"/>
      <c r="D954" s="30"/>
      <c r="E954" s="30"/>
      <c r="F954" s="30"/>
      <c r="G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4.25" customHeight="1">
      <c r="A955" s="30"/>
      <c r="B955" s="30"/>
      <c r="C955" s="30"/>
      <c r="D955" s="30"/>
      <c r="E955" s="30"/>
      <c r="F955" s="30"/>
      <c r="G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4.25" customHeight="1">
      <c r="A956" s="30"/>
      <c r="B956" s="30"/>
      <c r="C956" s="30"/>
      <c r="D956" s="30"/>
      <c r="E956" s="30"/>
      <c r="F956" s="30"/>
      <c r="G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4.25" customHeight="1">
      <c r="A957" s="30"/>
      <c r="B957" s="30"/>
      <c r="C957" s="30"/>
      <c r="D957" s="30"/>
      <c r="E957" s="30"/>
      <c r="F957" s="30"/>
      <c r="G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4.25" customHeight="1">
      <c r="A958" s="30"/>
      <c r="B958" s="30"/>
      <c r="C958" s="30"/>
      <c r="D958" s="30"/>
      <c r="E958" s="30"/>
      <c r="F958" s="30"/>
      <c r="G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4.25" customHeight="1">
      <c r="A959" s="30"/>
      <c r="B959" s="30"/>
      <c r="C959" s="30"/>
      <c r="D959" s="30"/>
      <c r="E959" s="30"/>
      <c r="F959" s="30"/>
      <c r="G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4.25" customHeight="1">
      <c r="A960" s="30"/>
      <c r="B960" s="30"/>
      <c r="C960" s="30"/>
      <c r="D960" s="30"/>
      <c r="E960" s="30"/>
      <c r="F960" s="30"/>
      <c r="G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4.25" customHeight="1">
      <c r="A961" s="30"/>
      <c r="B961" s="30"/>
      <c r="C961" s="30"/>
      <c r="D961" s="30"/>
      <c r="E961" s="30"/>
      <c r="F961" s="30"/>
      <c r="G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4.25" customHeight="1">
      <c r="A962" s="30"/>
      <c r="B962" s="30"/>
      <c r="C962" s="30"/>
      <c r="D962" s="30"/>
      <c r="E962" s="30"/>
      <c r="F962" s="30"/>
      <c r="G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4.25" customHeight="1">
      <c r="A963" s="30"/>
      <c r="B963" s="30"/>
      <c r="C963" s="30"/>
      <c r="D963" s="30"/>
      <c r="E963" s="30"/>
      <c r="F963" s="30"/>
      <c r="G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4.25" customHeight="1">
      <c r="A964" s="30"/>
      <c r="B964" s="30"/>
      <c r="C964" s="30"/>
      <c r="D964" s="30"/>
      <c r="E964" s="30"/>
      <c r="F964" s="30"/>
      <c r="G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4.25" customHeight="1">
      <c r="A965" s="30"/>
      <c r="B965" s="30"/>
      <c r="C965" s="30"/>
      <c r="D965" s="30"/>
      <c r="E965" s="30"/>
      <c r="F965" s="30"/>
      <c r="G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4.25" customHeight="1">
      <c r="A966" s="30"/>
      <c r="B966" s="30"/>
      <c r="C966" s="30"/>
      <c r="D966" s="30"/>
      <c r="E966" s="30"/>
      <c r="F966" s="30"/>
      <c r="G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4.25" customHeight="1">
      <c r="A967" s="30"/>
      <c r="B967" s="30"/>
      <c r="C967" s="30"/>
      <c r="D967" s="30"/>
      <c r="E967" s="30"/>
      <c r="F967" s="30"/>
      <c r="G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4.25" customHeight="1">
      <c r="A968" s="30"/>
      <c r="B968" s="30"/>
      <c r="C968" s="30"/>
      <c r="D968" s="30"/>
      <c r="E968" s="30"/>
      <c r="F968" s="30"/>
      <c r="G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4.25" customHeight="1">
      <c r="A969" s="30"/>
      <c r="B969" s="30"/>
      <c r="C969" s="30"/>
      <c r="D969" s="30"/>
      <c r="E969" s="30"/>
      <c r="F969" s="30"/>
      <c r="G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4.25" customHeight="1">
      <c r="A970" s="30"/>
      <c r="B970" s="30"/>
      <c r="C970" s="30"/>
      <c r="D970" s="30"/>
      <c r="E970" s="30"/>
      <c r="F970" s="30"/>
      <c r="G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4.25" customHeight="1">
      <c r="A971" s="30"/>
      <c r="B971" s="30"/>
      <c r="C971" s="30"/>
      <c r="D971" s="30"/>
      <c r="E971" s="30"/>
      <c r="F971" s="30"/>
      <c r="G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4.25" customHeight="1">
      <c r="A972" s="30"/>
      <c r="B972" s="30"/>
      <c r="C972" s="30"/>
      <c r="D972" s="30"/>
      <c r="E972" s="30"/>
      <c r="F972" s="30"/>
      <c r="G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4.25" customHeight="1">
      <c r="A973" s="30"/>
      <c r="B973" s="30"/>
      <c r="C973" s="30"/>
      <c r="D973" s="30"/>
      <c r="E973" s="30"/>
      <c r="F973" s="30"/>
      <c r="G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4.25" customHeight="1">
      <c r="A974" s="30"/>
      <c r="B974" s="30"/>
      <c r="C974" s="30"/>
      <c r="D974" s="30"/>
      <c r="E974" s="30"/>
      <c r="F974" s="30"/>
      <c r="G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4.25" customHeight="1">
      <c r="A975" s="30"/>
      <c r="B975" s="30"/>
      <c r="C975" s="30"/>
      <c r="D975" s="30"/>
      <c r="E975" s="30"/>
      <c r="F975" s="30"/>
      <c r="G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4.25" customHeight="1">
      <c r="A976" s="30"/>
      <c r="B976" s="30"/>
      <c r="C976" s="30"/>
      <c r="D976" s="30"/>
      <c r="E976" s="30"/>
      <c r="F976" s="30"/>
      <c r="G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4.25" customHeight="1">
      <c r="A977" s="30"/>
      <c r="B977" s="30"/>
      <c r="C977" s="30"/>
      <c r="D977" s="30"/>
      <c r="E977" s="30"/>
      <c r="F977" s="30"/>
      <c r="G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4.25" customHeight="1">
      <c r="A978" s="30"/>
      <c r="B978" s="30"/>
      <c r="C978" s="30"/>
      <c r="D978" s="30"/>
      <c r="E978" s="30"/>
      <c r="F978" s="30"/>
      <c r="G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4.25" customHeight="1">
      <c r="A979" s="30"/>
      <c r="B979" s="30"/>
      <c r="C979" s="30"/>
      <c r="D979" s="30"/>
      <c r="E979" s="30"/>
      <c r="F979" s="30"/>
      <c r="G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4.25" customHeight="1">
      <c r="A980" s="30"/>
      <c r="B980" s="30"/>
      <c r="C980" s="30"/>
      <c r="D980" s="30"/>
      <c r="E980" s="30"/>
      <c r="F980" s="30"/>
      <c r="G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4.25" customHeight="1">
      <c r="A981" s="30"/>
      <c r="B981" s="30"/>
      <c r="C981" s="30"/>
      <c r="D981" s="30"/>
      <c r="E981" s="30"/>
      <c r="F981" s="30"/>
      <c r="G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4.25" customHeight="1">
      <c r="A982" s="30"/>
      <c r="B982" s="30"/>
      <c r="C982" s="30"/>
      <c r="D982" s="30"/>
      <c r="E982" s="30"/>
      <c r="F982" s="30"/>
      <c r="G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4.25" customHeight="1">
      <c r="A983" s="30"/>
      <c r="B983" s="30"/>
      <c r="C983" s="30"/>
      <c r="D983" s="30"/>
      <c r="E983" s="30"/>
      <c r="F983" s="30"/>
      <c r="G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4.25" customHeight="1">
      <c r="A984" s="30"/>
      <c r="B984" s="30"/>
      <c r="C984" s="30"/>
      <c r="D984" s="30"/>
      <c r="E984" s="30"/>
      <c r="F984" s="30"/>
      <c r="G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4.25" customHeight="1">
      <c r="A985" s="30"/>
      <c r="B985" s="30"/>
      <c r="C985" s="30"/>
      <c r="D985" s="30"/>
      <c r="E985" s="30"/>
      <c r="F985" s="30"/>
      <c r="G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4.25" customHeight="1">
      <c r="A986" s="30"/>
      <c r="B986" s="30"/>
      <c r="C986" s="30"/>
      <c r="D986" s="30"/>
      <c r="E986" s="30"/>
      <c r="F986" s="30"/>
      <c r="G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4.25" customHeight="1">
      <c r="A987" s="30"/>
      <c r="B987" s="30"/>
      <c r="C987" s="30"/>
      <c r="D987" s="30"/>
      <c r="E987" s="30"/>
      <c r="F987" s="30"/>
      <c r="G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4.25" customHeight="1">
      <c r="A988" s="30"/>
      <c r="B988" s="30"/>
      <c r="C988" s="30"/>
      <c r="D988" s="30"/>
      <c r="E988" s="30"/>
      <c r="F988" s="30"/>
      <c r="G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4.25" customHeight="1">
      <c r="A989" s="30"/>
      <c r="B989" s="30"/>
      <c r="C989" s="30"/>
      <c r="D989" s="30"/>
      <c r="E989" s="30"/>
      <c r="F989" s="30"/>
      <c r="G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4.25" customHeight="1">
      <c r="A990" s="30"/>
      <c r="B990" s="30"/>
      <c r="C990" s="30"/>
      <c r="D990" s="30"/>
      <c r="E990" s="30"/>
      <c r="F990" s="30"/>
      <c r="G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4.25" customHeight="1">
      <c r="A991" s="30"/>
      <c r="B991" s="30"/>
      <c r="C991" s="30"/>
      <c r="D991" s="30"/>
      <c r="E991" s="30"/>
      <c r="F991" s="30"/>
      <c r="G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4.25" customHeight="1">
      <c r="A992" s="30"/>
      <c r="B992" s="30"/>
      <c r="C992" s="30"/>
      <c r="D992" s="30"/>
      <c r="E992" s="30"/>
      <c r="F992" s="30"/>
      <c r="G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4.25" customHeight="1">
      <c r="A993" s="30"/>
      <c r="B993" s="30"/>
      <c r="C993" s="30"/>
      <c r="D993" s="30"/>
      <c r="E993" s="30"/>
      <c r="F993" s="30"/>
      <c r="G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4.25" customHeight="1">
      <c r="A994" s="30"/>
      <c r="B994" s="30"/>
      <c r="C994" s="30"/>
      <c r="D994" s="30"/>
      <c r="E994" s="30"/>
      <c r="F994" s="30"/>
      <c r="G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4.25" customHeight="1">
      <c r="A995" s="30"/>
      <c r="B995" s="30"/>
      <c r="C995" s="30"/>
      <c r="D995" s="30"/>
      <c r="E995" s="30"/>
      <c r="F995" s="30"/>
      <c r="G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4.25" customHeight="1">
      <c r="A996" s="30"/>
      <c r="B996" s="30"/>
      <c r="C996" s="30"/>
      <c r="D996" s="30"/>
      <c r="E996" s="30"/>
      <c r="F996" s="30"/>
      <c r="G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4.25" customHeight="1">
      <c r="A997" s="30"/>
      <c r="B997" s="30"/>
      <c r="C997" s="30"/>
      <c r="D997" s="30"/>
      <c r="E997" s="30"/>
      <c r="F997" s="30"/>
      <c r="G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4.25" customHeight="1">
      <c r="A998" s="30"/>
      <c r="B998" s="30"/>
      <c r="C998" s="30"/>
      <c r="D998" s="30"/>
      <c r="E998" s="30"/>
      <c r="F998" s="30"/>
      <c r="G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4.25" customHeight="1">
      <c r="A999" s="30"/>
      <c r="B999" s="30"/>
      <c r="C999" s="30"/>
      <c r="D999" s="30"/>
      <c r="E999" s="30"/>
      <c r="F999" s="30"/>
      <c r="G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ht="14.25" customHeight="1">
      <c r="A1001" s="30"/>
      <c r="B1001" s="30"/>
      <c r="C1001" s="30"/>
      <c r="D1001" s="30"/>
      <c r="E1001" s="30"/>
      <c r="F1001" s="30"/>
      <c r="G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</sheetData>
  <mergeCells count="1">
    <mergeCell ref="A1:B1"/>
  </mergeCells>
  <printOptions/>
  <pageMargins bottom="0.75" footer="0.0" header="0.0" left="0.7" right="0.7" top="0.75"/>
  <pageSetup scale="70" orientation="portrait"/>
  <drawing r:id="rId1"/>
</worksheet>
</file>