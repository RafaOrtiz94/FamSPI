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" sheetId="1" r:id="rId4"/>
    <sheet state="visible" name="c303 c503" sheetId="2" r:id="rId5"/>
    <sheet state="visible" name=" e402 e801" sheetId="3" r:id="rId6"/>
  </sheets>
  <definedNames/>
  <calcPr/>
  <extLst>
    <ext uri="GoogleSheetsCustomDataVersion2">
      <go:sheetsCustomData xmlns:go="http://customooxmlschemas.google.com/" r:id="rId7" roundtripDataChecksum="I/gldtH1AA6G9Abb6xMzgGyN2oeGgbeYfQuyN9qUGzo="/>
    </ext>
  </extLst>
</workbook>
</file>

<file path=xl/sharedStrings.xml><?xml version="1.0" encoding="utf-8"?>
<sst xmlns="http://schemas.openxmlformats.org/spreadsheetml/2006/main" count="869" uniqueCount="710">
  <si>
    <t>CLIENTE</t>
  </si>
  <si>
    <t>Hospital General José María Velasco Ibarra</t>
  </si>
  <si>
    <t>INFORMACIÓN GENERAL PARA CASO DE NEGOCIO (BC)</t>
  </si>
  <si>
    <t>FECHA</t>
  </si>
  <si>
    <t>MODALIDAD</t>
  </si>
  <si>
    <t>QC</t>
  </si>
  <si>
    <t>CALIBRACIÓN</t>
  </si>
  <si>
    <t xml:space="preserve">REP </t>
  </si>
  <si>
    <t>Actualización: 01 diciembre 2025 12:34</t>
  </si>
  <si>
    <t>PLAZO</t>
  </si>
  <si>
    <t>MESES</t>
  </si>
  <si>
    <t>ALTA= 7 VECES</t>
  </si>
  <si>
    <t>PROYECCIÓN</t>
  </si>
  <si>
    <t>MEDIA = 3 VECES</t>
  </si>
  <si>
    <t>EQUIPO</t>
  </si>
  <si>
    <t>FECHA MAXIMA PARA CALCULO DE CONSUMIBLES (NO MENOR A 48 HORAS)</t>
  </si>
  <si>
    <t>COBAS PURE c303</t>
  </si>
  <si>
    <t>COBAS PRO c503</t>
  </si>
  <si>
    <t>BAJA = 2 VECES</t>
  </si>
  <si>
    <t>TIPO DE CLIENTE</t>
  </si>
  <si>
    <t>I.D</t>
  </si>
  <si>
    <t>PUBLICO</t>
  </si>
  <si>
    <t>DESCRIPCION</t>
  </si>
  <si>
    <t>DET/KIT</t>
  </si>
  <si>
    <t>DIAS ESTABILIDAD</t>
  </si>
  <si>
    <t>ENTIDAD CONTRATANTE</t>
  </si>
  <si>
    <t>DET/AÑO/PROCESO</t>
  </si>
  <si>
    <t>DET</t>
  </si>
  <si>
    <t>PRODUCTO CALCULADO</t>
  </si>
  <si>
    <t>MINIMOS POR ESTABILIDAD</t>
  </si>
  <si>
    <t>PRODUCTO A ENVIAR</t>
  </si>
  <si>
    <t>COBAS PURE e402</t>
  </si>
  <si>
    <t>COBAS PRO e801</t>
  </si>
  <si>
    <t>UNA VEZ POR SE</t>
  </si>
  <si>
    <t>ÁCIDO ÚRICO</t>
  </si>
  <si>
    <t>UA2, 1300T, cobas c pack green</t>
  </si>
  <si>
    <t>Código del Proceso</t>
  </si>
  <si>
    <t>SIE-HGJMVI-2025-0047</t>
  </si>
  <si>
    <t>Objeto de contratación</t>
  </si>
  <si>
    <t>“ ADQUISICIÓN DE DETERMINACIONES EFECTIVAS DE QUÍMICA SANGUÍNEA E INMUNOLOGÍA PARA EL LABORATORIO CLÍNICO DEL HOSPITAL GENERAL JOSÉ MARÍA VELASCO
IBARRA DE TENA, AÑO 2026 .”.</t>
  </si>
  <si>
    <t>DET/ TOTAL</t>
  </si>
  <si>
    <t>Provincia /Ciudad</t>
  </si>
  <si>
    <t>NAPO/TENA</t>
  </si>
  <si>
    <t>X ESTABILIDAD = E</t>
  </si>
  <si>
    <t>* Ambiente de Laboratorio :</t>
  </si>
  <si>
    <t>TSH Elecsys E2G 300 V2</t>
  </si>
  <si>
    <t>Número de días por semana que trabaja el laboratorio</t>
  </si>
  <si>
    <t>Turnos por dia</t>
  </si>
  <si>
    <t>.</t>
  </si>
  <si>
    <t>Horas por turno</t>
  </si>
  <si>
    <t>ALBÚMINA RUTINA</t>
  </si>
  <si>
    <t>Controles de calidad por turno</t>
  </si>
  <si>
    <t>0.5</t>
  </si>
  <si>
    <t>ALB2, 750T, cobas c pack green</t>
  </si>
  <si>
    <t>Niveles de Control</t>
  </si>
  <si>
    <t>Frecuencia de controles de calidad  (Rutina)</t>
  </si>
  <si>
    <t>DIARIA</t>
  </si>
  <si>
    <t>Pruebas Especiales</t>
  </si>
  <si>
    <t>C3,C4,TRSF,Anti-HBc</t>
  </si>
  <si>
    <t>Amilasa Serica</t>
  </si>
  <si>
    <t>AMYL2, 750T, cobas c pack green</t>
  </si>
  <si>
    <t>Frecuencia de controles de calidad pruebas especiales</t>
  </si>
  <si>
    <t>T3 Elecsys E2G 300 V2</t>
  </si>
  <si>
    <t>2 VECES A LA SEMANA</t>
  </si>
  <si>
    <t>*Equipamiento</t>
  </si>
  <si>
    <t>Amilasa Pancreatica</t>
  </si>
  <si>
    <t>AMY-P, 450T, cobas c pack green</t>
  </si>
  <si>
    <t>T4 Elecsys E2G 300 V2</t>
  </si>
  <si>
    <t>Nombre de Equipo Principal</t>
  </si>
  <si>
    <t>BILIRRUBINA TOTAL</t>
  </si>
  <si>
    <t>BILT3, 1050T, cobas c pack green</t>
  </si>
  <si>
    <t>Cobas Pro - 503+801+ISE</t>
  </si>
  <si>
    <t>Estado de equipo principal (nuevo / usado/ año de fabricación) TDR</t>
  </si>
  <si>
    <t>FT3 G3 Elecsys E2G 300</t>
  </si>
  <si>
    <t>Instalado en el cliente</t>
  </si>
  <si>
    <t>Estado de equipo: Propio / Alquilado /Nuevo /Reservado/ Serie (FAM)</t>
  </si>
  <si>
    <t>N/A</t>
  </si>
  <si>
    <t>FT4 G3 Elecsys E2G 300</t>
  </si>
  <si>
    <t>Imagen reserva de equipo</t>
  </si>
  <si>
    <t>Bilirrubina Directa Alto Rendimiento</t>
  </si>
  <si>
    <t>BILD2, 1000T, cobas c pack green</t>
  </si>
  <si>
    <t>Nombre de Equipo Back up</t>
  </si>
  <si>
    <t>En caso de daño del equipo principal</t>
  </si>
  <si>
    <t>CALCIO</t>
  </si>
  <si>
    <t>CA2, 1500T, cobas c pack green</t>
  </si>
  <si>
    <t>Estado de equipo back up (nuevo / usado/ año de fabricación)</t>
  </si>
  <si>
    <t>usado no menor al 2022</t>
  </si>
  <si>
    <t>Se debe instalar a la par del equipo principal? SI/NO</t>
  </si>
  <si>
    <t>No</t>
  </si>
  <si>
    <t>COLESTEROL</t>
  </si>
  <si>
    <t>CHOL2, 2600T, cobas c pack green</t>
  </si>
  <si>
    <t>Ubicación de los equipos a instalar</t>
  </si>
  <si>
    <t>Laboratorio Clinico del HJMVI</t>
  </si>
  <si>
    <t>Permite equipo provisional</t>
  </si>
  <si>
    <t>Si</t>
  </si>
  <si>
    <t>Colinesterasa Gen 2</t>
  </si>
  <si>
    <t>CHE2, 1050T, cobas c pack green</t>
  </si>
  <si>
    <t>TG G2 Elecsys E2G 300 V2</t>
  </si>
  <si>
    <t>Requiere equipo complementario) SI/NO</t>
  </si>
  <si>
    <t>E</t>
  </si>
  <si>
    <t>CREATIN KINASA</t>
  </si>
  <si>
    <t>Equipo complementario, para que prueba</t>
  </si>
  <si>
    <t>CK, 500T, cobas c pack green</t>
  </si>
  <si>
    <t>Anti-TPO Elecsys E2G 300</t>
  </si>
  <si>
    <t>*LIS</t>
  </si>
  <si>
    <t>Incluye LIS : Si / No</t>
  </si>
  <si>
    <t>SI</t>
  </si>
  <si>
    <t>Proveedor del sistema a trabajar</t>
  </si>
  <si>
    <t>Orion</t>
  </si>
  <si>
    <t>Incluye Hadware: Si/No</t>
  </si>
  <si>
    <t>Anti-TG Elecsys E2G 300</t>
  </si>
  <si>
    <r>
      <rPr>
        <rFont val="Calibri"/>
        <color theme="1"/>
        <sz val="8.0"/>
      </rPr>
      <t xml:space="preserve">Número de pacientes </t>
    </r>
    <r>
      <rPr>
        <rFont val="Calibri"/>
        <b/>
        <color theme="1"/>
        <sz val="8.0"/>
      </rPr>
      <t>MENSUAL</t>
    </r>
  </si>
  <si>
    <t>Interfaz a sistema actual</t>
  </si>
  <si>
    <t>FOSFATASA ALCALINA</t>
  </si>
  <si>
    <t>ALP2, 1100T, cobas c pack green</t>
  </si>
  <si>
    <t>Anti-TSHR Elecsys E2G 300 V2</t>
  </si>
  <si>
    <t>Nombre del sistema</t>
  </si>
  <si>
    <t>Proveedor</t>
  </si>
  <si>
    <t>LH Elecsys E2G 300</t>
  </si>
  <si>
    <t>Interfaz de equipos</t>
  </si>
  <si>
    <t>FOSFORO TOTAL</t>
  </si>
  <si>
    <t>PHOS2, 750T, cobas c pack green</t>
  </si>
  <si>
    <t>Modelo / Proveedor</t>
  </si>
  <si>
    <t>FSH Elecsys E2G 300</t>
  </si>
  <si>
    <t>γ-Glutamyltransferasa ver. 2</t>
  </si>
  <si>
    <t>GGT-2, 400T, cobas c pack green</t>
  </si>
  <si>
    <t>* Requerimiento del BC:</t>
  </si>
  <si>
    <t>Estradiol G3 Elecsys E2G 300</t>
  </si>
  <si>
    <t>Cobro de arriendo del equipamiento: Si / NO (GERENCIA)</t>
  </si>
  <si>
    <t>GLUCOSA</t>
  </si>
  <si>
    <t>GLUC3, 3300T, cobas c pack green</t>
  </si>
  <si>
    <t>Progesterone G3 Elecsys E2G 100</t>
  </si>
  <si>
    <t>HIERRO SÉRICO</t>
  </si>
  <si>
    <t>IRON2, 700T, cobas c pack green</t>
  </si>
  <si>
    <t>Plazo</t>
  </si>
  <si>
    <t>15 meses</t>
  </si>
  <si>
    <t>Proyección de plazo</t>
  </si>
  <si>
    <t>18 meses</t>
  </si>
  <si>
    <t>Prolactin G2 Elecsys E2G 300</t>
  </si>
  <si>
    <t>*Compra</t>
  </si>
  <si>
    <t>Presupuesto Referencial del proceso</t>
  </si>
  <si>
    <t>$390256,07</t>
  </si>
  <si>
    <t>Testosterone G2 Elecsys E2G 300</t>
  </si>
  <si>
    <t>Lactato</t>
  </si>
  <si>
    <t>LACT2, 100T, cobas c pack green</t>
  </si>
  <si>
    <t>Porcentaje máximo de canje</t>
  </si>
  <si>
    <t xml:space="preserve">0% en base a la negociacion </t>
  </si>
  <si>
    <t>LDH</t>
  </si>
  <si>
    <t>LDHI2, 850T, cobas c pack green</t>
  </si>
  <si>
    <t>SHBG Elecsys E2G 300</t>
  </si>
  <si>
    <t>Compromiso de compra (GERENCIA)</t>
  </si>
  <si>
    <t>*Entregas</t>
  </si>
  <si>
    <t>DHEA-S Elecsys E2G 100</t>
  </si>
  <si>
    <t>LIPASA</t>
  </si>
  <si>
    <t>LIPC, 200T, cobas c pack green</t>
  </si>
  <si>
    <t>Total/Parcial - tiempo/Parcial a necesidad del laboratorio</t>
  </si>
  <si>
    <t>4 entregas parciales</t>
  </si>
  <si>
    <t>HCG+beta Elecsys E2G 300</t>
  </si>
  <si>
    <t>Determinacion Efectiva Si/No</t>
  </si>
  <si>
    <t>MAGNESIO</t>
  </si>
  <si>
    <t>MG2, 690T, cobas c pack green</t>
  </si>
  <si>
    <t>*Observaciones</t>
  </si>
  <si>
    <t>ALT (PYP en el mismo reactivo)</t>
  </si>
  <si>
    <t>ALTP2, 800T, cobas c pack green</t>
  </si>
  <si>
    <t>La entidad solicita el cambio de computadores, deben ser 7 de escritorio o a su vez la ampliacion de la capacidad RAM de las computadoras instaladas actualmente  ya que cuentan con una memoria RAM DE  4  con esta aclaracion procederemos a realizar una negociacion</t>
  </si>
  <si>
    <t>hCG STAT Elecsys E2G 100 V2</t>
  </si>
  <si>
    <t>Free HCGbeta Elecsys E2G 100 V2</t>
  </si>
  <si>
    <t>AST (PYP en el mismo reactivo)</t>
  </si>
  <si>
    <t>ASTP2, 800T, cobas c pack green</t>
  </si>
  <si>
    <t>*Inversiones adicionales</t>
  </si>
  <si>
    <t>Características</t>
  </si>
  <si>
    <t>Estado</t>
  </si>
  <si>
    <t>Cantidad</t>
  </si>
  <si>
    <t>Precio</t>
  </si>
  <si>
    <t>PAPP-A Elecsys E2G 100 V2</t>
  </si>
  <si>
    <t>TRIGLICÉRIDOS</t>
  </si>
  <si>
    <t>Total</t>
  </si>
  <si>
    <t>TRIGL, 1000T, cobas c pack green</t>
  </si>
  <si>
    <t>OBSERVACIONES</t>
  </si>
  <si>
    <t>Precios Proceso</t>
  </si>
  <si>
    <t>PLGF Elecsys E2G 100</t>
  </si>
  <si>
    <t>UREA</t>
  </si>
  <si>
    <t>UREAL, 600T, cobas c pack green</t>
  </si>
  <si>
    <t>Control externo de tercera opinión</t>
  </si>
  <si>
    <t>sFLT1 Elecsys E2G 100</t>
  </si>
  <si>
    <t>α-Hydroxybutyrate Dehydrogenase  Gen.2</t>
  </si>
  <si>
    <t>HBDH, 300T, cobas c pack green</t>
  </si>
  <si>
    <t>Albumin BC</t>
  </si>
  <si>
    <t>C-Peptide Elecsys E2G 100</t>
  </si>
  <si>
    <t>ALBP, 500T, cobas c pack green</t>
  </si>
  <si>
    <t>PROTEÍNAS TOTALES</t>
  </si>
  <si>
    <t>TP2, 1050T, cobas c pack green</t>
  </si>
  <si>
    <t>Insulin Elecsys E2G 100</t>
  </si>
  <si>
    <t>Control interno interlaboratorial</t>
  </si>
  <si>
    <t>Creatinina Enzimatica</t>
  </si>
  <si>
    <t>CREP2, 600T, cobas c pack green</t>
  </si>
  <si>
    <t>Cortisol G2 Elecsys E2G 300</t>
  </si>
  <si>
    <t>Creatinina Jaffe</t>
  </si>
  <si>
    <t>CREAJ2, 2500T, cobas c pack green</t>
  </si>
  <si>
    <t>Póliza de Fiel Cumplimiento del Contrato</t>
  </si>
  <si>
    <t>Cortisol III Elecsys E2G 300</t>
  </si>
  <si>
    <t>COLESTEROL HDL</t>
  </si>
  <si>
    <t>HDLC4, 700T, cobas c pack green</t>
  </si>
  <si>
    <t>ACTH Elecsys E2G 100</t>
  </si>
  <si>
    <t>L</t>
  </si>
  <si>
    <t>COLESTEROL LDL</t>
  </si>
  <si>
    <t>LDLC3, 600T, cobas c pack green</t>
  </si>
  <si>
    <t>Póliza de seguro de equipos</t>
  </si>
  <si>
    <t>Apoliproteina A-1</t>
  </si>
  <si>
    <t>APOAT, 250T, cobas c pack green</t>
  </si>
  <si>
    <t>hGH Elecsys E2G 100</t>
  </si>
  <si>
    <t>Apoliproteina B</t>
  </si>
  <si>
    <t>APOBT, 250T, cobas c pack green</t>
  </si>
  <si>
    <t>Ups equipo</t>
  </si>
  <si>
    <t>Equipo</t>
  </si>
  <si>
    <t>Indices Sericos</t>
  </si>
  <si>
    <t>SI2, 14500T, cobas c pack green</t>
  </si>
  <si>
    <t>AMH plus Elecsys E2G 100 V2</t>
  </si>
  <si>
    <t>Ups servidor</t>
  </si>
  <si>
    <t>Powest on line 1kva 1000VA</t>
  </si>
  <si>
    <t>Creatinin Kinasa MB</t>
  </si>
  <si>
    <t>CKMB, 150T, cobas c pack green</t>
  </si>
  <si>
    <t>Total PSA Elecsys E2G 100 V2</t>
  </si>
  <si>
    <t>LIS</t>
  </si>
  <si>
    <t>Licencia sobre 5000 pacientes mensuales atendidos por el laboratorio Considerar $5 mensulaes por firmas electronicas</t>
  </si>
  <si>
    <t>CK</t>
  </si>
  <si>
    <t>MICROALBUMINURIA</t>
  </si>
  <si>
    <t>Interfaz</t>
  </si>
  <si>
    <t>ALBT2, 500T, cobas c pack green</t>
  </si>
  <si>
    <t>Lantronix</t>
  </si>
  <si>
    <t>CP</t>
  </si>
  <si>
    <t>IP publica</t>
  </si>
  <si>
    <t>Proteinas en Orina y LCR</t>
  </si>
  <si>
    <t>free PSA Elecsys E2G 300 V2</t>
  </si>
  <si>
    <t>TPUC3, 650T, cobas c pack green</t>
  </si>
  <si>
    <t>Inmunoglobulina G (Ig G)</t>
  </si>
  <si>
    <t>AFP Elecsys E2G 100</t>
  </si>
  <si>
    <t>IGG-2, 300T, cobas c pack green</t>
  </si>
  <si>
    <t>Punto de consulta web</t>
  </si>
  <si>
    <t>Anti-Estreptolisina O (ASO)</t>
  </si>
  <si>
    <t>ASLOT, 200T, cobas c pack green</t>
  </si>
  <si>
    <t>Internet</t>
  </si>
  <si>
    <t>Todos los equipos pro y pure necesitan internet + ROUTER</t>
  </si>
  <si>
    <t>Router para Internet</t>
  </si>
  <si>
    <t>CEA Elecsys E2G 300</t>
  </si>
  <si>
    <t>Ceruloplasmina</t>
  </si>
  <si>
    <t>Servidor</t>
  </si>
  <si>
    <t>CERU, 200T, cobas c pack green</t>
  </si>
  <si>
    <t>Computadores</t>
  </si>
  <si>
    <t>Prealbumina</t>
  </si>
  <si>
    <t>PREA, 200T, cobas c pack green</t>
  </si>
  <si>
    <t xml:space="preserve">Monitor + Teclado y mouse La entidad solicita el cambio de computadores, que sean 7 de escritorio o a su vez la ampliacion de la capacidad RAM de las computadoras, actualmente es de 4 </t>
  </si>
  <si>
    <t>CA 125 G2 Elecsys E2G 300</t>
  </si>
  <si>
    <t>Tina-quant IgM  CSF</t>
  </si>
  <si>
    <t>IGM-C, 150T, cobas c pack green</t>
  </si>
  <si>
    <t>Tina-quant IgA  CSF</t>
  </si>
  <si>
    <t>IGA-C, 150T, cobas c pack green</t>
  </si>
  <si>
    <t>CA 15-3 G2 Elecsys E2G 100</t>
  </si>
  <si>
    <t>UIBC</t>
  </si>
  <si>
    <t>UIBC, 100T, cobas c pack green</t>
  </si>
  <si>
    <t>Impresora</t>
  </si>
  <si>
    <t>CRP CUANTITATIVA*</t>
  </si>
  <si>
    <t>CRP4, 500T, cobas c pack green</t>
  </si>
  <si>
    <t>Alta carga no especifica usado o nuevo en el pliego y TDR mantenimiento instaladas en el cliente</t>
  </si>
  <si>
    <t>CA 19-9 Elecsys E2G 300</t>
  </si>
  <si>
    <t>Tinta</t>
  </si>
  <si>
    <t>Toner para impresora de equipos (en caso de dejar las impresoras)</t>
  </si>
  <si>
    <t>7 juegos de toner</t>
  </si>
  <si>
    <t>Cyfra 21-1 Elecsys E2G 300</t>
  </si>
  <si>
    <t>Complemento C4</t>
  </si>
  <si>
    <t>C4-2, 150T, cobas c pack green</t>
  </si>
  <si>
    <t>CA 72-4 Elecsys E2G 300</t>
  </si>
  <si>
    <t>Impresora Zebra Termica ZD230 ETHERNET Y USB</t>
  </si>
  <si>
    <t>NSE Elecsys E2G 300</t>
  </si>
  <si>
    <t>Lector inalambrico de codigo de barra</t>
  </si>
  <si>
    <t>Haptoglobina</t>
  </si>
  <si>
    <t>HAPT2, 200T, cobas c pack green</t>
  </si>
  <si>
    <t>S100 Elecsys E2G 100 V2</t>
  </si>
  <si>
    <t>Sistema de destilación de agua pequeño</t>
  </si>
  <si>
    <t>Complemento C3</t>
  </si>
  <si>
    <t>C3C-2, 150T, cobas c pack green</t>
  </si>
  <si>
    <t>HE4 Elecsys E2G 100</t>
  </si>
  <si>
    <t>Sistema de osmosis</t>
  </si>
  <si>
    <t xml:space="preserve">INSTALADO </t>
  </si>
  <si>
    <t>PIVKAII Elecsys E2G 300</t>
  </si>
  <si>
    <t>Mantenimiento sistema de osmosis</t>
  </si>
  <si>
    <t xml:space="preserve">Anual </t>
  </si>
  <si>
    <t>proGRP Elecsys E2G 100 V2</t>
  </si>
  <si>
    <t>Cadenas Ligeras Totales Kappa</t>
  </si>
  <si>
    <t>KAPP2, 100T, cobas c pack green</t>
  </si>
  <si>
    <t>SCC Elecsys E2G 100</t>
  </si>
  <si>
    <t>Sistema de prefiltracion</t>
  </si>
  <si>
    <t>Cadenas Ligeras Totales Lambda</t>
  </si>
  <si>
    <t>LAMB2, 100T, cobas c pack green</t>
  </si>
  <si>
    <t>Digoxin Elecsys E2G 100</t>
  </si>
  <si>
    <t>Mantenimiento sistema pre filtración</t>
  </si>
  <si>
    <t>Tina-quant α1-Antitrypsin  ver.2</t>
  </si>
  <si>
    <t>AAT2, 200T, cobas c pack green</t>
  </si>
  <si>
    <t>CK-MB Elecsys E2G 100</t>
  </si>
  <si>
    <t>Tanque para resina mixta (muerta)</t>
  </si>
  <si>
    <t>INSTALADO</t>
  </si>
  <si>
    <t>Transferrina</t>
  </si>
  <si>
    <t>Estructura de proteccion para sistema de agua</t>
  </si>
  <si>
    <t>Myoglobin Elecsys E2G 100</t>
  </si>
  <si>
    <t>TRSF2, 500T, cobas c pack green</t>
  </si>
  <si>
    <t>GDF-15 Elecsys E2G 100 V2</t>
  </si>
  <si>
    <t>MEMBRANE EQ.OSMOSIS, AG2521TF  2.5 diam</t>
  </si>
  <si>
    <t>Troponin T hs Elecsys E2G 300 V2.1</t>
  </si>
  <si>
    <t>Troponin I Elecsys E2G 300</t>
  </si>
  <si>
    <t>FILTER NOM. P/SEDIMENTS PX10-20XX  PURTR (CARBON - AZUL)</t>
  </si>
  <si>
    <t>Tina-quant Ferritin  Gen.4</t>
  </si>
  <si>
    <t>FERR4, 400T, cobas c pack green</t>
  </si>
  <si>
    <t>FILTER NOM.P/SEDIMENTS GX05-20XX  HYTREX (FIBRA - PAPEL - PAPEL)</t>
  </si>
  <si>
    <t>Inmunoglobulina M (Ig M) en suero</t>
  </si>
  <si>
    <t>IGM-2, 300T, cobas c pack green</t>
  </si>
  <si>
    <t>9315284190</t>
  </si>
  <si>
    <t>RESINA IONICA REGENERADA 20 "</t>
  </si>
  <si>
    <t>proBNP G2 Elecsys E2G 300 V2.1</t>
  </si>
  <si>
    <t>8057915190</t>
  </si>
  <si>
    <t>Inmunoglobulina G (Ig G) en suero</t>
  </si>
  <si>
    <t>Calcitonin Elecsys E2G 100</t>
  </si>
  <si>
    <t>RESINA MUERTA 16kilos</t>
  </si>
  <si>
    <t>IL 6 Elecsys E2G 100 V2</t>
  </si>
  <si>
    <t>Inmunoglobulina A (Ig A) en suero</t>
  </si>
  <si>
    <t>Sal en grano x quintal</t>
  </si>
  <si>
    <t>IGA-2, 300T, cobas c pack green</t>
  </si>
  <si>
    <t>Ferritin Elecsys E2G 300</t>
  </si>
  <si>
    <t>Modificaciones de espacio fisico - estructura</t>
  </si>
  <si>
    <t>Hemoglobina Glicosilada alto rendimiento</t>
  </si>
  <si>
    <t>A1CX3, 500T, cobas c pack green</t>
  </si>
  <si>
    <t>Modificaciones de espacio fisico - mobiliario</t>
  </si>
  <si>
    <t>Hemoglobina Glicosilada bajo rendimiento</t>
  </si>
  <si>
    <t>A1CX3, 200T, cobas c pack green</t>
  </si>
  <si>
    <t>Folate G3 Elecsys E2G 300</t>
  </si>
  <si>
    <t>Climatizacion del area</t>
  </si>
  <si>
    <t xml:space="preserve">Para mantener las condiciones adecuadas para el buen funcionamiento del equipo </t>
  </si>
  <si>
    <t>Rollo de cable UTP CAT5e x 100m</t>
  </si>
  <si>
    <t xml:space="preserve">Para conexiones internas de equipos con el sofware de laboratorio </t>
  </si>
  <si>
    <t>Vitamin B12 G2 Elecsys E2G 300</t>
  </si>
  <si>
    <t>CFAS HBA</t>
  </si>
  <si>
    <t>Conector RJ45 Delta CAT5E x 50 unds</t>
  </si>
  <si>
    <t>DIMERO D</t>
  </si>
  <si>
    <t>D-Dimer Gen.2,100Test,cobas c pack green</t>
  </si>
  <si>
    <t>Active B12 Elecsys cobas E2G 300</t>
  </si>
  <si>
    <t>Rack Cerrado POWEST 5UR</t>
  </si>
  <si>
    <t>Soporte para servidor</t>
  </si>
  <si>
    <t>Switch HP Aruba Ion 5 puertos</t>
  </si>
  <si>
    <t>IgE G2 Elecsys E2G 100</t>
  </si>
  <si>
    <t>DIMER</t>
  </si>
  <si>
    <t>Switch HP Aruba Ion 1430 24 puertos</t>
  </si>
  <si>
    <t>B2-Microglobulina</t>
  </si>
  <si>
    <t>B2MG, 150T, cobas c pack green</t>
  </si>
  <si>
    <t>Extensiones y cortapicos</t>
  </si>
  <si>
    <t>Extras (tairas, canaletas, espiral plastico)</t>
  </si>
  <si>
    <t>PTH Elecsys E2G 100</t>
  </si>
  <si>
    <t>Lipoproteina A</t>
  </si>
  <si>
    <t>LPA2, 150T, cobas c pack green</t>
  </si>
  <si>
    <t>Etiquetas</t>
  </si>
  <si>
    <t>Rollo x2000 uds ( 12 rollos mensuales indicado por el cliente)</t>
  </si>
  <si>
    <t>Cistatina C</t>
  </si>
  <si>
    <t>CYSC2, 250T, cobas c pack green</t>
  </si>
  <si>
    <t>PTH (1-84) Elecsys E2G 100</t>
  </si>
  <si>
    <t>A4 printer paper</t>
  </si>
  <si>
    <t>Paquete x 500 uds  (Indica el cliente que se consume 30 resmas mensuales)</t>
  </si>
  <si>
    <t>Homocisteina</t>
  </si>
  <si>
    <t>Total P1NP Elecsys E2G 100</t>
  </si>
  <si>
    <t>HCYS, 100T, cobas c pack green</t>
  </si>
  <si>
    <t xml:space="preserve">Refrigerador </t>
  </si>
  <si>
    <t>9005781190</t>
  </si>
  <si>
    <r>
      <rPr>
        <rFont val="Calibri"/>
        <color theme="1"/>
        <sz val="8.0"/>
      </rPr>
      <t xml:space="preserve">REFRIFERADORA RI 780 CR 566 LTS  </t>
    </r>
    <r>
      <rPr>
        <rFont val="Calibri"/>
        <b/>
        <color theme="1"/>
        <sz val="8.0"/>
      </rPr>
      <t xml:space="preserve">Mantenimiento  cada 6 meses </t>
    </r>
  </si>
  <si>
    <t>Bicarbonato</t>
  </si>
  <si>
    <t>CO2-L, 250T, cobas c pack green</t>
  </si>
  <si>
    <t>B-CrossLaps/serum Elecsys E2G 100</t>
  </si>
  <si>
    <t>Refrigerador médico</t>
  </si>
  <si>
    <t>Amonio Plasmatico</t>
  </si>
  <si>
    <t>NH3L2, 300T cobas c pack green</t>
  </si>
  <si>
    <t>N-MID Osteocalcin Elecsys E2G 100</t>
  </si>
  <si>
    <t>Termometro para refrigerador</t>
  </si>
  <si>
    <t>Calibrado</t>
  </si>
  <si>
    <t>7251670190</t>
  </si>
  <si>
    <t>Etanol alto rendimiento</t>
  </si>
  <si>
    <t>Anti-CCP Elecsys E2G 100 V1</t>
  </si>
  <si>
    <t>ETOH2, 850T, cobas c pack green</t>
  </si>
  <si>
    <t>Etanol bajo rendimiento</t>
  </si>
  <si>
    <t>ETOH2, 150T, cobas c pack green</t>
  </si>
  <si>
    <t>9318747190</t>
  </si>
  <si>
    <t>PCT Brahms-Roche Elecsys E2G 300 V</t>
  </si>
  <si>
    <t>Termohigrometros</t>
  </si>
  <si>
    <t>Cronometros digitales</t>
  </si>
  <si>
    <t>FRUCTOSAMINA</t>
  </si>
  <si>
    <t>Vitamin D total G2 Elecsys E2G 300</t>
  </si>
  <si>
    <t>FRA, 550T, cobas c pack green</t>
  </si>
  <si>
    <t>Centrifuga</t>
  </si>
  <si>
    <t>24 Tubos</t>
  </si>
  <si>
    <t>Servicio Logisticos Proveedores</t>
  </si>
  <si>
    <t>Tina-quant Myoglobin  Gen.2</t>
  </si>
  <si>
    <t>MYO2, 200T, cobas c pack green</t>
  </si>
  <si>
    <t>Servicio Logisticos Clientes</t>
  </si>
  <si>
    <t>IGF-1 Elecsys E2G 100</t>
  </si>
  <si>
    <t>Factor Reumatoideo cuantitativo*</t>
  </si>
  <si>
    <t>RF-II, 400T, cobas c pack green</t>
  </si>
  <si>
    <t>Ampolla de agua bidestilada</t>
  </si>
  <si>
    <t>IGFBP-3 Elecsys E2G 100</t>
  </si>
  <si>
    <t>HIV duo Elecsys E2G 300 V2</t>
  </si>
  <si>
    <t>Agua destilada por galón</t>
  </si>
  <si>
    <t>PRECISET</t>
  </si>
  <si>
    <t>Fenitoína  libre y total</t>
  </si>
  <si>
    <t>PHNY2, 100T, cobas c pack green</t>
  </si>
  <si>
    <t>HCV Duo Elecsys E2G 300</t>
  </si>
  <si>
    <t>Hisopos x 100 uds</t>
  </si>
  <si>
    <t>Mantenimiento</t>
  </si>
  <si>
    <t>Fenobarbital</t>
  </si>
  <si>
    <t>PHNO2, 200T, cobas c pack green</t>
  </si>
  <si>
    <t>Anti-HAV G2 Elecsys E2G 300</t>
  </si>
  <si>
    <t>Gasas x 100 uds</t>
  </si>
  <si>
    <t>CARBAMAZEPINA</t>
  </si>
  <si>
    <t>CARB4, 500T, cobas c pack green</t>
  </si>
  <si>
    <t>Anti-HAV IgM Elecsys E2G 300</t>
  </si>
  <si>
    <t>Alcohol prepad 10 x 100 uds</t>
  </si>
  <si>
    <t>Ácido valproico</t>
  </si>
  <si>
    <t>VALP2, 200T, cobas c pack green</t>
  </si>
  <si>
    <t>HBsAg G2 Elecsys E2G 300 V2</t>
  </si>
  <si>
    <t>Tubos eppendorf X 500 UDS</t>
  </si>
  <si>
    <t>Vancomicina</t>
  </si>
  <si>
    <t>VANC3, 200T, cobas c pack green</t>
  </si>
  <si>
    <t xml:space="preserve">Otros </t>
  </si>
  <si>
    <t>capacitacion, tiempo, lugar, dias, break, material, alojamiento, etc</t>
  </si>
  <si>
    <t>Agitador de placas</t>
  </si>
  <si>
    <t>No especifica usado o nuevo en el pliego y tdr</t>
  </si>
  <si>
    <t>Anti-HBs G2 Elecsys E2G 300 V2</t>
  </si>
  <si>
    <t>TOTAL DET</t>
  </si>
  <si>
    <t>HBeAg Elecsys E2G 300</t>
  </si>
  <si>
    <t>Pipeta automatica regulable de 100 - 1000</t>
  </si>
  <si>
    <t>pipeta automtica regulable de 10-100</t>
  </si>
  <si>
    <t>Anti-HBe Elecsys E2G 300</t>
  </si>
  <si>
    <t>Anti-HBc G2 Elecsys E2G 300</t>
  </si>
  <si>
    <t>Pipeta automatica regulable de 5-50</t>
  </si>
  <si>
    <t>CONTROLES Y CALIBRADORES</t>
  </si>
  <si>
    <t>Tableros de mando de ordenes pendientes (televisores)</t>
  </si>
  <si>
    <t>De 42 pulgadas de sugerencia por el proveedor para la correcta visualizacion de las ordenes</t>
  </si>
  <si>
    <t>PRESENTACION</t>
  </si>
  <si>
    <t>Anti-HBc IgM Elecsys E2G 300</t>
  </si>
  <si>
    <t>DIAS ESTABILDAD</t>
  </si>
  <si>
    <t>Anti-HCV G2 Elecsys E2G 300 V2</t>
  </si>
  <si>
    <t>PRODUCTO A ENTREGAR</t>
  </si>
  <si>
    <t>Calibrator f.a.s.</t>
  </si>
  <si>
    <t>Rubella IgG Elecsys E2G 300</t>
  </si>
  <si>
    <t>Sub total</t>
  </si>
  <si>
    <t>Rubella IgM Elecsys E2G 100</t>
  </si>
  <si>
    <t>PRECINORM PUC</t>
  </si>
  <si>
    <t>PRECIPATH PUC</t>
  </si>
  <si>
    <t>Toxo IgG Elecsys E2G 300</t>
  </si>
  <si>
    <t xml:space="preserve">Calibrator f.a.s. Lipids </t>
  </si>
  <si>
    <t>Cfas Lipids 3x1ML</t>
  </si>
  <si>
    <t>Toxo IgG Avidity Elecsys E2G 100</t>
  </si>
  <si>
    <t>$ -</t>
  </si>
  <si>
    <t xml:space="preserve">Calibrator f.a.s. CK-MB </t>
  </si>
  <si>
    <t>Cfas CK.MB 3x1ML</t>
  </si>
  <si>
    <t>Toxo IgM Elecsys E2G 300</t>
  </si>
  <si>
    <t>Cfas Proteins U</t>
  </si>
  <si>
    <t>C.f.a.s. PUC</t>
  </si>
  <si>
    <t>C.f.a.s. PAC</t>
  </si>
  <si>
    <t>CMV IgG Elecsys E2G 300 V2</t>
  </si>
  <si>
    <t>Calibrator f.a.s. IgA/IgM CSF</t>
  </si>
  <si>
    <t>¿Porque es importante ganar este proceso ?</t>
  </si>
  <si>
    <t xml:space="preserve">La probabilidad de negociacion es de un 95%. Se ha podido contribuir que aumenten su portafolio de pruebas. Buscando matener la cuenta que contribuye al cumplimiento del T0. </t>
  </si>
  <si>
    <t>CMV IgG Avidity Elecsys E2G 100 V2</t>
  </si>
  <si>
    <t>Fe Standard</t>
  </si>
  <si>
    <t>CMV IgM Elecsys E2G 300</t>
  </si>
  <si>
    <t>Calibrator f.a.s.proteins</t>
  </si>
  <si>
    <t>PreciControl ClinChem Multi 1,20x5ml</t>
  </si>
  <si>
    <t>PreciControl ClinChem Multi 2,20x5ml</t>
  </si>
  <si>
    <t>HSV-1 IgG Elecsys E2G 100 V2</t>
  </si>
  <si>
    <t>PreciControl ClinChem Multi 1 QCS,20x5ml</t>
  </si>
  <si>
    <t>HSV-2 IgG Elecsys E2G 100 V2</t>
  </si>
  <si>
    <t>PreciControl ClinChem Multi 2 QCS,20x5ml</t>
  </si>
  <si>
    <t>EBV IGM ELECSYS E2G 300</t>
  </si>
  <si>
    <t>PreciControl ClinChem Multi 1, 4x5 ml</t>
  </si>
  <si>
    <t>PreciControl ClinChem Multi 2, 4x5 ml</t>
  </si>
  <si>
    <t>EBV VCA IGG ELECSYS E2G 300</t>
  </si>
  <si>
    <t>Cfas HbA1c</t>
  </si>
  <si>
    <t>PreciControl HbA1c norm</t>
  </si>
  <si>
    <t>EBV EBNA IGG ELECSYS E2G 300</t>
  </si>
  <si>
    <t>PreciControl HbA1c path</t>
  </si>
  <si>
    <t>HTLV Elecsys E2G 300 V2</t>
  </si>
  <si>
    <t>SYPHILIS ELECSYS E2G 300 V2</t>
  </si>
  <si>
    <t>D-Dimer Gen.2 Calibrator Set</t>
  </si>
  <si>
    <t>D-Dimer Gen.2 Control I/II</t>
  </si>
  <si>
    <t>Chagas Elecsys E2G 300 V2</t>
  </si>
  <si>
    <t>Anti-SARS-CoV-2 Elecsys E2G 300</t>
  </si>
  <si>
    <t>Anti-SARS-CoV-2 S Elecsys E2G 300</t>
  </si>
  <si>
    <t>Calibrator β2‑Microglobulin</t>
  </si>
  <si>
    <t>SARS-CoV-2 Ag Elecsys E2G 300</t>
  </si>
  <si>
    <t>Control Set  β2‑Microglobulin (Nivel 1-2)</t>
  </si>
  <si>
    <t>Cyclosporine Elecsys E2G 300</t>
  </si>
  <si>
    <t>Preciset Lp(a) Gen.2</t>
  </si>
  <si>
    <t>Everolimus Elecsys E2G 100</t>
  </si>
  <si>
    <t>PreciControl Lp(a) Gen.2</t>
  </si>
  <si>
    <t>Sirolimus Elecsys E2G 100</t>
  </si>
  <si>
    <t>C.f.a.s. Cystatin C</t>
  </si>
  <si>
    <t>Tacrolimus Elecsys E2G 300</t>
  </si>
  <si>
    <t>Cystatin C  Control  Set  Gen.2 (1,2,3)</t>
  </si>
  <si>
    <t>HCYS Calibrator Kit</t>
  </si>
  <si>
    <t>HCYS Control Kit Control 1 y 2</t>
  </si>
  <si>
    <t>Ammonia/Ethanol/CO2 Calibrator</t>
  </si>
  <si>
    <t>NH3/ETH/CO2 Calibrator</t>
  </si>
  <si>
    <t xml:space="preserve">Ammonia/Ethanol/CO2 Control  Normal </t>
  </si>
  <si>
    <t>NH3/ETH/CO2 Control N</t>
  </si>
  <si>
    <t>CALIBRADORES</t>
  </si>
  <si>
    <t>Ammonia/Ethanol/CO2 Control Abnormal</t>
  </si>
  <si>
    <t>NH3/ETH/CO2 Control A</t>
  </si>
  <si>
    <t xml:space="preserve">PRESENTACION </t>
  </si>
  <si>
    <t>Precimat Fructosamina</t>
  </si>
  <si>
    <t>PRECIMAT FRUC 3x1ML</t>
  </si>
  <si>
    <t>PRECINORM FRUC</t>
  </si>
  <si>
    <t>TSH CalSet</t>
  </si>
  <si>
    <t>PRECIPATH FRUC</t>
  </si>
  <si>
    <t>C.f.a.s. Myoglobin</t>
  </si>
  <si>
    <t>Myoglobin Control Set (Nivel I, II)</t>
  </si>
  <si>
    <t>T3 CalSet</t>
  </si>
  <si>
    <t>Preciset RF</t>
  </si>
  <si>
    <t>T4 CalSet</t>
  </si>
  <si>
    <t>RF Control Set</t>
  </si>
  <si>
    <t>FT3 III CalSet</t>
  </si>
  <si>
    <t>HITACHI I PRECISET TDM 1</t>
  </si>
  <si>
    <t>CalSet FT4 III</t>
  </si>
  <si>
    <t>TDM Control Set</t>
  </si>
  <si>
    <t>Tg II CalSet</t>
  </si>
  <si>
    <t>CONSUMIBLES</t>
  </si>
  <si>
    <t xml:space="preserve">Anti‑TPO CalSet </t>
  </si>
  <si>
    <t>Anti‑Tg CalSet</t>
  </si>
  <si>
    <t>Reaction Cell for c 503 / c 513*</t>
  </si>
  <si>
    <t xml:space="preserve">Caja </t>
  </si>
  <si>
    <t>CalSet Anti‑TSHR</t>
  </si>
  <si>
    <t>LH CalSet II</t>
  </si>
  <si>
    <t>Reaction Cell for c303</t>
  </si>
  <si>
    <t>FSH CS Elecsys V3</t>
  </si>
  <si>
    <t>ECO-D, 40T, cobas c pack green c303</t>
  </si>
  <si>
    <t>Cassette</t>
  </si>
  <si>
    <t xml:space="preserve">Estradiol III CalSet </t>
  </si>
  <si>
    <t>ECO-D, 40T, cobas c pack green c503</t>
  </si>
  <si>
    <t>Progesterone III CalSet</t>
  </si>
  <si>
    <t>NaOH-D, cobas c pack green c303</t>
  </si>
  <si>
    <t>Prolactin II CalSet</t>
  </si>
  <si>
    <t>NaOH-D, cobas c pack green c503</t>
  </si>
  <si>
    <t xml:space="preserve">Testosterone II CalSet II </t>
  </si>
  <si>
    <t>NACl, cobas c pack green</t>
  </si>
  <si>
    <t>SHBG CalSet</t>
  </si>
  <si>
    <t xml:space="preserve">DHEA‑S CalSet  </t>
  </si>
  <si>
    <t>HCG+β CalSet</t>
  </si>
  <si>
    <t>SMS, cobas c pack green</t>
  </si>
  <si>
    <t xml:space="preserve">HCG STAT CalSet  </t>
  </si>
  <si>
    <t>Acid Wash 2x2 L c303</t>
  </si>
  <si>
    <t>Caja por 02 galoneras de 2L</t>
  </si>
  <si>
    <t>Acid Wash 2x2 L c503</t>
  </si>
  <si>
    <t>SCCS, 50mL, cobas c pack green</t>
  </si>
  <si>
    <t>Basic Wash 2x2 L c303</t>
  </si>
  <si>
    <t xml:space="preserve">free βhCG CalSet  </t>
  </si>
  <si>
    <t>Basic Wash 2x2 L c503</t>
  </si>
  <si>
    <t>PAPP‑A CalSet</t>
  </si>
  <si>
    <t>PlGF CalSet</t>
  </si>
  <si>
    <t>Copillas de muestra Hitachi</t>
  </si>
  <si>
    <t xml:space="preserve">sFlt‑1 CalSet  </t>
  </si>
  <si>
    <t>funda de 250</t>
  </si>
  <si>
    <t>C‑Peptide CalSet</t>
  </si>
  <si>
    <t>A1CD, cobas c pack green</t>
  </si>
  <si>
    <t>Insulin CalSet</t>
  </si>
  <si>
    <t>Antigen Excess  Reagent  (START)</t>
  </si>
  <si>
    <t>START, 1000T, cobas c pack green</t>
  </si>
  <si>
    <t>Cortisol II CalSet</t>
  </si>
  <si>
    <t>Barcode Label 2,5x5,1cm</t>
  </si>
  <si>
    <t>rollo</t>
  </si>
  <si>
    <t>CalSet Cortisol III Urine</t>
  </si>
  <si>
    <t>A4 PRINTER PAPER</t>
  </si>
  <si>
    <t>resma</t>
  </si>
  <si>
    <t>ACTH CalSet</t>
  </si>
  <si>
    <t>RD Standard False Bottom Tube</t>
  </si>
  <si>
    <t>Lamp, Halogen</t>
  </si>
  <si>
    <t>hGH CalSet</t>
  </si>
  <si>
    <t>CalSet AMH Plus</t>
  </si>
  <si>
    <t>SISTEMA PARA ELECTROLITOS-ISE</t>
  </si>
  <si>
    <t>total PSA CalSet II</t>
  </si>
  <si>
    <t>free PSA CalSet</t>
  </si>
  <si>
    <t>ISE Standard low 10x3ML</t>
  </si>
  <si>
    <t>AFP CalSet II</t>
  </si>
  <si>
    <t>CEA CalSet</t>
  </si>
  <si>
    <t>CA 125 II CalSet</t>
  </si>
  <si>
    <t>CA 15-3 II CalSet</t>
  </si>
  <si>
    <t>CA 19‑9 CalSet</t>
  </si>
  <si>
    <t>ISE Standard high 10x3ML</t>
  </si>
  <si>
    <t>CYFRA 21‑1 CalSet</t>
  </si>
  <si>
    <t>ISE cleaning solution Sys Clean</t>
  </si>
  <si>
    <t>CA 72‑4 CalSet</t>
  </si>
  <si>
    <t>Activator</t>
  </si>
  <si>
    <t xml:space="preserve">NSE CalSet  </t>
  </si>
  <si>
    <t>ISE DEPROTEINIZER cobas integra (6x21ML)</t>
  </si>
  <si>
    <t xml:space="preserve">S100 CalSet </t>
  </si>
  <si>
    <t>ISE Diluent Gen.2, 2x2 Liter</t>
  </si>
  <si>
    <t>HE4 CalSet</t>
  </si>
  <si>
    <t>ISE Internal Stand Gen.2, 2x2 Liter</t>
  </si>
  <si>
    <t xml:space="preserve">CalSet PIVKA‑II  </t>
  </si>
  <si>
    <t>ISE Reference Electrolyte, 2L</t>
  </si>
  <si>
    <t>ProGRP CalSet</t>
  </si>
  <si>
    <t>ISE Reference Electrolyte 500ML</t>
  </si>
  <si>
    <t>SCC CalSet</t>
  </si>
  <si>
    <t>REFERENCE ELECTRODE</t>
  </si>
  <si>
    <t>Digoxin CalSet</t>
  </si>
  <si>
    <t>Electrodo sodio</t>
  </si>
  <si>
    <t>CalSet CK‑MB</t>
  </si>
  <si>
    <t>Electrodo potasio</t>
  </si>
  <si>
    <t>Electrodo cloro</t>
  </si>
  <si>
    <t>CalSet Myoglobin</t>
  </si>
  <si>
    <t xml:space="preserve">CalSet GDF‑15 </t>
  </si>
  <si>
    <t>Troponin T hs CS Elecsys E2G V1.1</t>
  </si>
  <si>
    <t xml:space="preserve">CalSet Troponin I  </t>
  </si>
  <si>
    <t>9315314190</t>
  </si>
  <si>
    <t>proBNP G2 CS Elecsys E2G V2.1</t>
  </si>
  <si>
    <t>Calcitonin CalSet</t>
  </si>
  <si>
    <t>Elecsys IL 6 Calset</t>
  </si>
  <si>
    <t>Ferritin CalSet</t>
  </si>
  <si>
    <t>CalSet Folate</t>
  </si>
  <si>
    <t>Vitamin B12 II CalSet</t>
  </si>
  <si>
    <t xml:space="preserve">CalSet Active B12 </t>
  </si>
  <si>
    <t>IgE CalSet</t>
  </si>
  <si>
    <t>CalSet PTH</t>
  </si>
  <si>
    <t>PTH (1‑84) CalSet</t>
  </si>
  <si>
    <t>total P1NP CalSet</t>
  </si>
  <si>
    <t>β‑CrossLaps CalSet</t>
  </si>
  <si>
    <t xml:space="preserve">N‑MID Osteocalcin CalSet  </t>
  </si>
  <si>
    <t>CalSet Vitamin D total III</t>
  </si>
  <si>
    <t>CalSet IGF‑1</t>
  </si>
  <si>
    <t xml:space="preserve">CalSet IGFBP‑3  </t>
  </si>
  <si>
    <t>CalSet Anti‑SARS‑CoV‑2 S</t>
  </si>
  <si>
    <t>Cyclosporine CalSet</t>
  </si>
  <si>
    <t xml:space="preserve">Everolimus CalSet </t>
  </si>
  <si>
    <t xml:space="preserve">Sirolimus CalSet  </t>
  </si>
  <si>
    <t>Tacrolimus CalSet</t>
  </si>
  <si>
    <t>CONTROLES</t>
  </si>
  <si>
    <t>PreciControl Universal</t>
  </si>
  <si>
    <t>Maternal Care Gen.2 PC Elecsys</t>
  </si>
  <si>
    <t>PreciControl Multimarker Elecsys,cobas e</t>
  </si>
  <si>
    <t>PreciControl Cortisol Urine</t>
  </si>
  <si>
    <t>PreciControl Tumor Marker Elec</t>
  </si>
  <si>
    <t>PreciControl Active B12</t>
  </si>
  <si>
    <t xml:space="preserve">PreciControl Cardiac II  </t>
  </si>
  <si>
    <t>PreciControl Troponin</t>
  </si>
  <si>
    <t>PreciControl ThyroAB</t>
  </si>
  <si>
    <t>PreciControl AMH Plus</t>
  </si>
  <si>
    <t xml:space="preserve">PreciControl HE4 </t>
  </si>
  <si>
    <t>PreciControl HCC</t>
  </si>
  <si>
    <t>PreciControl ProGRP</t>
  </si>
  <si>
    <t xml:space="preserve">PreciControl Lung Cancer  </t>
  </si>
  <si>
    <t>PreciControl Varia Elecsys</t>
  </si>
  <si>
    <t xml:space="preserve">PreciControl Anti‑CCP  </t>
  </si>
  <si>
    <t xml:space="preserve">PreciControl Vitamin D total III  </t>
  </si>
  <si>
    <t>PreciControl Growth</t>
  </si>
  <si>
    <t>PreciControl HIV Gen II</t>
  </si>
  <si>
    <t>HCV Duo PC Elecsys</t>
  </si>
  <si>
    <t xml:space="preserve">PreciControl Anti‑HAV II  </t>
  </si>
  <si>
    <t>PreciControl Anti‑HAV IgM</t>
  </si>
  <si>
    <t xml:space="preserve">PreciControl HBsAg II </t>
  </si>
  <si>
    <t>PreciControl Anti‑HBs</t>
  </si>
  <si>
    <t>PreciControl HBeAg</t>
  </si>
  <si>
    <t>PreciControl Anti‑HBe</t>
  </si>
  <si>
    <t xml:space="preserve">PreciControl Anti‑HBc II  </t>
  </si>
  <si>
    <t>PreciControl Anti‑HBc IgM</t>
  </si>
  <si>
    <t>PreciControl Anti‑HCV</t>
  </si>
  <si>
    <t>PreciControl Rubella IgG</t>
  </si>
  <si>
    <t>PreciControl Rubella IgM</t>
  </si>
  <si>
    <t xml:space="preserve">PreciControl Toxo IgG </t>
  </si>
  <si>
    <t>PreciControl Toxo IgG Avidity</t>
  </si>
  <si>
    <t>PreciControl Toxo IgM</t>
  </si>
  <si>
    <t>PreciControl CMV IgG</t>
  </si>
  <si>
    <t>CMV IgG Avidity PC Elecsys</t>
  </si>
  <si>
    <t>PreciControl CMV IgM</t>
  </si>
  <si>
    <t xml:space="preserve">PreciControl HSV </t>
  </si>
  <si>
    <t>PreciControl EBV IgM/VCA IgG</t>
  </si>
  <si>
    <t xml:space="preserve">PreciControl EBV EBNA IgG </t>
  </si>
  <si>
    <t>PreciControl HTLV</t>
  </si>
  <si>
    <t>PreciControl Syphilis</t>
  </si>
  <si>
    <t>PreciControl Chagas</t>
  </si>
  <si>
    <t>PreciControl Anti‑SARS‑CoV‑2</t>
  </si>
  <si>
    <t>PreciControl SARS‑CoV‑2 Antigen</t>
  </si>
  <si>
    <t>PreciControl ISD</t>
  </si>
  <si>
    <t>PreciControl Everolimus</t>
  </si>
  <si>
    <t>AssayTip/AssayCup tray</t>
  </si>
  <si>
    <t>Diluent MultiAssay E2G</t>
  </si>
  <si>
    <t>Diluent Universal E2G</t>
  </si>
  <si>
    <t>Elecsys Progesteron Diluent</t>
  </si>
  <si>
    <t>PreClean M G2 2x2L Elecsys E2G e801</t>
  </si>
  <si>
    <t>PreClean M G2 2x2L Elecsys E2G e402</t>
  </si>
  <si>
    <t>CleanCell M 2x2 L Elecsys,cobas e801</t>
  </si>
  <si>
    <t>CleanCell M 2x2 L Elecsys,cobas e402</t>
  </si>
  <si>
    <t>ProCell M G2 2x2L Elecsys E2G e801</t>
  </si>
  <si>
    <t>ProCell M G2 2x2L Elecsys E2G e402</t>
  </si>
  <si>
    <t>BlankCell High Elecsys E2G</t>
  </si>
  <si>
    <t>CellCheck Gen2 Elecsys E2G</t>
  </si>
  <si>
    <t>HBQ Sample Set Elecsys,cobas e</t>
  </si>
  <si>
    <t>Cobas sample cup 5000pcs</t>
  </si>
  <si>
    <t>ControlSet Vials Elecsys,cobas e</t>
  </si>
  <si>
    <t>ISD Sample PT Elecsys cobas e 100</t>
  </si>
  <si>
    <t>Folate RBC Hemolyzing Elecsys,cobas e</t>
  </si>
  <si>
    <t>SARS-CoV-2 Extraction Solution</t>
  </si>
  <si>
    <t>SARS-CoV-2 Extraction Solution C</t>
  </si>
  <si>
    <t>HBsAg Confirmatory Elecsys cobas e</t>
  </si>
  <si>
    <t>Reservoir cup Assy</t>
  </si>
  <si>
    <t>PW LFC CUP ASSY</t>
  </si>
  <si>
    <t>CON EL EQUIPO</t>
  </si>
  <si>
    <t>ISE CLEANING SOLUTION</t>
  </si>
  <si>
    <t>MEASURING CELL WITH REF. ELECT. V7.0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</si>
</sst>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.00\ &quot;€&quot;_-;\-* #,##0.00\ &quot;€&quot;_-;_-* &quot;-&quot;??\ &quot;€&quot;_-;_-@"/>
    <numFmt numFmtId="165" formatCode="_-&quot;$&quot;* #,##0.00_-;\-&quot;$&quot;* #,##0.00_-;_-&quot;$&quot;* &quot;-&quot;??_-;_-@"/>
    <numFmt numFmtId="166" formatCode="&quot;$&quot;#,##0.00"/>
    <numFmt numFmtId="167" formatCode="_ * #,##0.00_ ;_ * \-#,##0.00_ ;_ * &quot;-&quot;??_ ;_ @_ "/>
  </numFmts>
  <fonts count="11">
    <font>
      <sz val="11.0"/>
      <color theme="1"/>
      <name val="Calibri"/>
      <scheme val="minor"/>
    </font>
    <font>
      <b/>
      <sz val="8.0"/>
      <color theme="1"/>
      <name val="Calibri"/>
    </font>
    <font>
      <sz val="8.0"/>
      <color theme="1"/>
      <name val="Calibri"/>
    </font>
    <font/>
    <font>
      <sz val="11.0"/>
      <color theme="1"/>
      <name val="Calibri"/>
    </font>
    <font>
      <sz val="8.0"/>
      <color rgb="FF000000"/>
      <name val="Calibri"/>
    </font>
    <font>
      <sz val="8.0"/>
      <color rgb="FF1F1F1F"/>
      <name val="Calibri"/>
    </font>
    <font>
      <sz val="8.0"/>
      <color rgb="FF222222"/>
      <name val="Calibri"/>
    </font>
    <font>
      <color theme="1"/>
      <name val="Calibri"/>
      <scheme val="minor"/>
    </font>
    <font>
      <vertAlign val="superscript"/>
      <sz val="8.0"/>
      <color theme="1"/>
      <name val="Calibri"/>
    </font>
    <font>
      <sz val="7.0"/>
      <color rgb="FF333333"/>
      <name val="&quot;Roboto Regular&quot;"/>
    </font>
  </fonts>
  <fills count="11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39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CCCCCC"/>
      </right>
    </border>
    <border>
      <left style="medium">
        <color rgb="FFCCCCCC"/>
      </left>
      <right style="medium">
        <color rgb="FFCCCCCC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bottom style="medium">
        <color rgb="FFCCCCCC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medium">
        <color rgb="FFCCCCCC"/>
      </left>
      <top style="medium">
        <color rgb="FFCCCCCC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0" fontId="3" numFmtId="0" xfId="0" applyBorder="1" applyFont="1"/>
    <xf borderId="0" fillId="0" fontId="4" numFmtId="0" xfId="0" applyFont="1"/>
    <xf borderId="0" fillId="0" fontId="2" numFmtId="14" xfId="0" applyAlignment="1" applyFont="1" applyNumberFormat="1">
      <alignment horizontal="right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3" fillId="2" fontId="2" numFmtId="0" xfId="0" applyAlignment="1" applyBorder="1" applyFill="1" applyFont="1">
      <alignment horizontal="left" shrinkToFit="0" wrapText="1"/>
    </xf>
    <xf borderId="0" fillId="0" fontId="2" numFmtId="0" xfId="0" applyAlignment="1" applyFont="1">
      <alignment readingOrder="0" shrinkToFit="0" wrapText="1"/>
    </xf>
    <xf borderId="4" fillId="2" fontId="1" numFmtId="0" xfId="0" applyAlignment="1" applyBorder="1" applyFill="1" applyFont="1">
      <alignment horizontal="center" shrinkToFit="0" vertical="center" wrapText="1"/>
    </xf>
    <xf borderId="5" fillId="4" fontId="1" numFmtId="0" xfId="0" applyBorder="1" applyFill="1" applyFont="1"/>
    <xf borderId="6" fillId="2" fontId="1" numFmtId="0" xfId="0" applyAlignment="1" applyBorder="1" applyFill="1" applyFont="1">
      <alignment horizontal="left" shrinkToFit="0" wrapText="1"/>
    </xf>
    <xf borderId="5" fillId="4" fontId="1" numFmtId="0" xfId="0" applyAlignment="1" applyBorder="1" applyFill="1" applyFont="1">
      <alignment horizontal="center"/>
    </xf>
    <xf borderId="7" fillId="2" fontId="1" numFmtId="14" xfId="0" applyAlignment="1" applyBorder="1" applyFill="1" applyFont="1" applyNumberFormat="1">
      <alignment horizontal="center" shrinkToFit="0" vertical="center" wrapText="1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horizontal="right"/>
    </xf>
    <xf borderId="0" fillId="0" fontId="2" numFmtId="2" xfId="0" applyFont="1" applyNumberFormat="1"/>
    <xf borderId="6" fillId="2" fontId="1" numFmtId="0" xfId="0" applyAlignment="1" applyBorder="1" applyFill="1" applyFont="1">
      <alignment shrinkToFit="0" wrapText="1"/>
    </xf>
    <xf borderId="8" fillId="5" fontId="1" numFmtId="0" xfId="0" applyAlignment="1" applyBorder="1" applyFill="1" applyFont="1">
      <alignment horizontal="center" vertical="center"/>
    </xf>
    <xf borderId="7" fillId="2" fontId="2" numFmtId="0" xfId="0" applyAlignment="1" applyBorder="1" applyFill="1" applyFont="1">
      <alignment shrinkToFit="0" wrapText="1"/>
    </xf>
    <xf borderId="9" fillId="5" fontId="1" numFmtId="0" xfId="0" applyAlignment="1" applyBorder="1" applyFill="1" applyFont="1">
      <alignment horizontal="center" vertical="center"/>
    </xf>
    <xf borderId="10" fillId="0" fontId="3" numFmtId="0" xfId="0" applyBorder="1" applyFont="1"/>
    <xf borderId="7" fillId="5" fontId="1" numFmtId="0" xfId="0" applyAlignment="1" applyBorder="1" applyFill="1" applyFont="1">
      <alignment horizontal="center" vertical="center"/>
    </xf>
    <xf borderId="7" fillId="5" fontId="1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shrinkToFit="0" vertical="center" wrapText="1"/>
    </xf>
    <xf borderId="8" fillId="5" fontId="1" numFmtId="0" xfId="0" applyAlignment="1" applyBorder="1" applyFill="1" applyFont="1">
      <alignment horizontal="center" shrinkToFit="0" vertical="center" wrapText="1"/>
    </xf>
    <xf borderId="12" fillId="5" fontId="1" numFmtId="0" xfId="0" applyAlignment="1" applyBorder="1" applyFill="1" applyFont="1">
      <alignment horizontal="center" readingOrder="0" shrinkToFit="0" vertical="center" wrapText="1"/>
    </xf>
    <xf borderId="7" fillId="0" fontId="2" numFmtId="0" xfId="0" applyAlignment="1" applyBorder="1" applyFont="1">
      <alignment shrinkToFit="0" wrapText="1"/>
    </xf>
    <xf borderId="0" fillId="0" fontId="2" numFmtId="0" xfId="0" applyAlignment="1" applyFont="1">
      <alignment vertical="center"/>
    </xf>
    <xf borderId="0" fillId="0" fontId="4" numFmtId="0" xfId="0" applyAlignment="1" applyFont="1">
      <alignment vertical="center"/>
    </xf>
    <xf borderId="7" fillId="5" fontId="1" numFmtId="0" xfId="0" applyAlignment="1" applyBorder="1" applyFill="1" applyFont="1">
      <alignment shrinkToFit="0" wrapText="1"/>
    </xf>
    <xf borderId="9" fillId="0" fontId="2" numFmtId="0" xfId="0" applyAlignment="1" applyBorder="1" applyFont="1">
      <alignment shrinkToFit="0" vertical="center" wrapText="1"/>
    </xf>
    <xf borderId="0" fillId="5" fontId="1" numFmtId="0" xfId="0" applyAlignment="1" applyFill="1" applyFont="1">
      <alignment shrinkToFit="0" wrapText="1"/>
    </xf>
    <xf borderId="7" fillId="0" fontId="2" numFmtId="0" xfId="0" applyAlignment="1" applyBorder="1" applyFont="1">
      <alignment horizontal="right"/>
    </xf>
    <xf borderId="10" fillId="0" fontId="2" numFmtId="0" xfId="0" applyBorder="1" applyFont="1"/>
    <xf borderId="7" fillId="0" fontId="2" numFmtId="0" xfId="0" applyBorder="1" applyFont="1"/>
    <xf borderId="9" fillId="0" fontId="2" numFmtId="0" xfId="0" applyAlignment="1" applyBorder="1" applyFont="1">
      <alignment horizontal="right"/>
    </xf>
    <xf borderId="7" fillId="0" fontId="2" numFmtId="0" xfId="0" applyAlignment="1" applyBorder="1" applyFont="1">
      <alignment horizontal="center" shrinkToFit="0" wrapText="1"/>
    </xf>
    <xf borderId="7" fillId="5" fontId="1" numFmtId="0" xfId="0" applyAlignment="1" applyBorder="1" applyFill="1" applyFont="1">
      <alignment horizontal="center" shrinkToFit="0" wrapText="1"/>
    </xf>
    <xf borderId="7" fillId="0" fontId="1" numFmtId="0" xfId="0" applyAlignment="1" applyBorder="1" applyFont="1">
      <alignment readingOrder="0"/>
    </xf>
    <xf borderId="7" fillId="2" fontId="1" numFmtId="0" xfId="0" applyAlignment="1" applyBorder="1" applyFill="1" applyFont="1">
      <alignment shrinkToFit="0" vertical="center" wrapText="1"/>
    </xf>
    <xf borderId="13" fillId="2" fontId="2" numFmtId="0" xfId="0" applyAlignment="1" applyBorder="1" applyFill="1" applyFont="1">
      <alignment shrinkToFit="0" wrapText="1"/>
    </xf>
    <xf borderId="9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right" shrinkToFit="0" wrapText="1"/>
    </xf>
    <xf borderId="7" fillId="0" fontId="2" numFmtId="0" xfId="0" applyAlignment="1" applyBorder="1" applyFont="1">
      <alignment horizontal="center"/>
    </xf>
    <xf borderId="7" fillId="0" fontId="2" numFmtId="2" xfId="0" applyAlignment="1" applyBorder="1" applyFont="1" applyNumberFormat="1">
      <alignment horizontal="center"/>
    </xf>
    <xf borderId="7" fillId="0" fontId="5" numFmtId="2" xfId="0" applyAlignment="1" applyBorder="1" applyFont="1" applyNumberFormat="1">
      <alignment horizontal="center" readingOrder="0"/>
    </xf>
    <xf borderId="0" fillId="0" fontId="1" numFmtId="0" xfId="0" applyFont="1"/>
    <xf borderId="14" fillId="0" fontId="2" numFmtId="0" xfId="0" applyAlignment="1" applyBorder="1" applyFont="1">
      <alignment horizontal="right"/>
    </xf>
    <xf borderId="7" fillId="0" fontId="5" numFmtId="2" xfId="0" applyAlignment="1" applyBorder="1" applyFont="1" applyNumberFormat="1">
      <alignment horizontal="center"/>
    </xf>
    <xf borderId="7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shrinkToFit="0" vertical="center" wrapText="1"/>
    </xf>
    <xf borderId="7" fillId="0" fontId="5" numFmtId="0" xfId="0" applyBorder="1" applyFont="1"/>
    <xf borderId="7" fillId="0" fontId="2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7" fillId="6" fontId="2" numFmtId="0" xfId="0" applyAlignment="1" applyBorder="1" applyFill="1" applyFont="1">
      <alignment horizontal="right"/>
    </xf>
    <xf borderId="7" fillId="0" fontId="2" numFmtId="0" xfId="0" applyAlignment="1" applyBorder="1" applyFont="1">
      <alignment readingOrder="0"/>
    </xf>
    <xf borderId="7" fillId="6" fontId="2" numFmtId="0" xfId="0" applyBorder="1" applyFill="1" applyFont="1"/>
    <xf borderId="9" fillId="6" fontId="2" numFmtId="0" xfId="0" applyAlignment="1" applyBorder="1" applyFill="1" applyFont="1">
      <alignment horizontal="right"/>
    </xf>
    <xf borderId="7" fillId="6" fontId="2" numFmtId="0" xfId="0" applyAlignment="1" applyBorder="1" applyFill="1" applyFont="1">
      <alignment horizontal="center" shrinkToFit="0" wrapText="1"/>
    </xf>
    <xf borderId="7" fillId="0" fontId="2" numFmtId="2" xfId="0" applyAlignment="1" applyBorder="1" applyFont="1" applyNumberFormat="1">
      <alignment horizontal="center" shrinkToFit="0" wrapText="1"/>
    </xf>
    <xf borderId="7" fillId="6" fontId="2" numFmtId="0" xfId="0" applyAlignment="1" applyBorder="1" applyFill="1" applyFont="1">
      <alignment horizontal="center"/>
    </xf>
    <xf borderId="7" fillId="6" fontId="2" numFmtId="2" xfId="0" applyAlignment="1" applyBorder="1" applyFill="1" applyFont="1" applyNumberFormat="1">
      <alignment horizontal="center"/>
    </xf>
    <xf borderId="7" fillId="6" fontId="5" numFmtId="2" xfId="0" applyAlignment="1" applyBorder="1" applyFill="1" applyFont="1" applyNumberFormat="1">
      <alignment horizontal="center" readingOrder="0"/>
    </xf>
    <xf borderId="7" fillId="0" fontId="2" numFmtId="0" xfId="0" applyAlignment="1" applyBorder="1" applyFont="1">
      <alignment shrinkToFit="0" vertical="center" wrapText="1"/>
    </xf>
    <xf borderId="15" fillId="2" fontId="2" numFmtId="0" xfId="0" applyAlignment="1" applyBorder="1" applyFill="1" applyFont="1">
      <alignment shrinkToFit="0" wrapText="1"/>
    </xf>
    <xf borderId="5" fillId="3" fontId="4" numFmtId="0" xfId="0" applyBorder="1" applyFill="1" applyFont="1"/>
    <xf borderId="12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horizontal="center" readingOrder="0" shrinkToFit="0" wrapText="1"/>
    </xf>
    <xf borderId="7" fillId="0" fontId="2" numFmtId="164" xfId="0" applyAlignment="1" applyBorder="1" applyFont="1" applyNumberFormat="1">
      <alignment shrinkToFit="0" wrapText="1"/>
    </xf>
    <xf borderId="0" fillId="0" fontId="5" numFmtId="0" xfId="0" applyFont="1"/>
    <xf borderId="7" fillId="2" fontId="2" numFmtId="0" xfId="0" applyAlignment="1" applyBorder="1" applyFill="1" applyFont="1">
      <alignment readingOrder="0" shrinkToFit="0" vertical="center" wrapText="1"/>
    </xf>
    <xf borderId="12" fillId="0" fontId="2" numFmtId="0" xfId="0" applyAlignment="1" applyBorder="1" applyFont="1">
      <alignment readingOrder="0" shrinkToFit="0" vertical="center" wrapText="1"/>
    </xf>
    <xf borderId="16" fillId="0" fontId="2" numFmtId="0" xfId="0" applyAlignment="1" applyBorder="1" applyFont="1">
      <alignment shrinkToFit="0" wrapText="1"/>
    </xf>
    <xf borderId="17" fillId="0" fontId="2" numFmtId="0" xfId="0" applyAlignment="1" applyBorder="1" applyFont="1">
      <alignment shrinkToFit="0" wrapText="1"/>
    </xf>
    <xf borderId="18" fillId="2" fontId="1" numFmtId="0" xfId="0" applyAlignment="1" applyBorder="1" applyFill="1" applyFont="1">
      <alignment shrinkToFit="0" wrapText="1"/>
    </xf>
    <xf borderId="19" fillId="2" fontId="1" numFmtId="0" xfId="0" applyAlignment="1" applyBorder="1" applyFill="1" applyFont="1">
      <alignment horizontal="center" shrinkToFit="0" wrapText="1"/>
    </xf>
    <xf borderId="20" fillId="2" fontId="1" numFmtId="0" xfId="0" applyAlignment="1" applyBorder="1" applyFill="1" applyFont="1">
      <alignment horizontal="center" shrinkToFit="0" wrapText="1"/>
    </xf>
    <xf borderId="20" fillId="2" fontId="1" numFmtId="0" xfId="0" applyAlignment="1" applyBorder="1" applyFill="1" applyFont="1">
      <alignment horizontal="center" readingOrder="0" shrinkToFit="0" wrapText="1"/>
    </xf>
    <xf borderId="15" fillId="6" fontId="2" numFmtId="0" xfId="0" applyAlignment="1" applyBorder="1" applyFill="1" applyFont="1">
      <alignment shrinkToFit="0" vertical="center" wrapText="1"/>
    </xf>
    <xf borderId="14" fillId="0" fontId="1" numFmtId="0" xfId="0" applyAlignment="1" applyBorder="1" applyFont="1">
      <alignment horizontal="center" shrinkToFit="0" wrapText="1"/>
    </xf>
    <xf borderId="15" fillId="6" fontId="2" numFmtId="0" xfId="0" applyAlignment="1" applyBorder="1" applyFill="1" applyFont="1">
      <alignment horizontal="center" shrinkToFit="0" wrapText="1"/>
    </xf>
    <xf borderId="14" fillId="0" fontId="2" numFmtId="165" xfId="0" applyAlignment="1" applyBorder="1" applyFont="1" applyNumberFormat="1">
      <alignment horizontal="left" readingOrder="0" shrinkToFit="0" wrapText="1"/>
    </xf>
    <xf borderId="15" fillId="6" fontId="1" numFmtId="165" xfId="0" applyAlignment="1" applyBorder="1" applyFill="1" applyFont="1" applyNumberFormat="1">
      <alignment horizontal="left" shrinkToFit="0" wrapText="1"/>
    </xf>
    <xf borderId="7" fillId="6" fontId="2" numFmtId="0" xfId="0" applyAlignment="1" applyBorder="1" applyFill="1" applyFont="1">
      <alignment shrinkToFit="0" vertical="center" wrapText="1"/>
    </xf>
    <xf borderId="7" fillId="0" fontId="2" numFmtId="165" xfId="0" applyAlignment="1" applyBorder="1" applyFont="1" applyNumberFormat="1">
      <alignment horizontal="left" readingOrder="0" shrinkToFit="0" wrapText="1"/>
    </xf>
    <xf borderId="7" fillId="6" fontId="2" numFmtId="165" xfId="0" applyAlignment="1" applyBorder="1" applyFill="1" applyFont="1" applyNumberFormat="1">
      <alignment shrinkToFit="0" wrapText="1"/>
    </xf>
    <xf borderId="7" fillId="6" fontId="2" numFmtId="0" xfId="0" applyAlignment="1" applyBorder="1" applyFill="1" applyFont="1">
      <alignment shrinkToFit="0" wrapText="1"/>
    </xf>
    <xf borderId="7" fillId="0" fontId="2" numFmtId="165" xfId="0" applyAlignment="1" applyBorder="1" applyFont="1" applyNumberFormat="1">
      <alignment horizontal="left" shrinkToFit="0" wrapText="1"/>
    </xf>
    <xf borderId="8" fillId="6" fontId="2" numFmtId="0" xfId="0" applyAlignment="1" applyBorder="1" applyFill="1" applyFont="1">
      <alignment shrinkToFit="0" vertical="center" wrapText="1"/>
    </xf>
    <xf borderId="8" fillId="6" fontId="2" numFmtId="0" xfId="0" applyAlignment="1" applyBorder="1" applyFill="1" applyFont="1">
      <alignment shrinkToFit="0" wrapText="1"/>
    </xf>
    <xf borderId="21" fillId="6" fontId="2" numFmtId="0" xfId="0" applyAlignment="1" applyBorder="1" applyFill="1" applyFont="1">
      <alignment horizontal="center" shrinkToFit="0" wrapText="1"/>
    </xf>
    <xf borderId="7" fillId="6" fontId="6" numFmtId="0" xfId="0" applyAlignment="1" applyBorder="1" applyFill="1" applyFont="1">
      <alignment shrinkToFit="0" wrapText="1"/>
    </xf>
    <xf borderId="7" fillId="0" fontId="2" numFmtId="166" xfId="0" applyAlignment="1" applyBorder="1" applyFont="1" applyNumberFormat="1">
      <alignment horizontal="center" shrinkToFit="0" wrapText="1"/>
    </xf>
    <xf borderId="7" fillId="0" fontId="2" numFmtId="166" xfId="0" applyAlignment="1" applyBorder="1" applyFont="1" applyNumberFormat="1">
      <alignment horizontal="center"/>
    </xf>
    <xf borderId="14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readingOrder="0" shrinkToFit="0" vertical="bottom" wrapText="1"/>
    </xf>
    <xf borderId="7" fillId="0" fontId="4" numFmtId="0" xfId="0" applyAlignment="1" applyBorder="1" applyFont="1">
      <alignment vertical="bottom"/>
    </xf>
    <xf borderId="7" fillId="6" fontId="2" numFmtId="0" xfId="0" applyAlignment="1" applyBorder="1" applyFill="1" applyFont="1">
      <alignment horizontal="center" shrinkToFit="0" vertical="bottom" wrapText="1"/>
    </xf>
    <xf borderId="7" fillId="6" fontId="2" numFmtId="0" xfId="0" applyAlignment="1" applyBorder="1" applyFill="1" applyFont="1">
      <alignment horizontal="center" readingOrder="0" shrinkToFit="0" wrapText="1"/>
    </xf>
    <xf borderId="7" fillId="6" fontId="5" numFmtId="0" xfId="0" applyAlignment="1" applyBorder="1" applyFill="1" applyFont="1">
      <alignment shrinkToFit="0" vertical="center" wrapText="1"/>
    </xf>
    <xf borderId="7" fillId="0" fontId="2" numFmtId="0" xfId="0" applyAlignment="1" applyBorder="1" applyFont="1">
      <alignment horizontal="center" readingOrder="0"/>
    </xf>
    <xf borderId="7" fillId="0" fontId="2" numFmtId="165" xfId="0" applyAlignment="1" applyBorder="1" applyFont="1" applyNumberFormat="1">
      <alignment shrinkToFit="0" vertical="bottom" wrapText="1"/>
    </xf>
    <xf borderId="7" fillId="0" fontId="2" numFmtId="49" xfId="0" applyAlignment="1" applyBorder="1" applyFont="1" applyNumberFormat="1">
      <alignment horizontal="right"/>
    </xf>
    <xf borderId="7" fillId="6" fontId="7" numFmtId="0" xfId="0" applyAlignment="1" applyBorder="1" applyFill="1" applyFont="1">
      <alignment shrinkToFit="0" wrapText="1"/>
    </xf>
    <xf borderId="7" fillId="0" fontId="2" numFmtId="49" xfId="0" applyAlignment="1" applyBorder="1" applyFont="1" applyNumberFormat="1">
      <alignment shrinkToFit="0" vertical="center" wrapText="1"/>
    </xf>
    <xf borderId="7" fillId="0" fontId="4" numFmtId="165" xfId="0" applyAlignment="1" applyBorder="1" applyFont="1" applyNumberFormat="1">
      <alignment vertical="bottom"/>
    </xf>
    <xf borderId="7" fillId="0" fontId="2" numFmtId="49" xfId="0" applyBorder="1" applyFont="1" applyNumberFormat="1"/>
    <xf borderId="7" fillId="0" fontId="2" numFmtId="0" xfId="0" applyAlignment="1" applyBorder="1" applyFont="1">
      <alignment shrinkToFit="0" vertical="bottom" wrapText="1"/>
    </xf>
    <xf borderId="7" fillId="0" fontId="1" numFmtId="0" xfId="0" applyAlignment="1" applyBorder="1" applyFont="1">
      <alignment horizontal="center" readingOrder="0" shrinkToFit="0" wrapText="1"/>
    </xf>
    <xf borderId="7" fillId="6" fontId="2" numFmtId="0" xfId="0" applyAlignment="1" applyBorder="1" applyFill="1" applyFont="1">
      <alignment horizontal="center" readingOrder="0" shrinkToFit="0" vertical="bottom" wrapText="1"/>
    </xf>
    <xf borderId="7" fillId="6" fontId="2" numFmtId="0" xfId="0" applyAlignment="1" applyBorder="1" applyFill="1" applyFont="1">
      <alignment readingOrder="0" shrinkToFit="0" vertical="bottom" wrapText="1"/>
    </xf>
    <xf borderId="7" fillId="6" fontId="4" numFmtId="0" xfId="0" applyAlignment="1" applyBorder="1" applyFill="1" applyFont="1">
      <alignment vertical="bottom"/>
    </xf>
    <xf borderId="7" fillId="6" fontId="2" numFmtId="0" xfId="0" applyAlignment="1" applyBorder="1" applyFill="1" applyFont="1">
      <alignment readingOrder="0" shrinkToFit="0" vertical="center" wrapText="1"/>
    </xf>
    <xf borderId="7" fillId="0" fontId="2" numFmtId="49" xfId="0" applyAlignment="1" applyBorder="1" applyFont="1" applyNumberFormat="1">
      <alignment horizontal="right" shrinkToFit="0" wrapText="1"/>
    </xf>
    <xf borderId="7" fillId="0" fontId="2" numFmtId="0" xfId="0" applyAlignment="1" applyBorder="1" applyFont="1">
      <alignment horizontal="center" shrinkToFit="0" vertical="bottom" wrapText="1"/>
    </xf>
    <xf borderId="12" fillId="0" fontId="2" numFmtId="165" xfId="0" applyAlignment="1" applyBorder="1" applyFont="1" applyNumberFormat="1">
      <alignment horizontal="left" shrinkToFit="0" wrapText="1"/>
    </xf>
    <xf borderId="7" fillId="0" fontId="4" numFmtId="0" xfId="0" applyBorder="1" applyFont="1"/>
    <xf borderId="12" fillId="0" fontId="2" numFmtId="0" xfId="0" applyAlignment="1" applyBorder="1" applyFont="1">
      <alignment horizontal="right"/>
    </xf>
    <xf borderId="7" fillId="6" fontId="1" numFmtId="0" xfId="0" applyAlignment="1" applyBorder="1" applyFill="1" applyFont="1">
      <alignment horizontal="left" shrinkToFit="0" wrapText="1"/>
    </xf>
    <xf borderId="7" fillId="7" fontId="2" numFmtId="0" xfId="0" applyAlignment="1" applyBorder="1" applyFill="1" applyFont="1">
      <alignment vertical="top"/>
    </xf>
    <xf borderId="7" fillId="6" fontId="2" numFmtId="0" xfId="0" applyAlignment="1" applyBorder="1" applyFill="1" applyFont="1">
      <alignment vertical="bottom"/>
    </xf>
    <xf borderId="7" fillId="7" fontId="2" numFmtId="0" xfId="0" applyAlignment="1" applyBorder="1" applyFill="1" applyFont="1">
      <alignment horizontal="left" vertical="top"/>
    </xf>
    <xf borderId="8" fillId="6" fontId="2" numFmtId="165" xfId="0" applyAlignment="1" applyBorder="1" applyFill="1" applyFont="1" applyNumberFormat="1">
      <alignment horizontal="left" shrinkToFit="0" wrapText="1"/>
    </xf>
    <xf borderId="7" fillId="7" fontId="1" numFmtId="1" xfId="0" applyBorder="1" applyFill="1" applyFont="1" applyNumberFormat="1"/>
    <xf borderId="7" fillId="6" fontId="1" numFmtId="165" xfId="0" applyAlignment="1" applyBorder="1" applyFill="1" applyFont="1" applyNumberFormat="1">
      <alignment horizontal="left" shrinkToFit="0" wrapText="1"/>
    </xf>
    <xf borderId="7" fillId="7" fontId="1" numFmtId="1" xfId="0" applyAlignment="1" applyBorder="1" applyFill="1" applyFont="1" applyNumberFormat="1">
      <alignment horizontal="right"/>
    </xf>
    <xf borderId="7" fillId="0" fontId="8" numFmtId="0" xfId="0" applyBorder="1" applyFont="1"/>
    <xf borderId="7" fillId="8" fontId="2" numFmtId="0" xfId="0" applyAlignment="1" applyBorder="1" applyFill="1" applyFont="1">
      <alignment horizontal="center" vertical="bottom"/>
    </xf>
    <xf borderId="7" fillId="7" fontId="1" numFmtId="1" xfId="0" applyAlignment="1" applyBorder="1" applyFill="1" applyFont="1" applyNumberFormat="1">
      <alignment horizontal="center"/>
    </xf>
    <xf borderId="7" fillId="7" fontId="2" numFmtId="1" xfId="0" applyAlignment="1" applyBorder="1" applyFill="1" applyFont="1" applyNumberFormat="1">
      <alignment horizontal="center"/>
    </xf>
    <xf borderId="12" fillId="6" fontId="2" numFmtId="165" xfId="0" applyAlignment="1" applyBorder="1" applyFill="1" applyFont="1" applyNumberFormat="1">
      <alignment horizontal="left" shrinkToFit="0" wrapText="1"/>
    </xf>
    <xf borderId="7" fillId="7" fontId="2" numFmtId="2" xfId="0" applyAlignment="1" applyBorder="1" applyFill="1" applyFont="1" applyNumberFormat="1">
      <alignment horizontal="center"/>
    </xf>
    <xf borderId="7" fillId="6" fontId="2" numFmtId="165" xfId="0" applyAlignment="1" applyBorder="1" applyFill="1" applyFont="1" applyNumberFormat="1">
      <alignment horizontal="left" shrinkToFit="0" wrapText="1"/>
    </xf>
    <xf borderId="9" fillId="5" fontId="1" numFmtId="0" xfId="0" applyAlignment="1" applyBorder="1" applyFill="1" applyFont="1">
      <alignment horizontal="center"/>
    </xf>
    <xf borderId="7" fillId="9" fontId="2" numFmtId="0" xfId="0" applyAlignment="1" applyBorder="1" applyFill="1" applyFont="1">
      <alignment vertical="bottom"/>
    </xf>
    <xf borderId="22" fillId="0" fontId="3" numFmtId="0" xfId="0" applyBorder="1" applyFont="1"/>
    <xf borderId="7" fillId="9" fontId="2" numFmtId="0" xfId="0" applyAlignment="1" applyBorder="1" applyFill="1" applyFont="1">
      <alignment shrinkToFit="0" vertical="bottom" wrapText="1"/>
    </xf>
    <xf borderId="7" fillId="9" fontId="4" numFmtId="0" xfId="0" applyAlignment="1" applyBorder="1" applyFill="1" applyFont="1">
      <alignment vertical="bottom"/>
    </xf>
    <xf borderId="7" fillId="5" fontId="1" numFmtId="0" xfId="0" applyBorder="1" applyFill="1" applyFont="1"/>
    <xf borderId="7" fillId="9" fontId="2" numFmtId="0" xfId="0" applyAlignment="1" applyBorder="1" applyFill="1" applyFont="1">
      <alignment horizontal="center" readingOrder="0" vertical="bottom"/>
    </xf>
    <xf borderId="7" fillId="5" fontId="1" numFmtId="0" xfId="0" applyAlignment="1" applyBorder="1" applyFill="1" applyFont="1">
      <alignment horizontal="center"/>
    </xf>
    <xf borderId="7" fillId="9" fontId="2" numFmtId="165" xfId="0" applyAlignment="1" applyBorder="1" applyFill="1" applyFont="1" applyNumberFormat="1">
      <alignment vertical="bottom"/>
    </xf>
    <xf borderId="23" fillId="9" fontId="1" numFmtId="165" xfId="0" applyAlignment="1" applyBorder="1" applyFill="1" applyFont="1" applyNumberFormat="1">
      <alignment vertical="bottom"/>
    </xf>
    <xf borderId="7" fillId="5" fontId="1" numFmtId="2" xfId="0" applyAlignment="1" applyBorder="1" applyFill="1" applyFont="1" applyNumberFormat="1">
      <alignment horizontal="center"/>
    </xf>
    <xf borderId="7" fillId="0" fontId="2" numFmtId="0" xfId="0" applyAlignment="1" applyBorder="1" applyFont="1">
      <alignment horizontal="left"/>
    </xf>
    <xf borderId="24" fillId="0" fontId="2" numFmtId="0" xfId="0" applyAlignment="1" applyBorder="1" applyFont="1">
      <alignment shrinkToFit="0" wrapText="1"/>
    </xf>
    <xf borderId="7" fillId="0" fontId="2" numFmtId="167" xfId="0" applyAlignment="1" applyBorder="1" applyFont="1" applyNumberFormat="1">
      <alignment horizontal="center" shrinkToFit="0" wrapText="1"/>
    </xf>
    <xf borderId="25" fillId="0" fontId="2" numFmtId="0" xfId="0" applyAlignment="1" applyBorder="1" applyFont="1">
      <alignment shrinkToFit="0" wrapText="1"/>
    </xf>
    <xf borderId="26" fillId="2" fontId="1" numFmtId="0" xfId="0" applyAlignment="1" applyBorder="1" applyFill="1" applyFont="1">
      <alignment horizontal="left" shrinkToFit="0" wrapText="1"/>
    </xf>
    <xf borderId="27" fillId="6" fontId="1" numFmtId="165" xfId="0" applyAlignment="1" applyBorder="1" applyFill="1" applyFont="1" applyNumberFormat="1">
      <alignment horizontal="left" shrinkToFit="0" wrapText="1"/>
    </xf>
    <xf borderId="7" fillId="0" fontId="2" numFmtId="0" xfId="0" applyAlignment="1" applyBorder="1" applyFont="1">
      <alignment horizontal="left" readingOrder="0"/>
    </xf>
    <xf borderId="0" fillId="2" fontId="1" numFmtId="0" xfId="0" applyAlignment="1" applyFill="1" applyFont="1">
      <alignment horizontal="left" shrinkToFit="0" wrapText="1"/>
    </xf>
    <xf borderId="28" fillId="2" fontId="1" numFmtId="0" xfId="0" applyAlignment="1" applyBorder="1" applyFill="1" applyFont="1">
      <alignment horizontal="left" shrinkToFit="0" wrapText="1"/>
    </xf>
    <xf borderId="29" fillId="0" fontId="2" numFmtId="0" xfId="0" applyAlignment="1" applyBorder="1" applyFont="1">
      <alignment shrinkToFit="0" wrapText="1"/>
    </xf>
    <xf borderId="30" fillId="0" fontId="2" numFmtId="0" xfId="0" applyAlignment="1" applyBorder="1" applyFont="1">
      <alignment shrinkToFit="0" wrapText="1"/>
    </xf>
    <xf borderId="31" fillId="2" fontId="1" numFmtId="9" xfId="0" applyAlignment="1" applyBorder="1" applyFill="1" applyFont="1" applyNumberFormat="1">
      <alignment horizontal="left" shrinkToFit="0" wrapText="1"/>
    </xf>
    <xf borderId="32" fillId="6" fontId="1" numFmtId="165" xfId="0" applyAlignment="1" applyBorder="1" applyFill="1" applyFont="1" applyNumberFormat="1">
      <alignment horizontal="left" shrinkToFit="0" wrapText="1"/>
    </xf>
    <xf borderId="0" fillId="2" fontId="1" numFmtId="9" xfId="0" applyAlignment="1" applyFill="1" applyFont="1" applyNumberFormat="1">
      <alignment horizontal="left" shrinkToFit="0" wrapText="1"/>
    </xf>
    <xf borderId="33" fillId="2" fontId="1" numFmtId="0" xfId="0" applyAlignment="1" applyBorder="1" applyFill="1" applyFont="1">
      <alignment horizontal="left" shrinkToFit="0" wrapText="1"/>
    </xf>
    <xf borderId="34" fillId="6" fontId="1" numFmtId="165" xfId="0" applyAlignment="1" applyBorder="1" applyFill="1" applyFont="1" applyNumberFormat="1">
      <alignment horizontal="left" shrinkToFit="0" wrapText="1"/>
    </xf>
    <xf borderId="18" fillId="0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left" readingOrder="0" vertical="center"/>
    </xf>
    <xf borderId="35" fillId="0" fontId="3" numFmtId="0" xfId="0" applyBorder="1" applyFont="1"/>
    <xf borderId="36" fillId="0" fontId="3" numFmtId="0" xfId="0" applyBorder="1" applyFont="1"/>
    <xf borderId="0" fillId="8" fontId="2" numFmtId="0" xfId="0" applyFill="1" applyFont="1"/>
    <xf borderId="7" fillId="5" fontId="2" numFmtId="0" xfId="0" applyBorder="1" applyFill="1" applyFont="1"/>
    <xf borderId="7" fillId="0" fontId="2" numFmtId="167" xfId="0" applyAlignment="1" applyBorder="1" applyFont="1" applyNumberFormat="1">
      <alignment horizontal="center" shrinkToFit="0" vertical="center" wrapText="1"/>
    </xf>
    <xf borderId="9" fillId="0" fontId="5" numFmtId="2" xfId="0" applyAlignment="1" applyBorder="1" applyFont="1" applyNumberFormat="1">
      <alignment horizontal="center" readingOrder="0"/>
    </xf>
    <xf borderId="37" fillId="0" fontId="2" numFmtId="0" xfId="0" applyBorder="1" applyFont="1"/>
    <xf borderId="0" fillId="0" fontId="5" numFmtId="2" xfId="0" applyAlignment="1" applyFont="1" applyNumberFormat="1">
      <alignment horizontal="center" readingOrder="0"/>
    </xf>
    <xf borderId="9" fillId="0" fontId="5" numFmtId="2" xfId="0" applyAlignment="1" applyBorder="1" applyFont="1" applyNumberFormat="1">
      <alignment horizontal="center"/>
    </xf>
    <xf borderId="0" fillId="0" fontId="5" numFmtId="2" xfId="0" applyAlignment="1" applyFont="1" applyNumberFormat="1">
      <alignment horizontal="center"/>
    </xf>
    <xf borderId="7" fillId="0" fontId="2" numFmtId="0" xfId="0" applyAlignment="1" applyBorder="1" applyFont="1">
      <alignment horizontal="right" shrinkToFit="0" vertical="center" wrapText="1"/>
    </xf>
    <xf borderId="37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0" fillId="3" fontId="8" numFmtId="0" xfId="0" applyAlignment="1" applyFill="1" applyFont="1">
      <alignment readingOrder="0"/>
    </xf>
    <xf borderId="7" fillId="0" fontId="9" numFmtId="0" xfId="0" applyAlignment="1" applyBorder="1" applyFont="1">
      <alignment horizontal="right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7" fillId="0" fontId="2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right" shrinkToFit="0" vertical="center" wrapText="1"/>
    </xf>
    <xf borderId="38" fillId="0" fontId="3" numFmtId="0" xfId="0" applyBorder="1" applyFont="1"/>
    <xf borderId="9" fillId="0" fontId="2" numFmtId="0" xfId="0" applyBorder="1" applyFont="1"/>
    <xf borderId="7" fillId="10" fontId="2" numFmtId="0" xfId="0" applyAlignment="1" applyBorder="1" applyFill="1" applyFont="1">
      <alignment vertical="center"/>
    </xf>
    <xf borderId="7" fillId="0" fontId="5" numFmtId="0" xfId="0" applyAlignment="1" applyBorder="1" applyFont="1">
      <alignment horizontal="center" readingOrder="0"/>
    </xf>
    <xf borderId="7" fillId="0" fontId="2" numFmtId="0" xfId="0" applyAlignment="1" applyBorder="1" applyFont="1">
      <alignment vertical="center"/>
    </xf>
    <xf borderId="0" fillId="0" fontId="2" numFmtId="167" xfId="0" applyAlignment="1" applyFont="1" applyNumberFormat="1">
      <alignment horizontal="center" shrinkToFit="0" wrapText="1"/>
    </xf>
    <xf borderId="0" fillId="0" fontId="2" numFmtId="2" xfId="0" applyAlignment="1" applyFont="1" applyNumberFormat="1">
      <alignment horizontal="center"/>
    </xf>
    <xf borderId="37" fillId="0" fontId="2" numFmtId="49" xfId="0" applyAlignment="1" applyBorder="1" applyFont="1" applyNumberFormat="1">
      <alignment shrinkToFit="0" vertical="center" wrapText="1"/>
    </xf>
    <xf borderId="0" fillId="0" fontId="2" numFmtId="0" xfId="0" applyAlignment="1" applyFont="1">
      <alignment horizontal="center" readingOrder="0" shrinkToFit="0" wrapText="1"/>
    </xf>
    <xf borderId="37" fillId="0" fontId="2" numFmtId="0" xfId="0" applyAlignment="1" applyBorder="1" applyFont="1">
      <alignment shrinkToFit="0" wrapText="1"/>
    </xf>
    <xf borderId="37" fillId="0" fontId="2" numFmtId="0" xfId="0" applyAlignment="1" applyBorder="1" applyFont="1">
      <alignment horizontal="right"/>
    </xf>
    <xf borderId="0" fillId="0" fontId="2" numFmtId="0" xfId="0" applyAlignment="1" applyFont="1">
      <alignment horizontal="left"/>
    </xf>
    <xf borderId="7" fillId="5" fontId="1" numFmtId="0" xfId="0" applyAlignment="1" applyBorder="1" applyFill="1" applyFont="1">
      <alignment horizontal="center" readingOrder="0"/>
    </xf>
    <xf borderId="9" fillId="5" fontId="1" numFmtId="2" xfId="0" applyAlignment="1" applyBorder="1" applyFill="1" applyFont="1" applyNumberFormat="1">
      <alignment horizontal="center"/>
    </xf>
    <xf borderId="7" fillId="6" fontId="10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51</xdr:row>
      <xdr:rowOff>152400</xdr:rowOff>
    </xdr:from>
    <xdr:ext cx="209550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43.14"/>
    <col customWidth="1" min="3" max="6" width="11.43"/>
    <col customWidth="1" min="7" max="7" width="12.86"/>
    <col customWidth="1" min="8" max="27" width="10.71"/>
  </cols>
  <sheetData>
    <row r="1" ht="13.5" customHeight="1">
      <c r="A1" s="4" t="s">
        <v>2</v>
      </c>
      <c r="B1" s="6"/>
      <c r="C1" s="3"/>
      <c r="D1" s="3"/>
      <c r="E1" s="3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3.5" customHeight="1">
      <c r="A2" s="13" t="s">
        <v>8</v>
      </c>
      <c r="B2" s="15"/>
      <c r="C2" s="3"/>
      <c r="D2" s="3"/>
      <c r="E2" s="3"/>
      <c r="F2" s="3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3.5" customHeight="1">
      <c r="A3" s="17" t="s">
        <v>15</v>
      </c>
      <c r="B3" s="19">
        <v>45996.0</v>
      </c>
      <c r="C3" s="3"/>
      <c r="D3" s="3"/>
      <c r="E3" s="3"/>
      <c r="F3" s="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3.5" customHeight="1">
      <c r="A4" s="23" t="s">
        <v>19</v>
      </c>
      <c r="B4" s="25" t="s">
        <v>21</v>
      </c>
      <c r="C4" s="3"/>
      <c r="D4" s="3"/>
      <c r="E4" s="3"/>
      <c r="F4" s="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3.5" customHeight="1">
      <c r="A5" s="30" t="s">
        <v>25</v>
      </c>
      <c r="B5" s="33" t="s">
        <v>1</v>
      </c>
      <c r="C5" s="3"/>
      <c r="D5" s="3"/>
      <c r="E5" s="3"/>
      <c r="F5" s="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3.5" customHeight="1">
      <c r="A6" s="37" t="s">
        <v>0</v>
      </c>
      <c r="B6" s="33" t="s">
        <v>1</v>
      </c>
      <c r="C6" s="3"/>
      <c r="D6" s="3"/>
      <c r="E6" s="3"/>
      <c r="F6" s="3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3.5" customHeight="1">
      <c r="A7" s="37" t="s">
        <v>36</v>
      </c>
      <c r="B7" s="33" t="s">
        <v>37</v>
      </c>
      <c r="C7" s="3"/>
      <c r="D7" s="3"/>
      <c r="E7" s="3"/>
      <c r="F7" s="3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3.5" customHeight="1">
      <c r="A8" s="37" t="s">
        <v>38</v>
      </c>
      <c r="B8" s="33" t="s">
        <v>39</v>
      </c>
      <c r="C8" s="3"/>
      <c r="D8" s="3"/>
      <c r="E8" s="3"/>
      <c r="F8" s="3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3.5" customHeight="1">
      <c r="A9" s="37" t="s">
        <v>41</v>
      </c>
      <c r="B9" s="33" t="s">
        <v>42</v>
      </c>
      <c r="C9" s="3"/>
      <c r="D9" s="3"/>
      <c r="E9" s="3"/>
      <c r="F9" s="3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3.5" customHeight="1">
      <c r="A10" s="46" t="s">
        <v>44</v>
      </c>
      <c r="B10" s="47"/>
      <c r="C10" s="3"/>
      <c r="D10" s="3"/>
      <c r="E10" s="3"/>
      <c r="F10" s="3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3.5" customHeight="1">
      <c r="A11" s="37" t="s">
        <v>46</v>
      </c>
      <c r="B11" s="49">
        <v>7.0</v>
      </c>
      <c r="C11" s="3"/>
      <c r="D11" s="3"/>
      <c r="E11" s="3"/>
      <c r="F11" s="3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3.5" customHeight="1">
      <c r="A12" s="37" t="s">
        <v>47</v>
      </c>
      <c r="B12" s="49">
        <v>2.0</v>
      </c>
      <c r="C12" s="3"/>
      <c r="D12" s="3"/>
      <c r="E12" s="3"/>
      <c r="F12" s="3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3.5" customHeight="1">
      <c r="A13" s="37" t="s">
        <v>49</v>
      </c>
      <c r="B13" s="49">
        <v>12.0</v>
      </c>
      <c r="C13" s="3"/>
      <c r="D13" s="3"/>
      <c r="E13" s="3"/>
      <c r="F13" s="3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3.5" customHeight="1">
      <c r="A14" s="37" t="s">
        <v>51</v>
      </c>
      <c r="B14" s="49" t="s">
        <v>52</v>
      </c>
      <c r="C14" s="3"/>
      <c r="D14" s="3"/>
      <c r="E14" s="3"/>
      <c r="F14" s="3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3.5" customHeight="1">
      <c r="A15" s="37" t="s">
        <v>54</v>
      </c>
      <c r="B15" s="49">
        <v>2.0</v>
      </c>
      <c r="C15" s="3"/>
      <c r="D15" s="3"/>
      <c r="E15" s="3"/>
      <c r="F15" s="3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3.5" customHeight="1">
      <c r="A16" s="37" t="s">
        <v>55</v>
      </c>
      <c r="B16" s="33" t="s">
        <v>56</v>
      </c>
      <c r="C16" s="3"/>
      <c r="D16" s="3"/>
      <c r="E16" s="3"/>
      <c r="F16" s="3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3.5" customHeight="1">
      <c r="A17" s="37" t="s">
        <v>57</v>
      </c>
      <c r="B17" s="33" t="s">
        <v>58</v>
      </c>
      <c r="C17" s="3"/>
      <c r="D17" s="3"/>
      <c r="E17" s="3"/>
      <c r="F17" s="3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3.5" customHeight="1">
      <c r="A18" s="37" t="s">
        <v>61</v>
      </c>
      <c r="B18" s="33" t="s">
        <v>63</v>
      </c>
      <c r="C18" s="3"/>
      <c r="D18" s="3"/>
      <c r="E18" s="3"/>
      <c r="F18" s="3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3.5" customHeight="1">
      <c r="A19" s="46" t="s">
        <v>64</v>
      </c>
      <c r="B19" s="47"/>
      <c r="C19" s="3"/>
      <c r="D19" s="3"/>
      <c r="E19" s="3"/>
      <c r="F19" s="3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3.5" customHeight="1">
      <c r="A20" s="57" t="s">
        <v>68</v>
      </c>
      <c r="B20" s="58" t="s">
        <v>71</v>
      </c>
      <c r="C20" s="3"/>
      <c r="D20" s="3"/>
      <c r="E20" s="3"/>
      <c r="F20" s="3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3.5" customHeight="1">
      <c r="A21" s="37" t="s">
        <v>72</v>
      </c>
      <c r="B21" s="59" t="s">
        <v>74</v>
      </c>
      <c r="C21" s="3"/>
      <c r="D21" s="3"/>
      <c r="E21" s="3"/>
      <c r="F21" s="3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3.5" customHeight="1">
      <c r="A22" s="37" t="s">
        <v>75</v>
      </c>
      <c r="B22" s="33" t="s">
        <v>76</v>
      </c>
      <c r="C22" s="3"/>
      <c r="D22" s="3"/>
      <c r="E22" s="3"/>
      <c r="F22" s="3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3.5" customHeight="1">
      <c r="A23" s="37" t="s">
        <v>78</v>
      </c>
      <c r="B23" s="33"/>
      <c r="C23" s="3"/>
      <c r="D23" s="3"/>
      <c r="E23" s="3"/>
      <c r="F23" s="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3.5" customHeight="1">
      <c r="A24" s="37" t="s">
        <v>81</v>
      </c>
      <c r="B24" s="33" t="s">
        <v>82</v>
      </c>
      <c r="C24" s="3"/>
      <c r="D24" s="3"/>
      <c r="E24" s="3"/>
      <c r="F24" s="3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3.5" customHeight="1">
      <c r="A25" s="37" t="s">
        <v>85</v>
      </c>
      <c r="B25" s="33" t="s">
        <v>86</v>
      </c>
      <c r="C25" s="3"/>
      <c r="D25" s="3"/>
      <c r="E25" s="3"/>
      <c r="F25" s="3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3.5" customHeight="1">
      <c r="A26" s="37" t="s">
        <v>87</v>
      </c>
      <c r="B26" s="33" t="s">
        <v>88</v>
      </c>
      <c r="C26" s="3"/>
      <c r="D26" s="3"/>
      <c r="E26" s="3"/>
      <c r="F26" s="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3.5" customHeight="1">
      <c r="A27" s="37" t="s">
        <v>91</v>
      </c>
      <c r="B27" s="33" t="s">
        <v>92</v>
      </c>
      <c r="C27" s="3"/>
      <c r="D27" s="3"/>
      <c r="E27" s="3"/>
      <c r="F27" s="3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3.5" customHeight="1">
      <c r="A28" s="37" t="s">
        <v>93</v>
      </c>
      <c r="B28" s="33" t="s">
        <v>94</v>
      </c>
      <c r="C28" s="3"/>
      <c r="D28" s="3"/>
      <c r="E28" s="3"/>
      <c r="F28" s="3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3.5" customHeight="1">
      <c r="A29" s="37" t="s">
        <v>98</v>
      </c>
      <c r="B29" s="59" t="s">
        <v>88</v>
      </c>
      <c r="C29" s="3"/>
      <c r="D29" s="3"/>
      <c r="E29" s="3"/>
      <c r="F29" s="3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3.5" customHeight="1">
      <c r="A30" s="37" t="s">
        <v>101</v>
      </c>
      <c r="B30" s="59" t="s">
        <v>88</v>
      </c>
      <c r="C30" s="3"/>
      <c r="D30" s="3"/>
      <c r="E30" s="3"/>
      <c r="F30" s="3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3.5" customHeight="1">
      <c r="A31" s="46" t="s">
        <v>104</v>
      </c>
      <c r="B31" s="47"/>
      <c r="C31" s="3"/>
      <c r="D31" s="3"/>
      <c r="E31" s="3"/>
      <c r="F31" s="3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3.5" customHeight="1">
      <c r="A32" s="37" t="s">
        <v>105</v>
      </c>
      <c r="B32" s="33" t="s">
        <v>106</v>
      </c>
      <c r="C32" s="3"/>
      <c r="D32" s="3"/>
      <c r="E32" s="3"/>
      <c r="F32" s="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3.5" customHeight="1">
      <c r="A33" s="37" t="s">
        <v>107</v>
      </c>
      <c r="B33" s="33" t="s">
        <v>108</v>
      </c>
      <c r="C33" s="3"/>
      <c r="D33" s="3"/>
      <c r="E33" s="3"/>
      <c r="F33" s="3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3.5" customHeight="1">
      <c r="A34" s="37" t="s">
        <v>109</v>
      </c>
      <c r="B34" s="33" t="s">
        <v>106</v>
      </c>
      <c r="C34" s="3"/>
      <c r="D34" s="3"/>
      <c r="E34" s="3"/>
      <c r="F34" s="3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3.5" customHeight="1">
      <c r="A35" s="37" t="s">
        <v>111</v>
      </c>
      <c r="B35" s="49">
        <v>3689.0</v>
      </c>
      <c r="C35" s="3"/>
      <c r="D35" s="3"/>
      <c r="E35" s="3"/>
      <c r="F35" s="3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3.5" customHeight="1">
      <c r="A36" s="57" t="s">
        <v>112</v>
      </c>
      <c r="B36" s="33" t="s">
        <v>76</v>
      </c>
      <c r="C36" s="3"/>
      <c r="D36" s="3"/>
      <c r="E36" s="3"/>
      <c r="F36" s="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3.5" customHeight="1">
      <c r="A37" s="37" t="s">
        <v>116</v>
      </c>
      <c r="B37" s="33" t="s">
        <v>76</v>
      </c>
      <c r="C37" s="3"/>
      <c r="D37" s="3"/>
      <c r="E37" s="3"/>
      <c r="F37" s="3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3.5" customHeight="1">
      <c r="A38" s="37" t="s">
        <v>117</v>
      </c>
      <c r="B38" s="33" t="s">
        <v>76</v>
      </c>
      <c r="C38" s="3"/>
      <c r="D38" s="3"/>
      <c r="E38" s="3"/>
      <c r="F38" s="3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3.5" customHeight="1">
      <c r="A39" s="37" t="s">
        <v>109</v>
      </c>
      <c r="B39" s="33" t="s">
        <v>76</v>
      </c>
      <c r="C39" s="3"/>
      <c r="D39" s="3"/>
      <c r="E39" s="3"/>
      <c r="F39" s="3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3.5" customHeight="1">
      <c r="A40" s="57" t="s">
        <v>119</v>
      </c>
      <c r="B40" s="33" t="s">
        <v>76</v>
      </c>
      <c r="C40" s="3"/>
      <c r="D40" s="3"/>
      <c r="E40" s="3"/>
      <c r="F40" s="3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3.5" customHeight="1">
      <c r="A41" s="37" t="s">
        <v>122</v>
      </c>
      <c r="B41" s="33" t="s">
        <v>76</v>
      </c>
      <c r="C41" s="3"/>
      <c r="D41" s="3"/>
      <c r="E41" s="3"/>
      <c r="F41" s="3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3.5" customHeight="1">
      <c r="A42" s="37" t="s">
        <v>122</v>
      </c>
      <c r="B42" s="33" t="s">
        <v>76</v>
      </c>
      <c r="C42" s="3"/>
      <c r="D42" s="3"/>
      <c r="E42" s="3"/>
      <c r="F42" s="3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3.5" customHeight="1">
      <c r="A43" s="37" t="s">
        <v>122</v>
      </c>
      <c r="B43" s="33" t="s">
        <v>76</v>
      </c>
      <c r="C43" s="3"/>
      <c r="D43" s="3"/>
      <c r="E43" s="3"/>
      <c r="F43" s="3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3.5" customHeight="1">
      <c r="A44" s="46" t="s">
        <v>126</v>
      </c>
      <c r="B44" s="71"/>
      <c r="C44" s="3"/>
      <c r="D44" s="3"/>
      <c r="E44" s="3"/>
      <c r="F44" s="3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3.5" customHeight="1">
      <c r="A45" s="70" t="s">
        <v>128</v>
      </c>
      <c r="B45" s="73"/>
      <c r="C45" s="3"/>
      <c r="D45" s="3"/>
      <c r="E45" s="3"/>
      <c r="F45" s="3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3.5" customHeight="1">
      <c r="A46" s="37" t="s">
        <v>134</v>
      </c>
      <c r="B46" s="33" t="s">
        <v>135</v>
      </c>
      <c r="C46" s="3"/>
      <c r="D46" s="3"/>
      <c r="E46" s="3"/>
      <c r="F46" s="3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3.5" customHeight="1">
      <c r="A47" s="37" t="s">
        <v>136</v>
      </c>
      <c r="B47" s="33" t="s">
        <v>137</v>
      </c>
      <c r="C47" s="3"/>
      <c r="D47" s="3"/>
      <c r="E47" s="3"/>
      <c r="F47" s="3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3.5" customHeight="1">
      <c r="A48" s="46" t="s">
        <v>139</v>
      </c>
      <c r="B48" s="71"/>
      <c r="C48" s="3"/>
      <c r="D48" s="3"/>
      <c r="E48" s="3"/>
      <c r="F48" s="3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3.5" customHeight="1">
      <c r="A49" s="70" t="s">
        <v>140</v>
      </c>
      <c r="B49" s="76" t="s">
        <v>141</v>
      </c>
      <c r="C49" s="3"/>
      <c r="D49" s="3"/>
      <c r="E49" s="3"/>
      <c r="F49" s="3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3.5" customHeight="1">
      <c r="A50" s="70" t="s">
        <v>145</v>
      </c>
      <c r="B50" s="77" t="s">
        <v>146</v>
      </c>
      <c r="C50" s="3"/>
      <c r="D50" s="3"/>
      <c r="E50" s="3"/>
      <c r="F50" s="3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3.5" customHeight="1">
      <c r="A51" s="33" t="s">
        <v>150</v>
      </c>
      <c r="B51" s="33"/>
      <c r="C51" s="3"/>
      <c r="D51" s="3"/>
      <c r="E51" s="3"/>
      <c r="F51" s="3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3.5" customHeight="1">
      <c r="A52" s="46" t="s">
        <v>151</v>
      </c>
      <c r="B52" s="25"/>
      <c r="C52" s="3"/>
      <c r="D52" s="3"/>
      <c r="E52" s="3"/>
      <c r="F52" s="3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3.5" customHeight="1">
      <c r="A53" s="70" t="s">
        <v>155</v>
      </c>
      <c r="B53" s="33" t="s">
        <v>156</v>
      </c>
      <c r="C53" s="3"/>
      <c r="D53" s="3"/>
      <c r="E53" s="3"/>
      <c r="F53" s="3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3.5" customHeight="1">
      <c r="A54" s="70" t="s">
        <v>158</v>
      </c>
      <c r="B54" s="33" t="s">
        <v>94</v>
      </c>
      <c r="C54" s="3"/>
      <c r="D54" s="3"/>
      <c r="E54" s="3"/>
      <c r="F54" s="3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3.5" customHeight="1">
      <c r="A55" s="46" t="s">
        <v>161</v>
      </c>
      <c r="B55" s="78"/>
      <c r="C55" s="3"/>
      <c r="D55" s="3"/>
      <c r="E55" s="3"/>
      <c r="F55" s="3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3.5" customHeight="1">
      <c r="A56" s="73"/>
      <c r="B56" s="79" t="s">
        <v>164</v>
      </c>
      <c r="C56" s="3"/>
      <c r="D56" s="80"/>
      <c r="E56" s="81"/>
      <c r="F56" s="81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82" t="s">
        <v>169</v>
      </c>
      <c r="B57" s="83" t="s">
        <v>170</v>
      </c>
      <c r="C57" s="83" t="s">
        <v>171</v>
      </c>
      <c r="D57" s="83" t="s">
        <v>172</v>
      </c>
      <c r="E57" s="83" t="s">
        <v>173</v>
      </c>
      <c r="F57" s="84" t="s">
        <v>176</v>
      </c>
      <c r="G57" s="84" t="s">
        <v>178</v>
      </c>
      <c r="H57" s="85" t="s">
        <v>172</v>
      </c>
      <c r="I57" s="84" t="s">
        <v>179</v>
      </c>
      <c r="J57" s="84" t="s">
        <v>176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3.5" customHeight="1">
      <c r="A58" s="86" t="s">
        <v>183</v>
      </c>
      <c r="B58" s="87"/>
      <c r="C58" s="87"/>
      <c r="D58" s="88">
        <v>0.0</v>
      </c>
      <c r="E58" s="89">
        <v>0.0</v>
      </c>
      <c r="F58" s="90">
        <f t="shared" ref="F58:F122" si="1">D58*E58</f>
        <v>0</v>
      </c>
      <c r="G58" s="41"/>
      <c r="H58" s="89"/>
      <c r="I58" s="89"/>
      <c r="J58" s="90">
        <f t="shared" ref="J58:J74" si="2">D58*I58</f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3.5" customHeight="1">
      <c r="A59" s="91" t="s">
        <v>193</v>
      </c>
      <c r="B59" s="56"/>
      <c r="C59" s="56"/>
      <c r="D59" s="65">
        <v>0.0</v>
      </c>
      <c r="E59" s="92">
        <v>0.0</v>
      </c>
      <c r="F59" s="90">
        <f t="shared" si="1"/>
        <v>0</v>
      </c>
      <c r="G59" s="41"/>
      <c r="H59" s="92"/>
      <c r="I59" s="92"/>
      <c r="J59" s="90">
        <f t="shared" si="2"/>
        <v>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3.5" customHeight="1">
      <c r="A60" s="91" t="s">
        <v>199</v>
      </c>
      <c r="B60" s="93">
        <v>72126.03</v>
      </c>
      <c r="C60" s="94"/>
      <c r="D60" s="65">
        <v>1.0</v>
      </c>
      <c r="E60" s="95">
        <v>400.0</v>
      </c>
      <c r="F60" s="90">
        <f t="shared" si="1"/>
        <v>400</v>
      </c>
      <c r="G60" s="41"/>
      <c r="H60" s="92">
        <v>1.0</v>
      </c>
      <c r="I60" s="92">
        <v>476.44</v>
      </c>
      <c r="J60" s="90">
        <f t="shared" si="2"/>
        <v>476.44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3.5" customHeight="1">
      <c r="A61" s="96" t="s">
        <v>207</v>
      </c>
      <c r="B61" s="97"/>
      <c r="C61" s="97"/>
      <c r="D61" s="65">
        <v>0.0</v>
      </c>
      <c r="E61" s="92">
        <v>0.0</v>
      </c>
      <c r="F61" s="90">
        <f t="shared" si="1"/>
        <v>0</v>
      </c>
      <c r="G61" s="41"/>
      <c r="H61" s="89"/>
      <c r="I61" s="89"/>
      <c r="J61" s="90">
        <f t="shared" si="2"/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3.5" customHeight="1">
      <c r="A62" s="91" t="s">
        <v>213</v>
      </c>
      <c r="B62" s="33" t="s">
        <v>214</v>
      </c>
      <c r="C62" s="33"/>
      <c r="D62" s="98">
        <v>0.0</v>
      </c>
      <c r="E62" s="92">
        <v>0.0</v>
      </c>
      <c r="F62" s="90">
        <f t="shared" si="1"/>
        <v>0</v>
      </c>
      <c r="G62" s="41"/>
      <c r="H62" s="92"/>
      <c r="I62" s="92"/>
      <c r="J62" s="90">
        <f t="shared" si="2"/>
        <v>0</v>
      </c>
      <c r="K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3.5" customHeight="1">
      <c r="A63" s="91" t="s">
        <v>218</v>
      </c>
      <c r="B63" s="99" t="s">
        <v>219</v>
      </c>
      <c r="C63" s="33"/>
      <c r="D63" s="98">
        <v>0.0</v>
      </c>
      <c r="E63" s="95">
        <v>200.0</v>
      </c>
      <c r="F63" s="90">
        <f t="shared" si="1"/>
        <v>0</v>
      </c>
      <c r="G63" s="41"/>
      <c r="H63" s="95"/>
      <c r="I63" s="95"/>
      <c r="J63" s="90">
        <f t="shared" si="2"/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3.5" customHeight="1">
      <c r="A64" s="91" t="s">
        <v>223</v>
      </c>
      <c r="B64" s="59" t="s">
        <v>224</v>
      </c>
      <c r="C64" s="33"/>
      <c r="D64" s="98">
        <v>18.0</v>
      </c>
      <c r="E64" s="92">
        <v>490.85</v>
      </c>
      <c r="F64" s="90">
        <f t="shared" si="1"/>
        <v>8835.3</v>
      </c>
      <c r="G64" s="41"/>
      <c r="H64" s="89"/>
      <c r="I64" s="89">
        <v>495.85</v>
      </c>
      <c r="J64" s="90">
        <f t="shared" si="2"/>
        <v>8925.3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3.5" customHeight="1">
      <c r="A65" s="91" t="s">
        <v>227</v>
      </c>
      <c r="B65" s="33"/>
      <c r="C65" s="33"/>
      <c r="D65" s="98">
        <v>0.0</v>
      </c>
      <c r="E65" s="95">
        <v>1500.0</v>
      </c>
      <c r="F65" s="90">
        <f t="shared" si="1"/>
        <v>0</v>
      </c>
      <c r="G65" s="41"/>
      <c r="H65" s="92"/>
      <c r="I65" s="92"/>
      <c r="J65" s="90">
        <f t="shared" si="2"/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3.5" customHeight="1">
      <c r="A66" s="91" t="s">
        <v>229</v>
      </c>
      <c r="B66" s="33"/>
      <c r="C66" s="33"/>
      <c r="D66" s="98">
        <v>0.0</v>
      </c>
      <c r="E66" s="92">
        <v>0.0</v>
      </c>
      <c r="F66" s="90">
        <f t="shared" si="1"/>
        <v>0</v>
      </c>
      <c r="G66" s="41"/>
      <c r="H66" s="95"/>
      <c r="I66" s="95"/>
      <c r="J66" s="90">
        <f t="shared" si="2"/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3.5" customHeight="1">
      <c r="A67" s="86" t="s">
        <v>231</v>
      </c>
      <c r="B67" s="102"/>
      <c r="C67" s="102"/>
      <c r="D67" s="65">
        <v>0.0</v>
      </c>
      <c r="E67" s="92">
        <v>0.0</v>
      </c>
      <c r="F67" s="90">
        <f t="shared" si="1"/>
        <v>0</v>
      </c>
      <c r="G67" s="41"/>
      <c r="H67" s="89"/>
      <c r="I67" s="89"/>
      <c r="J67" s="90">
        <f t="shared" si="2"/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3.5" customHeight="1">
      <c r="A68" s="91" t="s">
        <v>238</v>
      </c>
      <c r="B68" s="33"/>
      <c r="C68" s="33"/>
      <c r="D68" s="65">
        <v>0.0</v>
      </c>
      <c r="E68" s="92">
        <v>0.0</v>
      </c>
      <c r="F68" s="90">
        <f t="shared" si="1"/>
        <v>0</v>
      </c>
      <c r="G68" s="41"/>
      <c r="H68" s="92"/>
      <c r="I68" s="92"/>
      <c r="J68" s="90">
        <f t="shared" si="2"/>
        <v>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3.5" customHeight="1">
      <c r="A69" s="91" t="s">
        <v>241</v>
      </c>
      <c r="B69" s="77" t="s">
        <v>242</v>
      </c>
      <c r="C69" s="33"/>
      <c r="D69" s="65">
        <v>0.0</v>
      </c>
      <c r="E69" s="92">
        <v>0.0</v>
      </c>
      <c r="F69" s="90">
        <f t="shared" si="1"/>
        <v>0</v>
      </c>
      <c r="G69" s="41"/>
      <c r="H69" s="95"/>
      <c r="I69" s="95"/>
      <c r="J69" s="90">
        <f t="shared" si="2"/>
        <v>0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3.5" customHeight="1">
      <c r="A70" s="91" t="s">
        <v>243</v>
      </c>
      <c r="B70" s="33"/>
      <c r="C70" s="33"/>
      <c r="D70" s="65">
        <v>0.0</v>
      </c>
      <c r="E70" s="92">
        <v>0.0</v>
      </c>
      <c r="F70" s="90">
        <f t="shared" si="1"/>
        <v>0</v>
      </c>
      <c r="G70" s="41"/>
      <c r="H70" s="89"/>
      <c r="I70" s="89"/>
      <c r="J70" s="90">
        <f t="shared" si="2"/>
        <v>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3.5" customHeight="1">
      <c r="A71" s="91" t="s">
        <v>246</v>
      </c>
      <c r="B71" s="33"/>
      <c r="C71" s="33"/>
      <c r="D71" s="65">
        <v>0.0</v>
      </c>
      <c r="E71" s="92">
        <v>0.0</v>
      </c>
      <c r="F71" s="90">
        <f t="shared" si="1"/>
        <v>0</v>
      </c>
      <c r="G71" s="41"/>
      <c r="H71" s="92"/>
      <c r="I71" s="92"/>
      <c r="J71" s="90">
        <f t="shared" si="2"/>
        <v>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3.5" customHeight="1">
      <c r="A72" s="91" t="s">
        <v>248</v>
      </c>
      <c r="B72" s="103" t="s">
        <v>251</v>
      </c>
      <c r="C72" s="104"/>
      <c r="D72" s="105">
        <v>7.0</v>
      </c>
      <c r="E72" s="95">
        <v>900.0</v>
      </c>
      <c r="F72" s="90">
        <f t="shared" si="1"/>
        <v>6300</v>
      </c>
      <c r="G72" s="62"/>
      <c r="H72" s="95"/>
      <c r="I72" s="95"/>
      <c r="J72" s="90">
        <f t="shared" si="2"/>
        <v>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3.5" customHeight="1">
      <c r="A73" s="91" t="s">
        <v>260</v>
      </c>
      <c r="B73" s="103" t="s">
        <v>263</v>
      </c>
      <c r="C73" s="104"/>
      <c r="D73" s="105">
        <v>2.0</v>
      </c>
      <c r="E73" s="95">
        <v>300.0</v>
      </c>
      <c r="F73" s="90">
        <f t="shared" si="1"/>
        <v>600</v>
      </c>
      <c r="G73" s="41"/>
      <c r="H73" s="89"/>
      <c r="I73" s="89"/>
      <c r="J73" s="90">
        <f t="shared" si="2"/>
        <v>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3.5" customHeight="1">
      <c r="A74" s="91" t="s">
        <v>265</v>
      </c>
      <c r="B74" s="33"/>
      <c r="C74" s="33"/>
      <c r="D74" s="43">
        <v>0.0</v>
      </c>
      <c r="E74" s="92">
        <v>0.0</v>
      </c>
      <c r="F74" s="90">
        <f t="shared" si="1"/>
        <v>0</v>
      </c>
      <c r="G74" s="41"/>
      <c r="H74" s="92"/>
      <c r="I74" s="92"/>
      <c r="J74" s="90">
        <f t="shared" si="2"/>
        <v>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3.5" customHeight="1">
      <c r="A75" s="91" t="s">
        <v>266</v>
      </c>
      <c r="B75" s="59" t="s">
        <v>267</v>
      </c>
      <c r="C75" s="33"/>
      <c r="D75" s="75">
        <v>28.0</v>
      </c>
      <c r="E75" s="92">
        <v>281.0</v>
      </c>
      <c r="F75" s="90">
        <f t="shared" si="1"/>
        <v>7868</v>
      </c>
      <c r="G75" s="41"/>
      <c r="H75" s="92">
        <v>7.0</v>
      </c>
      <c r="I75" s="92">
        <v>450.0</v>
      </c>
      <c r="J75" s="90">
        <f>H75*I75</f>
        <v>3150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3.5" customHeight="1">
      <c r="A76" s="91" t="s">
        <v>272</v>
      </c>
      <c r="B76" s="33"/>
      <c r="C76" s="33"/>
      <c r="D76" s="75">
        <v>3.0</v>
      </c>
      <c r="E76" s="95">
        <v>400.0</v>
      </c>
      <c r="F76" s="90">
        <f t="shared" si="1"/>
        <v>1200</v>
      </c>
      <c r="G76" s="41"/>
      <c r="H76" s="89"/>
      <c r="I76" s="89"/>
      <c r="J76" s="90">
        <f t="shared" ref="J76:J120" si="3">D76*I76</f>
        <v>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3.5" customHeight="1">
      <c r="A77" s="91" t="s">
        <v>274</v>
      </c>
      <c r="B77" s="33"/>
      <c r="C77" s="33"/>
      <c r="D77" s="43">
        <v>0.0</v>
      </c>
      <c r="E77" s="95"/>
      <c r="F77" s="90">
        <f t="shared" si="1"/>
        <v>0</v>
      </c>
      <c r="G77" s="41"/>
      <c r="H77" s="92"/>
      <c r="I77" s="92"/>
      <c r="J77" s="90">
        <f t="shared" si="3"/>
        <v>0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3.5" customHeight="1">
      <c r="A78" s="91" t="s">
        <v>278</v>
      </c>
      <c r="B78" s="33"/>
      <c r="C78" s="33"/>
      <c r="D78" s="43">
        <v>0.0</v>
      </c>
      <c r="E78" s="95"/>
      <c r="F78" s="90">
        <f t="shared" si="1"/>
        <v>0</v>
      </c>
      <c r="G78" s="41"/>
      <c r="H78" s="95"/>
      <c r="I78" s="95"/>
      <c r="J78" s="90">
        <f t="shared" si="3"/>
        <v>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3.5" customHeight="1">
      <c r="A79" s="91" t="s">
        <v>282</v>
      </c>
      <c r="B79" s="33"/>
      <c r="C79" s="33"/>
      <c r="D79" s="65">
        <v>0.0</v>
      </c>
      <c r="E79" s="92">
        <v>0.0</v>
      </c>
      <c r="F79" s="90">
        <f t="shared" si="1"/>
        <v>0</v>
      </c>
      <c r="G79" s="62" t="s">
        <v>283</v>
      </c>
      <c r="H79" s="89"/>
      <c r="I79" s="89"/>
      <c r="J79" s="90">
        <f t="shared" si="3"/>
        <v>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3.5" customHeight="1">
      <c r="A80" s="91" t="s">
        <v>285</v>
      </c>
      <c r="B80" s="59" t="s">
        <v>286</v>
      </c>
      <c r="C80" s="33"/>
      <c r="D80" s="106">
        <v>1.0</v>
      </c>
      <c r="E80" s="92">
        <v>800.0</v>
      </c>
      <c r="F80" s="90">
        <f t="shared" si="1"/>
        <v>800</v>
      </c>
      <c r="G80" s="41"/>
      <c r="H80" s="92"/>
      <c r="I80" s="92"/>
      <c r="J80" s="90">
        <f t="shared" si="3"/>
        <v>0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3.5" customHeight="1">
      <c r="A81" s="91" t="s">
        <v>291</v>
      </c>
      <c r="B81" s="33"/>
      <c r="C81" s="33"/>
      <c r="D81" s="65">
        <v>0.0</v>
      </c>
      <c r="E81" s="92">
        <v>0.0</v>
      </c>
      <c r="F81" s="90">
        <f t="shared" si="1"/>
        <v>0</v>
      </c>
      <c r="G81" s="41"/>
      <c r="H81" s="95"/>
      <c r="I81" s="95"/>
      <c r="J81" s="90">
        <f t="shared" si="3"/>
        <v>0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3.5" customHeight="1">
      <c r="A82" s="91" t="s">
        <v>295</v>
      </c>
      <c r="B82" s="59" t="s">
        <v>286</v>
      </c>
      <c r="C82" s="33"/>
      <c r="D82" s="106">
        <v>1.0</v>
      </c>
      <c r="E82" s="92">
        <v>750.0</v>
      </c>
      <c r="F82" s="90">
        <f t="shared" si="1"/>
        <v>750</v>
      </c>
      <c r="G82" s="41"/>
      <c r="H82" s="89"/>
      <c r="I82" s="89"/>
      <c r="J82" s="90">
        <f t="shared" si="3"/>
        <v>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3.5" customHeight="1">
      <c r="A83" s="91" t="s">
        <v>299</v>
      </c>
      <c r="B83" s="33"/>
      <c r="C83" s="33"/>
      <c r="D83" s="65">
        <v>0.0</v>
      </c>
      <c r="E83" s="92">
        <v>0.0</v>
      </c>
      <c r="F83" s="90">
        <f t="shared" si="1"/>
        <v>0</v>
      </c>
      <c r="G83" s="62" t="s">
        <v>300</v>
      </c>
      <c r="H83" s="92"/>
      <c r="I83" s="92"/>
      <c r="J83" s="90">
        <f t="shared" si="3"/>
        <v>0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3.5" customHeight="1">
      <c r="A84" s="91" t="s">
        <v>302</v>
      </c>
      <c r="B84" s="33"/>
      <c r="C84" s="33"/>
      <c r="D84" s="65">
        <v>0.0</v>
      </c>
      <c r="E84" s="92">
        <v>0.0</v>
      </c>
      <c r="F84" s="90">
        <f t="shared" si="1"/>
        <v>0</v>
      </c>
      <c r="G84" s="62" t="s">
        <v>300</v>
      </c>
      <c r="H84" s="95"/>
      <c r="I84" s="95"/>
      <c r="J84" s="90">
        <f t="shared" si="3"/>
        <v>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3.5" customHeight="1">
      <c r="A85" s="107" t="s">
        <v>306</v>
      </c>
      <c r="B85" s="107"/>
      <c r="C85" s="107"/>
      <c r="D85" s="108">
        <v>2.0</v>
      </c>
      <c r="E85" s="109">
        <v>600.0</v>
      </c>
      <c r="F85" s="90">
        <f t="shared" si="1"/>
        <v>1200</v>
      </c>
      <c r="G85" s="41"/>
      <c r="H85" s="89"/>
      <c r="I85" s="89"/>
      <c r="J85" s="90">
        <f t="shared" si="3"/>
        <v>0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3.5" customHeight="1">
      <c r="A86" s="107" t="s">
        <v>309</v>
      </c>
      <c r="B86" s="107"/>
      <c r="C86" s="107"/>
      <c r="D86" s="108">
        <v>10.0</v>
      </c>
      <c r="E86" s="109">
        <v>60.0</v>
      </c>
      <c r="F86" s="90">
        <f t="shared" si="1"/>
        <v>600</v>
      </c>
      <c r="G86" s="41"/>
      <c r="H86" s="92"/>
      <c r="I86" s="92"/>
      <c r="J86" s="90">
        <f t="shared" si="3"/>
        <v>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3.5" customHeight="1">
      <c r="A87" s="107" t="s">
        <v>312</v>
      </c>
      <c r="B87" s="107"/>
      <c r="C87" s="107"/>
      <c r="D87" s="108">
        <v>10.0</v>
      </c>
      <c r="E87" s="109">
        <v>44.0</v>
      </c>
      <c r="F87" s="90">
        <f t="shared" si="1"/>
        <v>440</v>
      </c>
      <c r="G87" s="41"/>
      <c r="H87" s="95"/>
      <c r="I87" s="95"/>
      <c r="J87" s="90">
        <f t="shared" si="3"/>
        <v>0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3.5" customHeight="1">
      <c r="A88" s="107" t="s">
        <v>316</v>
      </c>
      <c r="B88" s="107"/>
      <c r="C88" s="111"/>
      <c r="D88" s="50">
        <v>0.0</v>
      </c>
      <c r="E88" s="113"/>
      <c r="F88" s="90">
        <f t="shared" si="1"/>
        <v>0</v>
      </c>
      <c r="G88" s="41"/>
      <c r="H88" s="89"/>
      <c r="I88" s="89"/>
      <c r="J88" s="90">
        <f t="shared" si="3"/>
        <v>0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3.5" customHeight="1">
      <c r="A89" s="107" t="s">
        <v>321</v>
      </c>
      <c r="B89" s="107"/>
      <c r="C89" s="63"/>
      <c r="D89" s="108">
        <v>10.0</v>
      </c>
      <c r="E89" s="109">
        <v>600.0</v>
      </c>
      <c r="F89" s="90">
        <f t="shared" si="1"/>
        <v>6000</v>
      </c>
      <c r="G89" s="41"/>
      <c r="H89" s="92"/>
      <c r="I89" s="92"/>
      <c r="J89" s="90">
        <f t="shared" si="3"/>
        <v>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3.5" customHeight="1">
      <c r="A90" s="91" t="s">
        <v>324</v>
      </c>
      <c r="B90" s="33"/>
      <c r="C90" s="33"/>
      <c r="D90" s="106">
        <v>6.0</v>
      </c>
      <c r="E90" s="92">
        <v>10.0</v>
      </c>
      <c r="F90" s="90">
        <f t="shared" si="1"/>
        <v>60</v>
      </c>
      <c r="G90" s="41"/>
      <c r="H90" s="95"/>
      <c r="I90" s="95"/>
      <c r="J90" s="90">
        <f t="shared" si="3"/>
        <v>0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3.5" customHeight="1">
      <c r="A91" s="107" t="s">
        <v>327</v>
      </c>
      <c r="B91" s="107"/>
      <c r="C91" s="63"/>
      <c r="D91" s="50">
        <v>0.0</v>
      </c>
      <c r="E91" s="95"/>
      <c r="F91" s="90">
        <f t="shared" si="1"/>
        <v>0</v>
      </c>
      <c r="G91" s="41"/>
      <c r="H91" s="89"/>
      <c r="I91" s="89"/>
      <c r="J91" s="90">
        <f t="shared" si="3"/>
        <v>0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3.5" customHeight="1">
      <c r="A92" s="107" t="s">
        <v>330</v>
      </c>
      <c r="B92" s="107"/>
      <c r="C92" s="63"/>
      <c r="D92" s="50"/>
      <c r="E92" s="95"/>
      <c r="F92" s="90">
        <f t="shared" si="1"/>
        <v>0</v>
      </c>
      <c r="G92" s="41"/>
      <c r="H92" s="92"/>
      <c r="I92" s="92"/>
      <c r="J92" s="90">
        <f t="shared" si="3"/>
        <v>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3.5" customHeight="1">
      <c r="A93" s="91" t="s">
        <v>334</v>
      </c>
      <c r="B93" s="115" t="s">
        <v>335</v>
      </c>
      <c r="C93" s="104"/>
      <c r="D93" s="105">
        <v>1.0</v>
      </c>
      <c r="E93" s="92">
        <v>1500.0</v>
      </c>
      <c r="F93" s="90">
        <f t="shared" si="1"/>
        <v>1500</v>
      </c>
      <c r="G93" s="41"/>
      <c r="H93" s="95"/>
      <c r="I93" s="95"/>
      <c r="J93" s="90">
        <f t="shared" si="3"/>
        <v>0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3.5" customHeight="1">
      <c r="A94" s="91" t="s">
        <v>336</v>
      </c>
      <c r="B94" s="115" t="s">
        <v>337</v>
      </c>
      <c r="C94" s="104"/>
      <c r="D94" s="117">
        <v>0.0</v>
      </c>
      <c r="E94" s="95">
        <v>31.0</v>
      </c>
      <c r="F94" s="90">
        <f t="shared" si="1"/>
        <v>0</v>
      </c>
      <c r="G94" s="41"/>
      <c r="H94" s="89"/>
      <c r="I94" s="89"/>
      <c r="J94" s="90">
        <f t="shared" si="3"/>
        <v>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3.5" customHeight="1">
      <c r="A95" s="91" t="s">
        <v>340</v>
      </c>
      <c r="B95" s="115" t="s">
        <v>337</v>
      </c>
      <c r="C95" s="104"/>
      <c r="D95" s="117">
        <v>0.0</v>
      </c>
      <c r="E95" s="95">
        <v>10.0</v>
      </c>
      <c r="F95" s="90">
        <f t="shared" si="1"/>
        <v>0</v>
      </c>
      <c r="G95" s="41"/>
      <c r="H95" s="92"/>
      <c r="I95" s="92"/>
      <c r="J95" s="90">
        <f t="shared" si="3"/>
        <v>0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3.5" customHeight="1">
      <c r="A96" s="91" t="s">
        <v>344</v>
      </c>
      <c r="B96" s="33" t="s">
        <v>345</v>
      </c>
      <c r="C96" s="33"/>
      <c r="D96" s="65">
        <v>0.0</v>
      </c>
      <c r="E96" s="95">
        <v>150.0</v>
      </c>
      <c r="F96" s="90">
        <f t="shared" si="1"/>
        <v>0</v>
      </c>
      <c r="G96" s="41"/>
      <c r="H96" s="95"/>
      <c r="I96" s="95"/>
      <c r="J96" s="90">
        <f t="shared" si="3"/>
        <v>0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3.5" customHeight="1">
      <c r="A97" s="91" t="s">
        <v>346</v>
      </c>
      <c r="B97" s="33"/>
      <c r="C97" s="33"/>
      <c r="D97" s="65">
        <v>0.0</v>
      </c>
      <c r="E97" s="95">
        <v>60.0</v>
      </c>
      <c r="F97" s="90">
        <f t="shared" si="1"/>
        <v>0</v>
      </c>
      <c r="G97" s="41"/>
      <c r="H97" s="89"/>
      <c r="I97" s="89"/>
      <c r="J97" s="90">
        <f t="shared" si="3"/>
        <v>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3.5" customHeight="1">
      <c r="A98" s="91" t="s">
        <v>349</v>
      </c>
      <c r="B98" s="33"/>
      <c r="C98" s="33"/>
      <c r="D98" s="65">
        <v>0.0</v>
      </c>
      <c r="E98" s="95">
        <v>200.0</v>
      </c>
      <c r="F98" s="90">
        <f t="shared" si="1"/>
        <v>0</v>
      </c>
      <c r="G98" s="41"/>
      <c r="H98" s="92"/>
      <c r="I98" s="92"/>
      <c r="J98" s="90">
        <f t="shared" si="3"/>
        <v>0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3.5" customHeight="1">
      <c r="A99" s="91" t="s">
        <v>352</v>
      </c>
      <c r="B99" s="33"/>
      <c r="C99" s="33"/>
      <c r="D99" s="65">
        <v>0.0</v>
      </c>
      <c r="E99" s="92">
        <v>0.0</v>
      </c>
      <c r="F99" s="90">
        <f t="shared" si="1"/>
        <v>0</v>
      </c>
      <c r="G99" s="41"/>
      <c r="H99" s="95"/>
      <c r="I99" s="95"/>
      <c r="J99" s="90">
        <f t="shared" si="3"/>
        <v>0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3.5" customHeight="1">
      <c r="A100" s="91" t="s">
        <v>353</v>
      </c>
      <c r="B100" s="33"/>
      <c r="C100" s="33"/>
      <c r="D100" s="65">
        <v>0.0</v>
      </c>
      <c r="E100" s="92">
        <v>0.0</v>
      </c>
      <c r="F100" s="90">
        <f t="shared" si="1"/>
        <v>0</v>
      </c>
      <c r="G100" s="41"/>
      <c r="H100" s="89"/>
      <c r="I100" s="89"/>
      <c r="J100" s="90">
        <f t="shared" si="3"/>
        <v>0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3.5" customHeight="1">
      <c r="A101" s="91" t="s">
        <v>357</v>
      </c>
      <c r="B101" s="115" t="s">
        <v>358</v>
      </c>
      <c r="C101" s="104"/>
      <c r="D101" s="105">
        <v>144.0</v>
      </c>
      <c r="E101" s="95">
        <v>6.29</v>
      </c>
      <c r="F101" s="90">
        <f t="shared" si="1"/>
        <v>905.76</v>
      </c>
      <c r="G101" s="41"/>
      <c r="H101" s="92"/>
      <c r="I101" s="92"/>
      <c r="J101" s="90">
        <f t="shared" si="3"/>
        <v>0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3.5" customHeight="1">
      <c r="A102" s="91" t="s">
        <v>362</v>
      </c>
      <c r="B102" s="118" t="s">
        <v>363</v>
      </c>
      <c r="C102" s="119"/>
      <c r="D102" s="117">
        <v>450.0</v>
      </c>
      <c r="E102" s="95">
        <v>3.85</v>
      </c>
      <c r="F102" s="90">
        <f t="shared" si="1"/>
        <v>1732.5</v>
      </c>
      <c r="G102" s="41"/>
      <c r="H102" s="95"/>
      <c r="I102" s="95"/>
      <c r="J102" s="90">
        <f t="shared" si="3"/>
        <v>0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3.5" customHeight="1">
      <c r="A103" s="120" t="s">
        <v>367</v>
      </c>
      <c r="B103" s="59" t="s">
        <v>369</v>
      </c>
      <c r="C103" s="33"/>
      <c r="D103" s="75">
        <v>3.0</v>
      </c>
      <c r="E103" s="92">
        <v>40.0</v>
      </c>
      <c r="F103" s="90">
        <f t="shared" si="1"/>
        <v>120</v>
      </c>
      <c r="G103" s="41"/>
      <c r="H103" s="89"/>
      <c r="I103" s="89"/>
      <c r="J103" s="90">
        <f t="shared" si="3"/>
        <v>0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3.5" customHeight="1">
      <c r="A104" s="91" t="s">
        <v>373</v>
      </c>
      <c r="B104" s="33"/>
      <c r="C104" s="33"/>
      <c r="D104" s="43">
        <v>0.0</v>
      </c>
      <c r="E104" s="95"/>
      <c r="F104" s="90">
        <f t="shared" si="1"/>
        <v>0</v>
      </c>
      <c r="G104" s="41"/>
      <c r="H104" s="92"/>
      <c r="I104" s="92"/>
      <c r="J104" s="90">
        <f t="shared" si="3"/>
        <v>0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3.5" customHeight="1">
      <c r="A105" s="91" t="s">
        <v>377</v>
      </c>
      <c r="B105" s="115" t="s">
        <v>378</v>
      </c>
      <c r="C105" s="104"/>
      <c r="D105" s="122">
        <v>1.0</v>
      </c>
      <c r="E105" s="92">
        <v>75.0</v>
      </c>
      <c r="F105" s="90">
        <f t="shared" si="1"/>
        <v>75</v>
      </c>
      <c r="G105" s="41"/>
      <c r="H105" s="95"/>
      <c r="I105" s="95"/>
      <c r="J105" s="90">
        <f t="shared" si="3"/>
        <v>0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3.5" customHeight="1">
      <c r="A106" s="91" t="s">
        <v>387</v>
      </c>
      <c r="B106" s="33"/>
      <c r="C106" s="33"/>
      <c r="D106" s="43">
        <v>0.0</v>
      </c>
      <c r="E106" s="95">
        <v>70.0</v>
      </c>
      <c r="F106" s="90">
        <f t="shared" si="1"/>
        <v>0</v>
      </c>
      <c r="G106" s="41"/>
      <c r="H106" s="89"/>
      <c r="I106" s="89"/>
      <c r="J106" s="90">
        <f t="shared" si="3"/>
        <v>0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3.5" customHeight="1">
      <c r="A107" s="91" t="s">
        <v>388</v>
      </c>
      <c r="B107" s="33"/>
      <c r="C107" s="33"/>
      <c r="D107" s="43">
        <v>0.0</v>
      </c>
      <c r="E107" s="95">
        <v>60.0</v>
      </c>
      <c r="F107" s="90">
        <f t="shared" si="1"/>
        <v>0</v>
      </c>
      <c r="G107" s="41"/>
      <c r="H107" s="92"/>
      <c r="I107" s="92"/>
      <c r="J107" s="90">
        <f t="shared" si="3"/>
        <v>0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3.5" customHeight="1">
      <c r="A108" s="91" t="s">
        <v>392</v>
      </c>
      <c r="B108" s="33" t="s">
        <v>393</v>
      </c>
      <c r="C108" s="33"/>
      <c r="D108" s="43">
        <v>0.0</v>
      </c>
      <c r="E108" s="95">
        <v>3800.0</v>
      </c>
      <c r="F108" s="90">
        <f t="shared" si="1"/>
        <v>0</v>
      </c>
      <c r="G108" s="41"/>
      <c r="H108" s="95"/>
      <c r="I108" s="95"/>
      <c r="J108" s="90">
        <f t="shared" si="3"/>
        <v>0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3.5" customHeight="1">
      <c r="A109" s="91" t="s">
        <v>394</v>
      </c>
      <c r="B109" s="33"/>
      <c r="C109" s="33"/>
      <c r="D109" s="106">
        <v>40.0</v>
      </c>
      <c r="E109" s="92">
        <v>65.0</v>
      </c>
      <c r="F109" s="90">
        <f t="shared" si="1"/>
        <v>2600</v>
      </c>
      <c r="G109" s="41"/>
      <c r="H109" s="89"/>
      <c r="I109" s="89"/>
      <c r="J109" s="90">
        <f t="shared" si="3"/>
        <v>0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3.5" customHeight="1">
      <c r="A110" s="91" t="s">
        <v>397</v>
      </c>
      <c r="B110" s="33"/>
      <c r="C110" s="33"/>
      <c r="D110" s="65">
        <v>0.0</v>
      </c>
      <c r="E110" s="92">
        <v>0.0</v>
      </c>
      <c r="F110" s="90">
        <f t="shared" si="1"/>
        <v>0</v>
      </c>
      <c r="G110" s="41"/>
      <c r="H110" s="92"/>
      <c r="I110" s="92"/>
      <c r="J110" s="90">
        <f t="shared" si="3"/>
        <v>0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3.5" customHeight="1">
      <c r="A111" s="91" t="s">
        <v>401</v>
      </c>
      <c r="B111" s="33"/>
      <c r="C111" s="33"/>
      <c r="D111" s="65">
        <v>0.0</v>
      </c>
      <c r="E111" s="92">
        <v>0.0</v>
      </c>
      <c r="F111" s="90">
        <f t="shared" si="1"/>
        <v>0</v>
      </c>
      <c r="G111" s="41"/>
      <c r="H111" s="95"/>
      <c r="I111" s="95"/>
      <c r="J111" s="90">
        <f t="shared" si="3"/>
        <v>0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3.5" customHeight="1">
      <c r="A112" s="91" t="s">
        <v>404</v>
      </c>
      <c r="B112" s="33"/>
      <c r="C112" s="33"/>
      <c r="D112" s="65">
        <v>0.0</v>
      </c>
      <c r="E112" s="92">
        <v>0.0</v>
      </c>
      <c r="F112" s="90">
        <f t="shared" si="1"/>
        <v>0</v>
      </c>
      <c r="G112" s="41"/>
      <c r="H112" s="89"/>
      <c r="I112" s="89"/>
      <c r="J112" s="90">
        <f t="shared" si="3"/>
        <v>0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3.5" customHeight="1">
      <c r="A113" s="91" t="s">
        <v>409</v>
      </c>
      <c r="B113" s="33" t="s">
        <v>410</v>
      </c>
      <c r="C113" s="33"/>
      <c r="D113" s="106">
        <v>18.0</v>
      </c>
      <c r="E113" s="95">
        <v>0.62</v>
      </c>
      <c r="F113" s="90">
        <f t="shared" si="1"/>
        <v>11.16</v>
      </c>
      <c r="G113" s="41"/>
      <c r="H113" s="92"/>
      <c r="I113" s="92"/>
      <c r="J113" s="90">
        <f t="shared" si="3"/>
        <v>0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3.5" customHeight="1">
      <c r="A114" s="91" t="s">
        <v>414</v>
      </c>
      <c r="B114" s="33" t="s">
        <v>410</v>
      </c>
      <c r="C114" s="33"/>
      <c r="D114" s="106">
        <v>18.0</v>
      </c>
      <c r="E114" s="95">
        <v>5.9</v>
      </c>
      <c r="F114" s="90">
        <f t="shared" si="1"/>
        <v>106.2</v>
      </c>
      <c r="G114" s="41"/>
      <c r="H114" s="95"/>
      <c r="I114" s="95"/>
      <c r="J114" s="90">
        <f t="shared" si="3"/>
        <v>0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3.5" customHeight="1">
      <c r="A115" s="91" t="s">
        <v>418</v>
      </c>
      <c r="B115" s="33" t="s">
        <v>410</v>
      </c>
      <c r="C115" s="33"/>
      <c r="D115" s="106">
        <v>36.0</v>
      </c>
      <c r="E115" s="123">
        <v>5.0</v>
      </c>
      <c r="F115" s="90">
        <f t="shared" si="1"/>
        <v>180</v>
      </c>
      <c r="G115" s="41"/>
      <c r="H115" s="89"/>
      <c r="I115" s="89"/>
      <c r="J115" s="90">
        <f t="shared" si="3"/>
        <v>0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3.5" customHeight="1">
      <c r="A116" s="41" t="s">
        <v>422</v>
      </c>
      <c r="B116" s="124"/>
      <c r="C116" s="33"/>
      <c r="D116" s="106">
        <v>0.0</v>
      </c>
      <c r="E116" s="126"/>
      <c r="F116" s="90">
        <f t="shared" si="1"/>
        <v>0</v>
      </c>
      <c r="G116" s="41"/>
      <c r="H116" s="92"/>
      <c r="I116" s="92"/>
      <c r="J116" s="90">
        <f t="shared" si="3"/>
        <v>0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3.5" customHeight="1">
      <c r="A117" s="33" t="s">
        <v>425</v>
      </c>
      <c r="B117" s="33" t="s">
        <v>426</v>
      </c>
      <c r="C117" s="33"/>
      <c r="D117" s="106">
        <v>0.0</v>
      </c>
      <c r="E117" s="126"/>
      <c r="F117" s="90">
        <f t="shared" si="1"/>
        <v>0</v>
      </c>
      <c r="G117" s="41"/>
      <c r="H117" s="95"/>
      <c r="I117" s="95"/>
      <c r="J117" s="90">
        <f t="shared" si="3"/>
        <v>0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3.5" customHeight="1">
      <c r="A118" s="128" t="s">
        <v>427</v>
      </c>
      <c r="B118" s="128" t="s">
        <v>428</v>
      </c>
      <c r="C118" s="119"/>
      <c r="D118" s="106">
        <v>1.0</v>
      </c>
      <c r="E118" s="130">
        <v>380.0</v>
      </c>
      <c r="F118" s="132">
        <f t="shared" si="1"/>
        <v>380</v>
      </c>
      <c r="G118" s="134"/>
      <c r="H118" s="89"/>
      <c r="I118" s="89"/>
      <c r="J118" s="90">
        <f t="shared" si="3"/>
        <v>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3.5" customHeight="1">
      <c r="A119" s="128" t="s">
        <v>432</v>
      </c>
      <c r="B119" s="128" t="s">
        <v>428</v>
      </c>
      <c r="C119" s="119"/>
      <c r="D119" s="135">
        <v>2.0</v>
      </c>
      <c r="E119" s="130">
        <v>110.0</v>
      </c>
      <c r="F119" s="132">
        <f t="shared" si="1"/>
        <v>220</v>
      </c>
      <c r="G119" s="134"/>
      <c r="H119" s="92"/>
      <c r="I119" s="92"/>
      <c r="J119" s="90">
        <f t="shared" si="3"/>
        <v>0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3.5" customHeight="1">
      <c r="A120" s="128" t="s">
        <v>433</v>
      </c>
      <c r="B120" s="128" t="s">
        <v>428</v>
      </c>
      <c r="C120" s="119"/>
      <c r="D120" s="135">
        <v>2.0</v>
      </c>
      <c r="E120" s="138">
        <v>110.0</v>
      </c>
      <c r="F120" s="132">
        <f t="shared" si="1"/>
        <v>220</v>
      </c>
      <c r="G120" s="134"/>
      <c r="H120" s="95"/>
      <c r="I120" s="95"/>
      <c r="J120" s="90">
        <f t="shared" si="3"/>
        <v>0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3.5" customHeight="1">
      <c r="A121" s="128" t="s">
        <v>436</v>
      </c>
      <c r="B121" s="128" t="s">
        <v>428</v>
      </c>
      <c r="C121" s="119"/>
      <c r="D121" s="135">
        <v>1.0</v>
      </c>
      <c r="E121" s="140">
        <v>160.0</v>
      </c>
      <c r="F121" s="132">
        <f t="shared" si="1"/>
        <v>160</v>
      </c>
      <c r="G121" s="134"/>
      <c r="H121" s="89"/>
      <c r="I121" s="89"/>
      <c r="J121" s="90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3.5" customHeight="1">
      <c r="A122" s="142" t="s">
        <v>438</v>
      </c>
      <c r="B122" s="144" t="s">
        <v>439</v>
      </c>
      <c r="C122" s="145"/>
      <c r="D122" s="147">
        <v>3.0</v>
      </c>
      <c r="E122" s="149">
        <v>360.0</v>
      </c>
      <c r="F122" s="150">
        <f t="shared" si="1"/>
        <v>1080</v>
      </c>
      <c r="G122" s="134"/>
      <c r="H122" s="89"/>
      <c r="I122" s="89"/>
      <c r="J122" s="90">
        <f>D121*I122</f>
        <v>0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3.5" customHeight="1">
      <c r="A123" s="153"/>
      <c r="B123" s="153"/>
      <c r="C123" s="153"/>
      <c r="D123" s="155"/>
      <c r="E123" s="156" t="s">
        <v>447</v>
      </c>
      <c r="F123" s="157">
        <f>SUM(F58:F122)</f>
        <v>44343.92</v>
      </c>
      <c r="G123" s="5"/>
      <c r="H123" s="159"/>
      <c r="I123" s="160" t="s">
        <v>447</v>
      </c>
      <c r="J123" s="157">
        <f>SUM(J58:J122)</f>
        <v>12551.74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3.5" customHeight="1">
      <c r="A124" s="161"/>
      <c r="B124" s="161"/>
      <c r="C124" s="161"/>
      <c r="D124" s="162"/>
      <c r="E124" s="163">
        <v>0.15</v>
      </c>
      <c r="F124" s="164" t="s">
        <v>455</v>
      </c>
      <c r="G124" s="5"/>
      <c r="H124" s="165"/>
      <c r="I124" s="163">
        <v>0.15</v>
      </c>
      <c r="J124" s="164" t="s">
        <v>455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3.5" customHeight="1">
      <c r="A125" s="3"/>
      <c r="B125" s="3"/>
      <c r="C125" s="3"/>
      <c r="D125" s="3"/>
      <c r="E125" s="166" t="s">
        <v>176</v>
      </c>
      <c r="F125" s="167" t="s">
        <v>455</v>
      </c>
      <c r="G125" s="5"/>
      <c r="H125" s="159"/>
      <c r="I125" s="166" t="s">
        <v>176</v>
      </c>
      <c r="J125" s="167" t="s">
        <v>455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3.5" customHeight="1">
      <c r="A127" s="168" t="s">
        <v>464</v>
      </c>
      <c r="B127" s="169" t="s">
        <v>465</v>
      </c>
      <c r="C127" s="170"/>
      <c r="D127" s="170"/>
      <c r="E127" s="170"/>
      <c r="F127" s="171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3.5" customHeight="1"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3.5" customHeight="1"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3.5" customHeight="1"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3.5" customHeight="1"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3.5" customHeight="1">
      <c r="A133" s="5"/>
      <c r="B133" s="5"/>
      <c r="C133" s="5"/>
      <c r="D133" s="172"/>
      <c r="E133" s="17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3.5" customHeight="1">
      <c r="A324" s="5"/>
      <c r="B324" s="5"/>
      <c r="C324" s="5"/>
      <c r="D324" s="5"/>
      <c r="E324" s="5"/>
      <c r="F324" s="5"/>
      <c r="G324" s="5"/>
    </row>
    <row r="325" ht="13.5" customHeight="1">
      <c r="A325" s="5"/>
      <c r="B325" s="5"/>
      <c r="C325" s="5"/>
      <c r="D325" s="5"/>
      <c r="E325" s="5"/>
      <c r="F325" s="5"/>
      <c r="G325" s="5"/>
    </row>
    <row r="326" ht="13.5" customHeight="1">
      <c r="A326" s="5"/>
      <c r="B326" s="5"/>
      <c r="C326" s="5"/>
      <c r="D326" s="5"/>
      <c r="E326" s="5"/>
      <c r="F326" s="5"/>
      <c r="G326" s="5"/>
    </row>
    <row r="327" ht="13.5" customHeight="1">
      <c r="A327" s="5"/>
      <c r="B327" s="5"/>
      <c r="C327" s="5"/>
      <c r="D327" s="5"/>
      <c r="E327" s="5"/>
      <c r="F327" s="5"/>
      <c r="G327" s="5"/>
    </row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</sheetData>
  <mergeCells count="2">
    <mergeCell ref="A1:B1"/>
    <mergeCell ref="B127:F1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25.29"/>
    <col customWidth="1" min="4" max="4" width="10.71"/>
    <col customWidth="1" min="5" max="5" width="11.14"/>
    <col customWidth="1" min="6" max="7" width="10.71"/>
    <col customWidth="1" min="8" max="8" width="14.86"/>
    <col customWidth="1" min="9" max="9" width="17.29"/>
    <col customWidth="1" min="10" max="10" width="15.0"/>
    <col customWidth="1" min="11" max="27" width="10.71"/>
  </cols>
  <sheetData>
    <row r="1">
      <c r="A1" s="1" t="s">
        <v>0</v>
      </c>
      <c r="B1" s="2" t="s">
        <v>1</v>
      </c>
      <c r="C1" s="3"/>
      <c r="D1" s="2"/>
      <c r="E1" s="3"/>
      <c r="F1" s="3"/>
      <c r="G1" s="3"/>
      <c r="H1" s="3"/>
      <c r="I1" s="5"/>
      <c r="J1" s="5"/>
      <c r="K1" s="5"/>
      <c r="L1" s="5"/>
      <c r="M1" s="5"/>
      <c r="N1" s="5"/>
      <c r="O1" s="5"/>
      <c r="P1" s="5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" t="s">
        <v>3</v>
      </c>
      <c r="B2" s="8">
        <v>45994.0</v>
      </c>
      <c r="C2" s="3"/>
      <c r="D2" s="2"/>
      <c r="E2" s="3"/>
      <c r="F2" s="3"/>
      <c r="G2" s="3"/>
      <c r="H2" s="3"/>
      <c r="I2" s="5"/>
      <c r="J2" s="5"/>
      <c r="K2" s="5"/>
      <c r="L2" s="5"/>
      <c r="M2" s="5"/>
      <c r="N2" s="5"/>
      <c r="O2" s="5"/>
      <c r="P2" s="5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" t="s">
        <v>4</v>
      </c>
      <c r="B3" s="3"/>
      <c r="C3" s="5"/>
      <c r="D3" s="7"/>
      <c r="E3" s="3"/>
      <c r="F3" s="3"/>
      <c r="G3" s="3"/>
      <c r="H3" s="9" t="s">
        <v>5</v>
      </c>
      <c r="I3" s="5"/>
      <c r="J3" s="10" t="s">
        <v>6</v>
      </c>
      <c r="K3" s="11">
        <v>144.0</v>
      </c>
      <c r="L3" s="10" t="s">
        <v>7</v>
      </c>
      <c r="M3" s="12">
        <v>0.05</v>
      </c>
      <c r="N3" s="5"/>
      <c r="O3" s="5"/>
      <c r="P3" s="5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" t="s">
        <v>9</v>
      </c>
      <c r="B4" s="2">
        <v>12.0</v>
      </c>
      <c r="C4" s="3" t="s">
        <v>10</v>
      </c>
      <c r="D4" s="2"/>
      <c r="E4" s="3"/>
      <c r="F4" s="3"/>
      <c r="G4" s="3"/>
      <c r="H4" s="14" t="s">
        <v>11</v>
      </c>
      <c r="I4" s="11">
        <v>1080.0</v>
      </c>
      <c r="J4" s="5"/>
      <c r="K4" s="5"/>
      <c r="L4" s="5"/>
      <c r="M4" s="5"/>
      <c r="N4" s="5"/>
      <c r="O4" s="5"/>
      <c r="P4" s="5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" t="s">
        <v>12</v>
      </c>
      <c r="B5" s="2">
        <v>18.0</v>
      </c>
      <c r="C5" s="3" t="s">
        <v>10</v>
      </c>
      <c r="D5" s="2"/>
      <c r="E5" s="3"/>
      <c r="F5" s="3"/>
      <c r="G5" s="3"/>
      <c r="H5" s="14" t="s">
        <v>13</v>
      </c>
      <c r="I5" s="11">
        <v>500.0</v>
      </c>
      <c r="J5" s="5"/>
      <c r="K5" s="5"/>
      <c r="L5" s="5"/>
      <c r="M5" s="5"/>
      <c r="N5" s="5"/>
      <c r="O5" s="5"/>
      <c r="P5" s="5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6" t="s">
        <v>14</v>
      </c>
      <c r="B6" s="18" t="s">
        <v>16</v>
      </c>
      <c r="C6" s="18" t="s">
        <v>17</v>
      </c>
      <c r="D6" s="18"/>
      <c r="E6" s="18"/>
      <c r="F6" s="5"/>
      <c r="G6" s="5"/>
      <c r="H6" s="11" t="s">
        <v>18</v>
      </c>
      <c r="I6" s="20">
        <v>200.0</v>
      </c>
      <c r="J6" s="5"/>
      <c r="K6" s="5"/>
      <c r="L6" s="5"/>
      <c r="M6" s="5"/>
      <c r="N6" s="5"/>
      <c r="O6" s="5"/>
      <c r="P6" s="5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1"/>
      <c r="B7" s="5"/>
      <c r="C7" s="5"/>
      <c r="D7" s="21"/>
      <c r="E7" s="21"/>
      <c r="F7" s="5"/>
      <c r="G7" s="5"/>
      <c r="H7" s="5"/>
      <c r="I7" s="22"/>
      <c r="J7" s="5"/>
      <c r="K7" s="5"/>
      <c r="L7" s="5"/>
      <c r="M7" s="5"/>
      <c r="N7" s="5"/>
      <c r="O7" s="5"/>
      <c r="P7" s="5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24" t="s">
        <v>20</v>
      </c>
      <c r="B8" s="26" t="s">
        <v>22</v>
      </c>
      <c r="C8" s="27"/>
      <c r="D8" s="28" t="s">
        <v>23</v>
      </c>
      <c r="E8" s="29" t="s">
        <v>24</v>
      </c>
      <c r="F8" s="31" t="s">
        <v>26</v>
      </c>
      <c r="G8" s="32" t="s">
        <v>27</v>
      </c>
      <c r="H8" s="29" t="s">
        <v>28</v>
      </c>
      <c r="I8" s="29" t="s">
        <v>29</v>
      </c>
      <c r="J8" s="29" t="s">
        <v>30</v>
      </c>
      <c r="K8" s="34"/>
      <c r="L8" s="34"/>
      <c r="M8" s="34"/>
      <c r="N8" s="34"/>
      <c r="O8" s="34"/>
      <c r="P8" s="34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>
      <c r="A9" s="39">
        <v>8.05875019E9</v>
      </c>
      <c r="B9" s="40" t="s">
        <v>34</v>
      </c>
      <c r="C9" s="41" t="s">
        <v>35</v>
      </c>
      <c r="D9" s="39">
        <v>1300.0</v>
      </c>
      <c r="E9" s="42">
        <v>182.0</v>
      </c>
      <c r="F9" s="43">
        <v>3900.0</v>
      </c>
      <c r="G9" s="43">
        <f t="shared" ref="G9:G11" si="1">(F9+$I$4)+($K$3+F9*$M$3)</f>
        <v>5319</v>
      </c>
      <c r="H9" s="50">
        <f t="shared" ref="H9:H63" si="2">G9/D9</f>
        <v>4.091538462</v>
      </c>
      <c r="I9" s="51">
        <f t="shared" ref="I9:I82" si="3">(540/E9)</f>
        <v>2.967032967</v>
      </c>
      <c r="J9" s="52">
        <v>4.0</v>
      </c>
      <c r="K9" s="11" t="s">
        <v>48</v>
      </c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39">
        <v>8.05669219E9</v>
      </c>
      <c r="B10" s="40" t="s">
        <v>50</v>
      </c>
      <c r="C10" s="41" t="s">
        <v>53</v>
      </c>
      <c r="D10" s="39">
        <v>750.0</v>
      </c>
      <c r="E10" s="42">
        <v>182.0</v>
      </c>
      <c r="F10" s="43">
        <v>1975.0</v>
      </c>
      <c r="G10" s="43">
        <f t="shared" si="1"/>
        <v>3297.75</v>
      </c>
      <c r="H10" s="50">
        <f t="shared" si="2"/>
        <v>4.397</v>
      </c>
      <c r="I10" s="51">
        <f t="shared" si="3"/>
        <v>2.967032967</v>
      </c>
      <c r="J10" s="52">
        <v>5.0</v>
      </c>
      <c r="K10" s="11" t="s">
        <v>48</v>
      </c>
      <c r="L10" s="5"/>
      <c r="M10" s="5"/>
      <c r="N10" s="5"/>
      <c r="O10" s="5"/>
      <c r="P10" s="53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54">
        <v>8.05681119E9</v>
      </c>
      <c r="B11" s="41" t="s">
        <v>59</v>
      </c>
      <c r="C11" s="41" t="s">
        <v>60</v>
      </c>
      <c r="D11" s="39">
        <v>750.0</v>
      </c>
      <c r="E11" s="42">
        <v>182.0</v>
      </c>
      <c r="F11" s="43">
        <v>1720.0</v>
      </c>
      <c r="G11" s="43">
        <f t="shared" si="1"/>
        <v>3030</v>
      </c>
      <c r="H11" s="50">
        <f t="shared" si="2"/>
        <v>4.04</v>
      </c>
      <c r="I11" s="51">
        <f t="shared" si="3"/>
        <v>2.967032967</v>
      </c>
      <c r="J11" s="52">
        <v>4.0</v>
      </c>
      <c r="K11" s="11" t="s">
        <v>48</v>
      </c>
      <c r="L11" s="5"/>
      <c r="M11" s="5"/>
      <c r="N11" s="5"/>
      <c r="O11" s="5"/>
      <c r="P11" s="5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39">
        <v>8.05682019E9</v>
      </c>
      <c r="B12" s="41" t="s">
        <v>65</v>
      </c>
      <c r="C12" s="41" t="s">
        <v>66</v>
      </c>
      <c r="D12" s="39">
        <v>450.0</v>
      </c>
      <c r="E12" s="42">
        <v>182.0</v>
      </c>
      <c r="F12" s="33"/>
      <c r="G12" s="43"/>
      <c r="H12" s="50">
        <f t="shared" si="2"/>
        <v>0</v>
      </c>
      <c r="I12" s="51">
        <f t="shared" si="3"/>
        <v>2.967032967</v>
      </c>
      <c r="J12" s="55"/>
      <c r="K12" s="5"/>
      <c r="L12" s="5"/>
      <c r="M12" s="5"/>
      <c r="N12" s="5"/>
      <c r="O12" s="5"/>
      <c r="P12" s="5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9">
        <v>8.05696019E9</v>
      </c>
      <c r="B13" s="41" t="s">
        <v>69</v>
      </c>
      <c r="C13" s="41" t="s">
        <v>70</v>
      </c>
      <c r="D13" s="39">
        <v>1050.0</v>
      </c>
      <c r="E13" s="42">
        <v>42.0</v>
      </c>
      <c r="F13" s="43">
        <v>9894.0</v>
      </c>
      <c r="G13" s="43">
        <f t="shared" ref="G13:G16" si="4">(F13+$I$4)+($K$3+F13*$M$3)</f>
        <v>11612.7</v>
      </c>
      <c r="H13" s="50">
        <f t="shared" si="2"/>
        <v>11.05971429</v>
      </c>
      <c r="I13" s="51">
        <f t="shared" si="3"/>
        <v>12.85714286</v>
      </c>
      <c r="J13" s="52">
        <v>12.0</v>
      </c>
      <c r="K13" s="11" t="s">
        <v>48</v>
      </c>
      <c r="L13" s="5"/>
      <c r="M13" s="5"/>
      <c r="N13" s="5"/>
      <c r="O13" s="5"/>
      <c r="P13" s="5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9">
        <v>8.05695119E9</v>
      </c>
      <c r="B14" s="41" t="s">
        <v>79</v>
      </c>
      <c r="C14" s="41" t="s">
        <v>80</v>
      </c>
      <c r="D14" s="39">
        <v>1000.0</v>
      </c>
      <c r="E14" s="42">
        <v>182.0</v>
      </c>
      <c r="F14" s="43">
        <v>9690.0</v>
      </c>
      <c r="G14" s="43">
        <f t="shared" si="4"/>
        <v>11398.5</v>
      </c>
      <c r="H14" s="50">
        <f t="shared" si="2"/>
        <v>11.3985</v>
      </c>
      <c r="I14" s="51">
        <f t="shared" si="3"/>
        <v>2.967032967</v>
      </c>
      <c r="J14" s="52">
        <v>12.0</v>
      </c>
      <c r="K14" s="11" t="s">
        <v>48</v>
      </c>
      <c r="L14" s="5"/>
      <c r="M14" s="5"/>
      <c r="N14" s="5"/>
      <c r="O14" s="5"/>
      <c r="P14" s="5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39">
        <v>8.05742719E9</v>
      </c>
      <c r="B15" s="41" t="s">
        <v>83</v>
      </c>
      <c r="C15" s="41" t="s">
        <v>84</v>
      </c>
      <c r="D15" s="39">
        <v>1500.0</v>
      </c>
      <c r="E15" s="42">
        <v>182.0</v>
      </c>
      <c r="F15" s="43">
        <v>1875.0</v>
      </c>
      <c r="G15" s="43">
        <f t="shared" si="4"/>
        <v>3192.75</v>
      </c>
      <c r="H15" s="50">
        <f t="shared" si="2"/>
        <v>2.1285</v>
      </c>
      <c r="I15" s="51">
        <f t="shared" si="3"/>
        <v>2.967032967</v>
      </c>
      <c r="J15" s="52">
        <v>3.0</v>
      </c>
      <c r="K15" s="11" t="s">
        <v>48</v>
      </c>
      <c r="L15" s="5"/>
      <c r="M15" s="5"/>
      <c r="N15" s="5"/>
      <c r="O15" s="5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39">
        <v>8.05744319E9</v>
      </c>
      <c r="B16" s="41" t="s">
        <v>89</v>
      </c>
      <c r="C16" s="41" t="s">
        <v>90</v>
      </c>
      <c r="D16" s="39">
        <v>2600.0</v>
      </c>
      <c r="E16" s="42">
        <v>182.0</v>
      </c>
      <c r="F16" s="43">
        <v>8520.0</v>
      </c>
      <c r="G16" s="43">
        <f t="shared" si="4"/>
        <v>10170</v>
      </c>
      <c r="H16" s="50">
        <f t="shared" si="2"/>
        <v>3.911538462</v>
      </c>
      <c r="I16" s="51">
        <f t="shared" si="3"/>
        <v>2.967032967</v>
      </c>
      <c r="J16" s="52">
        <v>4.0</v>
      </c>
      <c r="K16" s="11" t="s">
        <v>48</v>
      </c>
      <c r="L16" s="5"/>
      <c r="M16" s="5"/>
      <c r="N16" s="5"/>
      <c r="O16" s="5"/>
      <c r="P16" s="5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39">
        <v>8.10556119E9</v>
      </c>
      <c r="B17" s="41" t="s">
        <v>95</v>
      </c>
      <c r="C17" s="41" t="s">
        <v>96</v>
      </c>
      <c r="D17" s="39">
        <v>1050.0</v>
      </c>
      <c r="E17" s="42">
        <v>182.0</v>
      </c>
      <c r="F17" s="33"/>
      <c r="G17" s="43"/>
      <c r="H17" s="50">
        <f t="shared" si="2"/>
        <v>0</v>
      </c>
      <c r="I17" s="51">
        <f t="shared" si="3"/>
        <v>2.967032967</v>
      </c>
      <c r="J17" s="55"/>
      <c r="K17" s="5"/>
      <c r="L17" s="5"/>
      <c r="M17" s="5"/>
      <c r="N17" s="5"/>
      <c r="O17" s="5"/>
      <c r="P17" s="5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61">
        <v>8.05746019E9</v>
      </c>
      <c r="B18" s="63" t="s">
        <v>100</v>
      </c>
      <c r="C18" s="63" t="s">
        <v>102</v>
      </c>
      <c r="D18" s="61">
        <v>500.0</v>
      </c>
      <c r="E18" s="64">
        <v>56.0</v>
      </c>
      <c r="F18" s="65">
        <v>1055.0</v>
      </c>
      <c r="G18" s="65">
        <f>(F18+$I$5)+($K$3+F18*$M$3)</f>
        <v>1751.75</v>
      </c>
      <c r="H18" s="67">
        <f t="shared" si="2"/>
        <v>3.5035</v>
      </c>
      <c r="I18" s="68">
        <f t="shared" si="3"/>
        <v>9.642857143</v>
      </c>
      <c r="J18" s="69">
        <v>6.0</v>
      </c>
      <c r="K18" s="11" t="s">
        <v>48</v>
      </c>
      <c r="L18" s="5"/>
      <c r="M18" s="5"/>
      <c r="N18" s="5"/>
      <c r="O18" s="5"/>
      <c r="P18" s="5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39">
        <v>8.05675719E9</v>
      </c>
      <c r="B19" s="41" t="s">
        <v>113</v>
      </c>
      <c r="C19" s="41" t="s">
        <v>114</v>
      </c>
      <c r="D19" s="39">
        <v>1100.0</v>
      </c>
      <c r="E19" s="42">
        <v>56.0</v>
      </c>
      <c r="F19" s="43">
        <v>3700.0</v>
      </c>
      <c r="G19" s="43">
        <f>(F19+$I$4)+($K$3+F19*$M$3)</f>
        <v>5109</v>
      </c>
      <c r="H19" s="50">
        <f t="shared" si="2"/>
        <v>4.644545455</v>
      </c>
      <c r="I19" s="51">
        <f t="shared" si="3"/>
        <v>9.642857143</v>
      </c>
      <c r="J19" s="52">
        <v>7.0</v>
      </c>
      <c r="K19" s="11" t="s">
        <v>48</v>
      </c>
      <c r="L19" s="5"/>
      <c r="M19" s="5"/>
      <c r="N19" s="5"/>
      <c r="O19" s="5"/>
      <c r="P19" s="5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39">
        <v>8.05861019E9</v>
      </c>
      <c r="B20" s="41" t="s">
        <v>120</v>
      </c>
      <c r="C20" s="41" t="s">
        <v>121</v>
      </c>
      <c r="D20" s="39">
        <v>750.0</v>
      </c>
      <c r="E20" s="42">
        <v>182.0</v>
      </c>
      <c r="F20" s="33">
        <v>600.0</v>
      </c>
      <c r="G20" s="43">
        <f>(F20+$I$5)+($K$3+F20*$M$3)</f>
        <v>1274</v>
      </c>
      <c r="H20" s="50">
        <f t="shared" si="2"/>
        <v>1.698666667</v>
      </c>
      <c r="I20" s="51">
        <f t="shared" si="3"/>
        <v>2.967032967</v>
      </c>
      <c r="J20" s="52">
        <v>3.0</v>
      </c>
      <c r="K20" s="11" t="s">
        <v>48</v>
      </c>
      <c r="L20" s="5"/>
      <c r="M20" s="5"/>
      <c r="N20" s="5"/>
      <c r="O20" s="5"/>
      <c r="P20" s="5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39">
        <v>8.05779619E9</v>
      </c>
      <c r="B21" s="41" t="s">
        <v>124</v>
      </c>
      <c r="C21" s="41" t="s">
        <v>125</v>
      </c>
      <c r="D21" s="39">
        <v>400.0</v>
      </c>
      <c r="E21" s="42">
        <v>84.0</v>
      </c>
      <c r="F21" s="43">
        <v>1300.0</v>
      </c>
      <c r="G21" s="43">
        <f t="shared" ref="G21:G22" si="5">(F21+$I$4)+($K$3+F21*$M$3)</f>
        <v>2589</v>
      </c>
      <c r="H21" s="50">
        <f t="shared" si="2"/>
        <v>6.4725</v>
      </c>
      <c r="I21" s="51">
        <f t="shared" si="3"/>
        <v>6.428571429</v>
      </c>
      <c r="J21" s="52">
        <v>7.0</v>
      </c>
      <c r="K21" s="11" t="s">
        <v>48</v>
      </c>
      <c r="L21" s="5"/>
      <c r="M21" s="5"/>
      <c r="N21" s="5"/>
      <c r="O21" s="5"/>
      <c r="P21" s="5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39">
        <v>8.05780019E9</v>
      </c>
      <c r="B22" s="41" t="s">
        <v>129</v>
      </c>
      <c r="C22" s="41" t="s">
        <v>130</v>
      </c>
      <c r="D22" s="39">
        <v>3300.0</v>
      </c>
      <c r="E22" s="42">
        <v>182.0</v>
      </c>
      <c r="F22" s="43">
        <v>23340.0</v>
      </c>
      <c r="G22" s="43">
        <f t="shared" si="5"/>
        <v>25731</v>
      </c>
      <c r="H22" s="50">
        <f t="shared" si="2"/>
        <v>7.797272727</v>
      </c>
      <c r="I22" s="51">
        <f t="shared" si="3"/>
        <v>2.967032967</v>
      </c>
      <c r="J22" s="52">
        <v>9.0</v>
      </c>
      <c r="K22" s="11" t="s">
        <v>48</v>
      </c>
      <c r="L22" s="5"/>
      <c r="M22" s="5"/>
      <c r="N22" s="5"/>
      <c r="O22" s="5"/>
      <c r="P22" s="5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39">
        <v>8.05793119E9</v>
      </c>
      <c r="B23" s="41" t="s">
        <v>132</v>
      </c>
      <c r="C23" s="41" t="s">
        <v>133</v>
      </c>
      <c r="D23" s="39">
        <v>700.0</v>
      </c>
      <c r="E23" s="42">
        <v>84.0</v>
      </c>
      <c r="F23" s="43">
        <v>750.0</v>
      </c>
      <c r="G23" s="43">
        <f>(F23+$I$5)+($K$3+F23*$M$3)</f>
        <v>1431.5</v>
      </c>
      <c r="H23" s="50">
        <f t="shared" si="2"/>
        <v>2.045</v>
      </c>
      <c r="I23" s="51">
        <f t="shared" si="3"/>
        <v>6.428571429</v>
      </c>
      <c r="J23" s="52">
        <v>7.0</v>
      </c>
      <c r="K23" s="11" t="s">
        <v>48</v>
      </c>
      <c r="L23" s="5"/>
      <c r="M23" s="5"/>
      <c r="N23" s="5"/>
      <c r="O23" s="5"/>
      <c r="P23" s="5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39">
        <v>8.05794019E9</v>
      </c>
      <c r="B24" s="41" t="s">
        <v>143</v>
      </c>
      <c r="C24" s="41" t="s">
        <v>144</v>
      </c>
      <c r="D24" s="39">
        <v>100.0</v>
      </c>
      <c r="E24" s="42">
        <v>84.0</v>
      </c>
      <c r="F24" s="33"/>
      <c r="G24" s="43"/>
      <c r="H24" s="50">
        <f t="shared" si="2"/>
        <v>0</v>
      </c>
      <c r="I24" s="51">
        <f t="shared" si="3"/>
        <v>6.428571429</v>
      </c>
      <c r="J24" s="55"/>
      <c r="K24" s="5"/>
      <c r="L24" s="5"/>
      <c r="M24" s="5"/>
      <c r="N24" s="5"/>
      <c r="O24" s="5"/>
      <c r="P24" s="5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39">
        <v>8.05795819E9</v>
      </c>
      <c r="B25" s="41" t="s">
        <v>147</v>
      </c>
      <c r="C25" s="41" t="s">
        <v>148</v>
      </c>
      <c r="D25" s="39">
        <v>850.0</v>
      </c>
      <c r="E25" s="42">
        <v>182.0</v>
      </c>
      <c r="F25" s="43">
        <v>4370.0</v>
      </c>
      <c r="G25" s="43">
        <f t="shared" ref="G25:G27" si="6">(F25+$I$5)+($K$3+F25*$M$3)</f>
        <v>5232.5</v>
      </c>
      <c r="H25" s="50">
        <f t="shared" si="2"/>
        <v>6.155882353</v>
      </c>
      <c r="I25" s="51">
        <f t="shared" si="3"/>
        <v>2.967032967</v>
      </c>
      <c r="J25" s="52">
        <v>7.0</v>
      </c>
      <c r="K25" s="11" t="s">
        <v>48</v>
      </c>
      <c r="L25" s="5"/>
      <c r="M25" s="5"/>
      <c r="N25" s="5"/>
      <c r="O25" s="5"/>
      <c r="P25" s="5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39">
        <v>8.05798219E9</v>
      </c>
      <c r="B26" s="41" t="s">
        <v>153</v>
      </c>
      <c r="C26" s="41" t="s">
        <v>154</v>
      </c>
      <c r="D26" s="39">
        <v>200.0</v>
      </c>
      <c r="E26" s="42">
        <v>28.0</v>
      </c>
      <c r="F26" s="43">
        <v>2000.0</v>
      </c>
      <c r="G26" s="43">
        <f t="shared" si="6"/>
        <v>2744</v>
      </c>
      <c r="H26" s="50">
        <f t="shared" si="2"/>
        <v>13.72</v>
      </c>
      <c r="I26" s="51">
        <f t="shared" si="3"/>
        <v>19.28571429</v>
      </c>
      <c r="J26" s="52">
        <v>14.0</v>
      </c>
      <c r="K26" s="11" t="s">
        <v>48</v>
      </c>
      <c r="L26" s="5"/>
      <c r="M26" s="5"/>
      <c r="N26" s="5"/>
      <c r="O26" s="5"/>
      <c r="P26" s="5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39">
        <v>8.05801619E9</v>
      </c>
      <c r="B27" s="41" t="s">
        <v>159</v>
      </c>
      <c r="C27" s="41" t="s">
        <v>160</v>
      </c>
      <c r="D27" s="39">
        <v>690.0</v>
      </c>
      <c r="E27" s="42">
        <v>182.0</v>
      </c>
      <c r="F27" s="33">
        <v>1050.0</v>
      </c>
      <c r="G27" s="43">
        <f t="shared" si="6"/>
        <v>1746.5</v>
      </c>
      <c r="H27" s="50">
        <f t="shared" si="2"/>
        <v>2.53115942</v>
      </c>
      <c r="I27" s="51">
        <f t="shared" si="3"/>
        <v>2.967032967</v>
      </c>
      <c r="J27" s="52">
        <v>3.0</v>
      </c>
      <c r="K27" s="11" t="s">
        <v>48</v>
      </c>
      <c r="L27" s="5"/>
      <c r="M27" s="5"/>
      <c r="N27" s="5"/>
      <c r="O27" s="5"/>
      <c r="P27" s="5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39">
        <v>8.10469719E9</v>
      </c>
      <c r="B28" s="41" t="s">
        <v>162</v>
      </c>
      <c r="C28" s="41" t="s">
        <v>163</v>
      </c>
      <c r="D28" s="39">
        <v>800.0</v>
      </c>
      <c r="E28" s="42">
        <v>182.0</v>
      </c>
      <c r="F28" s="43">
        <v>2000.0</v>
      </c>
      <c r="G28" s="43">
        <f t="shared" ref="G28:G31" si="7">(F28+$I$4)+($K$3+F28*$M$3)</f>
        <v>3324</v>
      </c>
      <c r="H28" s="50">
        <f t="shared" si="2"/>
        <v>4.155</v>
      </c>
      <c r="I28" s="51">
        <f t="shared" si="3"/>
        <v>2.967032967</v>
      </c>
      <c r="J28" s="52">
        <v>5.0</v>
      </c>
      <c r="K28" s="11" t="s">
        <v>48</v>
      </c>
      <c r="L28" s="5"/>
      <c r="M28" s="5"/>
      <c r="N28" s="5"/>
      <c r="O28" s="5"/>
      <c r="P28" s="5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39">
        <v>8.10471919E9</v>
      </c>
      <c r="B29" s="41" t="s">
        <v>167</v>
      </c>
      <c r="C29" s="41" t="s">
        <v>168</v>
      </c>
      <c r="D29" s="39">
        <v>800.0</v>
      </c>
      <c r="E29" s="42">
        <v>182.0</v>
      </c>
      <c r="F29" s="43">
        <v>2000.0</v>
      </c>
      <c r="G29" s="43">
        <f t="shared" si="7"/>
        <v>3324</v>
      </c>
      <c r="H29" s="50">
        <f t="shared" si="2"/>
        <v>4.155</v>
      </c>
      <c r="I29" s="51">
        <f t="shared" si="3"/>
        <v>2.967032967</v>
      </c>
      <c r="J29" s="52">
        <v>5.0</v>
      </c>
      <c r="K29" s="11" t="s">
        <v>48</v>
      </c>
      <c r="L29" s="5"/>
      <c r="M29" s="5"/>
      <c r="N29" s="5"/>
      <c r="O29" s="5"/>
      <c r="P29" s="5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39">
        <v>8.05868719E9</v>
      </c>
      <c r="B30" s="41" t="s">
        <v>175</v>
      </c>
      <c r="C30" s="41" t="s">
        <v>177</v>
      </c>
      <c r="D30" s="39">
        <v>1000.0</v>
      </c>
      <c r="E30" s="42">
        <v>182.0</v>
      </c>
      <c r="F30" s="43">
        <v>5720.0</v>
      </c>
      <c r="G30" s="43">
        <f t="shared" si="7"/>
        <v>7230</v>
      </c>
      <c r="H30" s="50">
        <f t="shared" si="2"/>
        <v>7.23</v>
      </c>
      <c r="I30" s="51">
        <f t="shared" si="3"/>
        <v>2.967032967</v>
      </c>
      <c r="J30" s="52">
        <v>8.0</v>
      </c>
      <c r="K30" s="11" t="s">
        <v>48</v>
      </c>
      <c r="L30" s="5"/>
      <c r="M30" s="5"/>
      <c r="N30" s="5"/>
      <c r="O30" s="5"/>
      <c r="P30" s="5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39">
        <v>8.05880619E9</v>
      </c>
      <c r="B31" s="41" t="s">
        <v>181</v>
      </c>
      <c r="C31" s="41" t="s">
        <v>182</v>
      </c>
      <c r="D31" s="39">
        <v>600.0</v>
      </c>
      <c r="E31" s="42">
        <v>56.0</v>
      </c>
      <c r="F31" s="43">
        <v>18200.0</v>
      </c>
      <c r="G31" s="43">
        <f t="shared" si="7"/>
        <v>20334</v>
      </c>
      <c r="H31" s="50">
        <f t="shared" si="2"/>
        <v>33.89</v>
      </c>
      <c r="I31" s="51">
        <f t="shared" si="3"/>
        <v>9.642857143</v>
      </c>
      <c r="J31" s="52">
        <v>34.0</v>
      </c>
      <c r="K31" s="11" t="s">
        <v>48</v>
      </c>
      <c r="L31" s="5"/>
      <c r="M31" s="5"/>
      <c r="N31" s="5"/>
      <c r="O31" s="5"/>
      <c r="P31" s="5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39">
        <v>8.10605319E9</v>
      </c>
      <c r="B32" s="41" t="s">
        <v>185</v>
      </c>
      <c r="C32" s="41" t="s">
        <v>186</v>
      </c>
      <c r="D32" s="39">
        <v>300.0</v>
      </c>
      <c r="E32" s="42">
        <v>182.0</v>
      </c>
      <c r="F32" s="33"/>
      <c r="G32" s="43"/>
      <c r="H32" s="50">
        <f t="shared" si="2"/>
        <v>0</v>
      </c>
      <c r="I32" s="51">
        <f t="shared" si="3"/>
        <v>2.967032967</v>
      </c>
      <c r="J32" s="55"/>
      <c r="K32" s="5"/>
      <c r="L32" s="5"/>
      <c r="M32" s="5"/>
      <c r="N32" s="5"/>
      <c r="O32" s="5"/>
      <c r="P32" s="5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41">
        <v>8.05671419E9</v>
      </c>
      <c r="B33" s="41" t="s">
        <v>187</v>
      </c>
      <c r="C33" s="41" t="s">
        <v>189</v>
      </c>
      <c r="D33" s="39">
        <v>500.0</v>
      </c>
      <c r="E33" s="42">
        <v>182.0</v>
      </c>
      <c r="F33" s="33"/>
      <c r="G33" s="43"/>
      <c r="H33" s="50">
        <f t="shared" si="2"/>
        <v>0</v>
      </c>
      <c r="I33" s="51">
        <f t="shared" si="3"/>
        <v>2.967032967</v>
      </c>
      <c r="J33" s="55"/>
      <c r="K33" s="5"/>
      <c r="L33" s="5"/>
      <c r="M33" s="5"/>
      <c r="N33" s="5"/>
      <c r="O33" s="5"/>
      <c r="P33" s="5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41">
        <v>8.05865219E9</v>
      </c>
      <c r="B34" s="41" t="s">
        <v>190</v>
      </c>
      <c r="C34" s="41" t="s">
        <v>191</v>
      </c>
      <c r="D34" s="39">
        <v>1050.0</v>
      </c>
      <c r="E34" s="42">
        <v>182.0</v>
      </c>
      <c r="F34" s="43">
        <v>975.0</v>
      </c>
      <c r="G34" s="43">
        <f>(F34+$I$4)+($K$3+F34*$M$3)</f>
        <v>2247.75</v>
      </c>
      <c r="H34" s="50">
        <f t="shared" si="2"/>
        <v>2.140714286</v>
      </c>
      <c r="I34" s="51">
        <f t="shared" si="3"/>
        <v>2.967032967</v>
      </c>
      <c r="J34" s="52">
        <v>3.0</v>
      </c>
      <c r="K34" s="11" t="s">
        <v>48</v>
      </c>
      <c r="L34" s="5"/>
      <c r="M34" s="5"/>
      <c r="N34" s="5"/>
      <c r="O34" s="5"/>
      <c r="P34" s="5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41">
        <v>8.05752419E9</v>
      </c>
      <c r="B35" s="41" t="s">
        <v>194</v>
      </c>
      <c r="C35" s="41" t="s">
        <v>195</v>
      </c>
      <c r="D35" s="39">
        <v>600.0</v>
      </c>
      <c r="E35" s="42">
        <v>126.0</v>
      </c>
      <c r="F35" s="33"/>
      <c r="G35" s="43"/>
      <c r="H35" s="50">
        <f t="shared" si="2"/>
        <v>0</v>
      </c>
      <c r="I35" s="51">
        <f t="shared" si="3"/>
        <v>4.285714286</v>
      </c>
      <c r="J35" s="55"/>
      <c r="K35" s="5"/>
      <c r="L35" s="5"/>
      <c r="M35" s="5"/>
      <c r="N35" s="5"/>
      <c r="O35" s="5"/>
      <c r="P35" s="5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41">
        <v>8.05753219E9</v>
      </c>
      <c r="B36" s="41" t="s">
        <v>197</v>
      </c>
      <c r="C36" s="41" t="s">
        <v>198</v>
      </c>
      <c r="D36" s="39">
        <v>2500.0</v>
      </c>
      <c r="E36" s="42">
        <v>182.0</v>
      </c>
      <c r="F36" s="43">
        <v>9200.0</v>
      </c>
      <c r="G36" s="43">
        <f t="shared" ref="G36:G38" si="8">(F36+$I$4)+($K$3+F36*$M$3)</f>
        <v>10884</v>
      </c>
      <c r="H36" s="50">
        <f t="shared" si="2"/>
        <v>4.3536</v>
      </c>
      <c r="I36" s="51">
        <f t="shared" si="3"/>
        <v>2.967032967</v>
      </c>
      <c r="J36" s="52">
        <v>5.0</v>
      </c>
      <c r="K36" s="11" t="s">
        <v>48</v>
      </c>
      <c r="L36" s="5"/>
      <c r="M36" s="5"/>
      <c r="N36" s="5"/>
      <c r="O36" s="5"/>
      <c r="P36" s="5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41">
        <v>8.05787719E9</v>
      </c>
      <c r="B37" s="41" t="s">
        <v>201</v>
      </c>
      <c r="C37" s="41" t="s">
        <v>202</v>
      </c>
      <c r="D37" s="39">
        <v>700.0</v>
      </c>
      <c r="E37" s="42">
        <v>84.0</v>
      </c>
      <c r="F37" s="43">
        <v>5870.0</v>
      </c>
      <c r="G37" s="43">
        <f t="shared" si="8"/>
        <v>7387.5</v>
      </c>
      <c r="H37" s="50">
        <f t="shared" si="2"/>
        <v>10.55357143</v>
      </c>
      <c r="I37" s="51">
        <f t="shared" si="3"/>
        <v>6.428571429</v>
      </c>
      <c r="J37" s="52">
        <v>11.0</v>
      </c>
      <c r="K37" s="11" t="s">
        <v>204</v>
      </c>
      <c r="L37" s="5"/>
      <c r="M37" s="5"/>
      <c r="N37" s="5"/>
      <c r="O37" s="5"/>
      <c r="P37" s="5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41">
        <v>8.05796619E9</v>
      </c>
      <c r="B38" s="41" t="s">
        <v>205</v>
      </c>
      <c r="C38" s="41" t="s">
        <v>206</v>
      </c>
      <c r="D38" s="39">
        <v>600.0</v>
      </c>
      <c r="E38" s="42">
        <v>182.0</v>
      </c>
      <c r="F38" s="33">
        <v>5270.0</v>
      </c>
      <c r="G38" s="43">
        <f t="shared" si="8"/>
        <v>6757.5</v>
      </c>
      <c r="H38" s="50">
        <f t="shared" si="2"/>
        <v>11.2625</v>
      </c>
      <c r="I38" s="51">
        <f t="shared" si="3"/>
        <v>2.967032967</v>
      </c>
      <c r="J38" s="52">
        <v>12.0</v>
      </c>
      <c r="K38" s="11" t="s">
        <v>204</v>
      </c>
      <c r="L38" s="5"/>
      <c r="M38" s="5"/>
      <c r="N38" s="5"/>
      <c r="O38" s="5"/>
      <c r="P38" s="5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41">
        <v>8.10544819E9</v>
      </c>
      <c r="B39" s="41" t="s">
        <v>208</v>
      </c>
      <c r="C39" s="41" t="s">
        <v>209</v>
      </c>
      <c r="D39" s="39">
        <v>250.0</v>
      </c>
      <c r="E39" s="42">
        <v>182.0</v>
      </c>
      <c r="F39" s="33"/>
      <c r="G39" s="43"/>
      <c r="H39" s="50">
        <f t="shared" si="2"/>
        <v>0</v>
      </c>
      <c r="I39" s="51">
        <f t="shared" si="3"/>
        <v>2.967032967</v>
      </c>
      <c r="J39" s="55"/>
      <c r="K39" s="5"/>
      <c r="L39" s="5"/>
      <c r="M39" s="5"/>
      <c r="N39" s="5"/>
      <c r="O39" s="5"/>
      <c r="P39" s="5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41">
        <v>8.10546419E9</v>
      </c>
      <c r="B40" s="41" t="s">
        <v>211</v>
      </c>
      <c r="C40" s="41" t="s">
        <v>212</v>
      </c>
      <c r="D40" s="39">
        <v>250.0</v>
      </c>
      <c r="E40" s="42">
        <v>182.0</v>
      </c>
      <c r="F40" s="33"/>
      <c r="G40" s="43"/>
      <c r="H40" s="50">
        <f t="shared" si="2"/>
        <v>0</v>
      </c>
      <c r="I40" s="51">
        <f t="shared" si="3"/>
        <v>2.967032967</v>
      </c>
      <c r="J40" s="55"/>
      <c r="K40" s="5"/>
      <c r="L40" s="5"/>
      <c r="M40" s="5"/>
      <c r="N40" s="5"/>
      <c r="O40" s="5"/>
      <c r="P40" s="5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41">
        <v>8.06351619E9</v>
      </c>
      <c r="B41" s="41" t="s">
        <v>215</v>
      </c>
      <c r="C41" s="41" t="s">
        <v>216</v>
      </c>
      <c r="D41" s="39">
        <v>14500.0</v>
      </c>
      <c r="E41" s="42">
        <v>182.0</v>
      </c>
      <c r="F41" s="33"/>
      <c r="G41" s="43"/>
      <c r="H41" s="50">
        <f t="shared" si="2"/>
        <v>0</v>
      </c>
      <c r="I41" s="51">
        <f t="shared" si="3"/>
        <v>2.967032967</v>
      </c>
      <c r="J41" s="55"/>
      <c r="K41" s="5"/>
      <c r="L41" s="5"/>
      <c r="M41" s="5"/>
      <c r="N41" s="5"/>
      <c r="O41" s="5"/>
      <c r="P41" s="5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41">
        <v>8.05748619E9</v>
      </c>
      <c r="B42" s="41" t="s">
        <v>220</v>
      </c>
      <c r="C42" s="41" t="s">
        <v>221</v>
      </c>
      <c r="D42" s="39">
        <v>150.0</v>
      </c>
      <c r="E42" s="42">
        <v>56.0</v>
      </c>
      <c r="F42" s="43">
        <v>435.0</v>
      </c>
      <c r="G42" s="43">
        <f>(F42+$I$5)+($K$3+F42*$M$3)</f>
        <v>1100.75</v>
      </c>
      <c r="H42" s="50">
        <f t="shared" si="2"/>
        <v>7.338333333</v>
      </c>
      <c r="I42" s="51">
        <f t="shared" si="3"/>
        <v>9.642857143</v>
      </c>
      <c r="J42" s="52">
        <v>8.0</v>
      </c>
      <c r="K42" s="11" t="s">
        <v>225</v>
      </c>
      <c r="L42" s="5"/>
      <c r="M42" s="5"/>
      <c r="N42" s="5"/>
      <c r="O42" s="5"/>
      <c r="P42" s="5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41">
        <v>8.05672219E9</v>
      </c>
      <c r="B43" s="41" t="s">
        <v>226</v>
      </c>
      <c r="C43" s="41" t="s">
        <v>228</v>
      </c>
      <c r="D43" s="39">
        <v>500.0</v>
      </c>
      <c r="E43" s="42">
        <v>182.0</v>
      </c>
      <c r="F43" s="43">
        <v>1050.0</v>
      </c>
      <c r="G43" s="43">
        <f t="shared" ref="G43:G44" si="9">(F43+$I$4)+($K$3+F43*$M$3)</f>
        <v>2326.5</v>
      </c>
      <c r="H43" s="50">
        <f t="shared" si="2"/>
        <v>4.653</v>
      </c>
      <c r="I43" s="51">
        <f t="shared" si="3"/>
        <v>2.967032967</v>
      </c>
      <c r="J43" s="52">
        <v>5.0</v>
      </c>
      <c r="K43" s="11" t="s">
        <v>230</v>
      </c>
      <c r="L43" s="5"/>
      <c r="M43" s="5"/>
      <c r="N43" s="5"/>
      <c r="O43" s="5"/>
      <c r="P43" s="5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41">
        <v>8.05867919E9</v>
      </c>
      <c r="B44" s="41" t="s">
        <v>232</v>
      </c>
      <c r="C44" s="41" t="s">
        <v>234</v>
      </c>
      <c r="D44" s="39">
        <v>650.0</v>
      </c>
      <c r="E44" s="42">
        <v>182.0</v>
      </c>
      <c r="F44" s="33">
        <v>1300.0</v>
      </c>
      <c r="G44" s="43">
        <f t="shared" si="9"/>
        <v>2589</v>
      </c>
      <c r="H44" s="50">
        <f t="shared" si="2"/>
        <v>3.983076923</v>
      </c>
      <c r="I44" s="51">
        <f t="shared" si="3"/>
        <v>2.967032967</v>
      </c>
      <c r="J44" s="52">
        <v>4.0</v>
      </c>
      <c r="K44" s="11" t="s">
        <v>230</v>
      </c>
      <c r="L44" s="5"/>
      <c r="M44" s="5"/>
      <c r="N44" s="5"/>
      <c r="O44" s="5"/>
      <c r="P44" s="5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41">
        <v>8.05791519E9</v>
      </c>
      <c r="B45" s="41" t="s">
        <v>235</v>
      </c>
      <c r="C45" s="41" t="s">
        <v>237</v>
      </c>
      <c r="D45" s="39">
        <v>300.0</v>
      </c>
      <c r="E45" s="42">
        <v>182.0</v>
      </c>
      <c r="F45" s="33"/>
      <c r="G45" s="43"/>
      <c r="H45" s="50">
        <f t="shared" si="2"/>
        <v>0</v>
      </c>
      <c r="I45" s="51">
        <f t="shared" si="3"/>
        <v>2.967032967</v>
      </c>
      <c r="J45" s="55"/>
      <c r="K45" s="5"/>
      <c r="L45" s="5"/>
      <c r="M45" s="5"/>
      <c r="N45" s="5"/>
      <c r="O45" s="5"/>
      <c r="P45" s="5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39">
        <v>8.10547219E9</v>
      </c>
      <c r="B46" s="41" t="s">
        <v>239</v>
      </c>
      <c r="C46" s="41" t="s">
        <v>240</v>
      </c>
      <c r="D46" s="39">
        <v>200.0</v>
      </c>
      <c r="E46" s="42">
        <v>182.0</v>
      </c>
      <c r="F46" s="33">
        <v>1500.0</v>
      </c>
      <c r="G46" s="43">
        <f>(F46+$I$4)+($K$3+F46*$M$3)</f>
        <v>2799</v>
      </c>
      <c r="H46" s="50">
        <f t="shared" si="2"/>
        <v>13.995</v>
      </c>
      <c r="I46" s="51">
        <f t="shared" si="3"/>
        <v>2.967032967</v>
      </c>
      <c r="J46" s="52">
        <v>14.0</v>
      </c>
      <c r="K46" s="5"/>
      <c r="L46" s="5"/>
      <c r="M46" s="5"/>
      <c r="N46" s="5"/>
      <c r="O46" s="5"/>
      <c r="P46" s="5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39">
        <v>8.10555319E9</v>
      </c>
      <c r="B47" s="41" t="s">
        <v>245</v>
      </c>
      <c r="C47" s="41" t="s">
        <v>247</v>
      </c>
      <c r="D47" s="39">
        <v>200.0</v>
      </c>
      <c r="E47" s="42">
        <v>56.0</v>
      </c>
      <c r="F47" s="33"/>
      <c r="G47" s="43"/>
      <c r="H47" s="50">
        <f t="shared" si="2"/>
        <v>0</v>
      </c>
      <c r="I47" s="51">
        <f t="shared" si="3"/>
        <v>9.642857143</v>
      </c>
      <c r="J47" s="55"/>
      <c r="K47" s="5"/>
      <c r="L47" s="5"/>
      <c r="M47" s="5"/>
      <c r="N47" s="5"/>
      <c r="O47" s="5"/>
      <c r="P47" s="5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39">
        <v>8.25264519E9</v>
      </c>
      <c r="B48" s="41" t="s">
        <v>249</v>
      </c>
      <c r="C48" s="41" t="s">
        <v>250</v>
      </c>
      <c r="D48" s="39">
        <v>200.0</v>
      </c>
      <c r="E48" s="42">
        <v>182.0</v>
      </c>
      <c r="F48" s="33"/>
      <c r="G48" s="43"/>
      <c r="H48" s="50">
        <f t="shared" si="2"/>
        <v>0</v>
      </c>
      <c r="I48" s="51">
        <f t="shared" si="3"/>
        <v>2.967032967</v>
      </c>
      <c r="J48" s="55"/>
      <c r="K48" s="5"/>
      <c r="L48" s="5"/>
      <c r="M48" s="5"/>
      <c r="N48" s="5"/>
      <c r="O48" s="5"/>
      <c r="P48" s="5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39">
        <v>8.10607019E9</v>
      </c>
      <c r="B49" s="41" t="s">
        <v>253</v>
      </c>
      <c r="C49" s="41" t="s">
        <v>254</v>
      </c>
      <c r="D49" s="39">
        <v>150.0</v>
      </c>
      <c r="E49" s="42">
        <v>182.0</v>
      </c>
      <c r="F49" s="33"/>
      <c r="G49" s="43"/>
      <c r="H49" s="50">
        <f t="shared" si="2"/>
        <v>0</v>
      </c>
      <c r="I49" s="51">
        <f t="shared" si="3"/>
        <v>2.967032967</v>
      </c>
      <c r="J49" s="55"/>
      <c r="K49" s="5"/>
      <c r="L49" s="5"/>
      <c r="M49" s="5"/>
      <c r="N49" s="5"/>
      <c r="O49" s="5"/>
      <c r="P49" s="5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39">
        <v>8.10606119E9</v>
      </c>
      <c r="B50" s="41" t="s">
        <v>255</v>
      </c>
      <c r="C50" s="41" t="s">
        <v>256</v>
      </c>
      <c r="D50" s="39">
        <v>150.0</v>
      </c>
      <c r="E50" s="42">
        <v>182.0</v>
      </c>
      <c r="F50" s="33"/>
      <c r="G50" s="43"/>
      <c r="H50" s="50">
        <f t="shared" si="2"/>
        <v>0</v>
      </c>
      <c r="I50" s="51">
        <f t="shared" si="3"/>
        <v>2.967032967</v>
      </c>
      <c r="J50" s="55"/>
      <c r="K50" s="5"/>
      <c r="L50" s="5"/>
      <c r="M50" s="5"/>
      <c r="N50" s="5"/>
      <c r="O50" s="5"/>
      <c r="P50" s="5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39">
        <v>8.05877619E9</v>
      </c>
      <c r="B51" s="41" t="s">
        <v>258</v>
      </c>
      <c r="C51" s="41" t="s">
        <v>259</v>
      </c>
      <c r="D51" s="39">
        <v>100.0</v>
      </c>
      <c r="E51" s="42">
        <v>56.0</v>
      </c>
      <c r="F51" s="33"/>
      <c r="G51" s="43"/>
      <c r="H51" s="50">
        <f t="shared" si="2"/>
        <v>0</v>
      </c>
      <c r="I51" s="51">
        <f t="shared" si="3"/>
        <v>9.642857143</v>
      </c>
      <c r="J51" s="55"/>
      <c r="K51" s="5"/>
      <c r="L51" s="5"/>
      <c r="M51" s="5"/>
      <c r="N51" s="5"/>
      <c r="O51" s="5"/>
      <c r="P51" s="5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39">
        <v>8.05759119E9</v>
      </c>
      <c r="B52" s="41" t="s">
        <v>261</v>
      </c>
      <c r="C52" s="41" t="s">
        <v>262</v>
      </c>
      <c r="D52" s="39">
        <v>500.0</v>
      </c>
      <c r="E52" s="42">
        <v>84.0</v>
      </c>
      <c r="F52" s="43">
        <v>4950.0</v>
      </c>
      <c r="G52" s="43">
        <f>(F52+$I$4)+($K$3+F52*$M$3)</f>
        <v>6421.5</v>
      </c>
      <c r="H52" s="50">
        <f t="shared" si="2"/>
        <v>12.843</v>
      </c>
      <c r="I52" s="51">
        <f t="shared" si="3"/>
        <v>6.428571429</v>
      </c>
      <c r="J52" s="52">
        <v>13.0</v>
      </c>
      <c r="K52" s="11" t="s">
        <v>230</v>
      </c>
      <c r="L52" s="5"/>
      <c r="M52" s="5"/>
      <c r="N52" s="5"/>
      <c r="O52" s="5"/>
      <c r="P52" s="5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39">
        <v>8.10554519E9</v>
      </c>
      <c r="B53" s="41" t="s">
        <v>269</v>
      </c>
      <c r="C53" s="41" t="s">
        <v>270</v>
      </c>
      <c r="D53" s="39">
        <v>150.0</v>
      </c>
      <c r="E53" s="42">
        <v>154.0</v>
      </c>
      <c r="F53" s="33">
        <v>150.0</v>
      </c>
      <c r="G53" s="66">
        <f>(F53+$I$6)+($K$3+F53*$M$3)</f>
        <v>501.5</v>
      </c>
      <c r="H53" s="50">
        <f t="shared" si="2"/>
        <v>3.343333333</v>
      </c>
      <c r="I53" s="51">
        <f t="shared" si="3"/>
        <v>3.506493506</v>
      </c>
      <c r="J53" s="52">
        <v>4.0</v>
      </c>
      <c r="K53" s="11" t="s">
        <v>230</v>
      </c>
      <c r="L53" s="5"/>
      <c r="M53" s="5"/>
      <c r="N53" s="5"/>
      <c r="O53" s="5"/>
      <c r="P53" s="5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39">
        <v>8.10604519E9</v>
      </c>
      <c r="B54" s="41" t="s">
        <v>275</v>
      </c>
      <c r="C54" s="41" t="s">
        <v>276</v>
      </c>
      <c r="D54" s="39">
        <v>200.0</v>
      </c>
      <c r="E54" s="42">
        <v>182.0</v>
      </c>
      <c r="F54" s="33"/>
      <c r="G54" s="43"/>
      <c r="H54" s="50">
        <f t="shared" si="2"/>
        <v>0</v>
      </c>
      <c r="I54" s="51">
        <f t="shared" si="3"/>
        <v>2.967032967</v>
      </c>
      <c r="J54" s="55"/>
      <c r="K54" s="5"/>
      <c r="L54" s="5"/>
      <c r="M54" s="5"/>
      <c r="N54" s="5"/>
      <c r="O54" s="5"/>
      <c r="P54" s="5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39">
        <v>8.10553719E9</v>
      </c>
      <c r="B55" s="41" t="s">
        <v>279</v>
      </c>
      <c r="C55" s="41" t="s">
        <v>280</v>
      </c>
      <c r="D55" s="39">
        <v>150.0</v>
      </c>
      <c r="E55" s="42">
        <v>154.0</v>
      </c>
      <c r="F55" s="33">
        <v>150.0</v>
      </c>
      <c r="G55" s="66">
        <f>(F55+$I$6)+($K$3+F55*$M$3)</f>
        <v>501.5</v>
      </c>
      <c r="H55" s="50">
        <f t="shared" si="2"/>
        <v>3.343333333</v>
      </c>
      <c r="I55" s="51">
        <f t="shared" si="3"/>
        <v>3.506493506</v>
      </c>
      <c r="J55" s="52">
        <v>4.0</v>
      </c>
      <c r="K55" s="11" t="s">
        <v>230</v>
      </c>
      <c r="L55" s="5"/>
      <c r="M55" s="5"/>
      <c r="N55" s="5"/>
      <c r="O55" s="5"/>
      <c r="P55" s="5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39">
        <v>8.10608819E9</v>
      </c>
      <c r="B56" s="41" t="s">
        <v>288</v>
      </c>
      <c r="C56" s="41" t="s">
        <v>289</v>
      </c>
      <c r="D56" s="39">
        <v>100.0</v>
      </c>
      <c r="E56" s="42">
        <v>182.0</v>
      </c>
      <c r="F56" s="33"/>
      <c r="G56" s="43"/>
      <c r="H56" s="50">
        <f t="shared" si="2"/>
        <v>0</v>
      </c>
      <c r="I56" s="51">
        <f t="shared" si="3"/>
        <v>2.967032967</v>
      </c>
      <c r="J56" s="55"/>
      <c r="K56" s="5"/>
      <c r="L56" s="5"/>
      <c r="M56" s="5"/>
      <c r="N56" s="5"/>
      <c r="O56" s="5"/>
      <c r="P56" s="5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39">
        <v>8.10609619E9</v>
      </c>
      <c r="B57" s="41" t="s">
        <v>292</v>
      </c>
      <c r="C57" s="41" t="s">
        <v>293</v>
      </c>
      <c r="D57" s="39">
        <v>100.0</v>
      </c>
      <c r="E57" s="42">
        <v>182.0</v>
      </c>
      <c r="F57" s="33"/>
      <c r="G57" s="43"/>
      <c r="H57" s="50">
        <f t="shared" si="2"/>
        <v>0</v>
      </c>
      <c r="I57" s="51">
        <f t="shared" si="3"/>
        <v>2.967032967</v>
      </c>
      <c r="J57" s="55"/>
      <c r="K57" s="5"/>
      <c r="L57" s="5"/>
      <c r="M57" s="5"/>
      <c r="N57" s="5"/>
      <c r="O57" s="5"/>
      <c r="P57" s="5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39">
        <v>8.10139619E9</v>
      </c>
      <c r="B58" s="41" t="s">
        <v>296</v>
      </c>
      <c r="C58" s="41" t="s">
        <v>297</v>
      </c>
      <c r="D58" s="39">
        <v>200.0</v>
      </c>
      <c r="E58" s="42">
        <v>182.0</v>
      </c>
      <c r="F58" s="33"/>
      <c r="G58" s="43"/>
      <c r="H58" s="50">
        <f t="shared" si="2"/>
        <v>0</v>
      </c>
      <c r="I58" s="51">
        <f t="shared" si="3"/>
        <v>2.967032967</v>
      </c>
      <c r="J58" s="55"/>
      <c r="K58" s="5"/>
      <c r="L58" s="5"/>
      <c r="M58" s="5"/>
      <c r="N58" s="5"/>
      <c r="O58" s="5"/>
      <c r="P58" s="5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39">
        <v>8.05873319E9</v>
      </c>
      <c r="B59" s="41" t="s">
        <v>301</v>
      </c>
      <c r="C59" s="41" t="s">
        <v>304</v>
      </c>
      <c r="D59" s="39">
        <v>500.0</v>
      </c>
      <c r="E59" s="42">
        <v>182.0</v>
      </c>
      <c r="F59" s="33">
        <v>730.0</v>
      </c>
      <c r="G59" s="66">
        <f>(F59+$I$6)+($K$3+F59*$M$3)</f>
        <v>1110.5</v>
      </c>
      <c r="H59" s="50">
        <f t="shared" si="2"/>
        <v>2.221</v>
      </c>
      <c r="I59" s="51">
        <f t="shared" si="3"/>
        <v>2.967032967</v>
      </c>
      <c r="J59" s="52">
        <v>3.0</v>
      </c>
      <c r="K59" s="11" t="s">
        <v>230</v>
      </c>
      <c r="L59" s="5"/>
      <c r="M59" s="5"/>
      <c r="N59" s="5"/>
      <c r="O59" s="5"/>
      <c r="P59" s="5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39">
        <v>8.05764819E9</v>
      </c>
      <c r="B60" s="41" t="s">
        <v>310</v>
      </c>
      <c r="C60" s="41" t="s">
        <v>311</v>
      </c>
      <c r="D60" s="39">
        <v>400.0</v>
      </c>
      <c r="E60" s="42">
        <v>182.0</v>
      </c>
      <c r="F60" s="33"/>
      <c r="G60" s="43"/>
      <c r="H60" s="50">
        <f t="shared" si="2"/>
        <v>0</v>
      </c>
      <c r="I60" s="51">
        <f t="shared" si="3"/>
        <v>2.967032967</v>
      </c>
      <c r="J60" s="55"/>
      <c r="K60" s="5"/>
      <c r="L60" s="5"/>
      <c r="M60" s="5"/>
      <c r="N60" s="5"/>
      <c r="O60" s="5"/>
      <c r="P60" s="5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39">
        <v>8.05792319E9</v>
      </c>
      <c r="B61" s="41" t="s">
        <v>313</v>
      </c>
      <c r="C61" s="41" t="s">
        <v>314</v>
      </c>
      <c r="D61" s="39">
        <v>300.0</v>
      </c>
      <c r="E61" s="42">
        <v>182.0</v>
      </c>
      <c r="F61" s="33"/>
      <c r="G61" s="43"/>
      <c r="H61" s="50">
        <f t="shared" si="2"/>
        <v>0</v>
      </c>
      <c r="I61" s="51">
        <f t="shared" si="3"/>
        <v>2.967032967</v>
      </c>
      <c r="J61" s="55"/>
      <c r="K61" s="5"/>
      <c r="L61" s="5"/>
      <c r="M61" s="5"/>
      <c r="N61" s="5"/>
      <c r="O61" s="5"/>
      <c r="P61" s="5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110" t="s">
        <v>318</v>
      </c>
      <c r="B62" s="41" t="s">
        <v>319</v>
      </c>
      <c r="C62" s="114" t="s">
        <v>237</v>
      </c>
      <c r="D62" s="39">
        <v>300.0</v>
      </c>
      <c r="E62" s="42">
        <v>182.0</v>
      </c>
      <c r="F62" s="33"/>
      <c r="G62" s="43"/>
      <c r="H62" s="50">
        <f t="shared" si="2"/>
        <v>0</v>
      </c>
      <c r="I62" s="51">
        <f t="shared" si="3"/>
        <v>2.967032967</v>
      </c>
      <c r="J62" s="55"/>
      <c r="K62" s="5"/>
      <c r="L62" s="5"/>
      <c r="M62" s="5"/>
      <c r="N62" s="5"/>
      <c r="O62" s="5"/>
      <c r="P62" s="5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39">
        <v>8.05788519E9</v>
      </c>
      <c r="B63" s="41" t="s">
        <v>323</v>
      </c>
      <c r="C63" s="41" t="s">
        <v>325</v>
      </c>
      <c r="D63" s="39">
        <v>300.0</v>
      </c>
      <c r="E63" s="42">
        <v>182.0</v>
      </c>
      <c r="F63" s="33"/>
      <c r="G63" s="43"/>
      <c r="H63" s="50">
        <f t="shared" si="2"/>
        <v>0</v>
      </c>
      <c r="I63" s="51">
        <f t="shared" si="3"/>
        <v>2.967032967</v>
      </c>
      <c r="J63" s="55"/>
      <c r="K63" s="5"/>
      <c r="L63" s="5"/>
      <c r="M63" s="5"/>
      <c r="N63" s="5"/>
      <c r="O63" s="5"/>
      <c r="P63" s="5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41">
        <v>8.05666819E9</v>
      </c>
      <c r="B64" s="41" t="s">
        <v>328</v>
      </c>
      <c r="C64" s="41" t="s">
        <v>329</v>
      </c>
      <c r="D64" s="39">
        <v>500.0</v>
      </c>
      <c r="E64" s="42">
        <v>182.0</v>
      </c>
      <c r="F64" s="33"/>
      <c r="G64" s="43"/>
      <c r="H64" s="50"/>
      <c r="I64" s="51">
        <f t="shared" si="3"/>
        <v>2.967032967</v>
      </c>
      <c r="J64" s="52"/>
      <c r="K64" s="5"/>
      <c r="L64" s="5"/>
      <c r="M64" s="5"/>
      <c r="N64" s="5"/>
      <c r="O64" s="5"/>
      <c r="P64" s="5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41">
        <v>8.44569919E9</v>
      </c>
      <c r="B65" s="41" t="s">
        <v>331</v>
      </c>
      <c r="C65" s="41" t="s">
        <v>332</v>
      </c>
      <c r="D65" s="39">
        <v>200.0</v>
      </c>
      <c r="E65" s="42">
        <v>28.0</v>
      </c>
      <c r="F65" s="75">
        <v>2070.0</v>
      </c>
      <c r="G65" s="116">
        <v>2517.5</v>
      </c>
      <c r="H65" s="108">
        <f t="shared" ref="H65:H82" si="10">G65/D65</f>
        <v>12.5875</v>
      </c>
      <c r="I65" s="51">
        <f t="shared" si="3"/>
        <v>19.28571429</v>
      </c>
      <c r="J65" s="52">
        <v>14.0</v>
      </c>
      <c r="K65" s="11" t="s">
        <v>339</v>
      </c>
      <c r="L65" s="5"/>
      <c r="M65" s="5"/>
      <c r="N65" s="5"/>
      <c r="O65" s="5"/>
      <c r="P65" s="5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41">
        <v>8.10562619E9</v>
      </c>
      <c r="B66" s="41" t="s">
        <v>341</v>
      </c>
      <c r="C66" s="41" t="s">
        <v>342</v>
      </c>
      <c r="D66" s="39">
        <v>100.0</v>
      </c>
      <c r="E66" s="42">
        <v>182.0</v>
      </c>
      <c r="F66" s="43">
        <v>450.0</v>
      </c>
      <c r="G66" s="66">
        <f>(F66+$I$6)+($K$3+F66*$M$3)</f>
        <v>816.5</v>
      </c>
      <c r="H66" s="50">
        <f t="shared" si="10"/>
        <v>8.165</v>
      </c>
      <c r="I66" s="51">
        <f t="shared" si="3"/>
        <v>2.967032967</v>
      </c>
      <c r="J66" s="52">
        <v>9.0</v>
      </c>
      <c r="K66" s="11" t="s">
        <v>348</v>
      </c>
      <c r="L66" s="5"/>
      <c r="M66" s="5"/>
      <c r="N66" s="5"/>
      <c r="O66" s="5"/>
      <c r="P66" s="5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41">
        <v>8.10552919E9</v>
      </c>
      <c r="B67" s="41" t="s">
        <v>350</v>
      </c>
      <c r="C67" s="41" t="s">
        <v>351</v>
      </c>
      <c r="D67" s="39">
        <v>150.0</v>
      </c>
      <c r="E67" s="42">
        <v>84.0</v>
      </c>
      <c r="F67" s="33"/>
      <c r="G67" s="43"/>
      <c r="H67" s="50">
        <f t="shared" si="10"/>
        <v>0</v>
      </c>
      <c r="I67" s="51">
        <f t="shared" si="3"/>
        <v>6.428571429</v>
      </c>
      <c r="J67" s="55"/>
      <c r="K67" s="5"/>
      <c r="L67" s="5"/>
      <c r="M67" s="5"/>
      <c r="N67" s="5"/>
      <c r="O67" s="5"/>
      <c r="P67" s="5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41">
        <v>8.10612619E9</v>
      </c>
      <c r="B68" s="41" t="s">
        <v>355</v>
      </c>
      <c r="C68" s="41" t="s">
        <v>356</v>
      </c>
      <c r="D68" s="39">
        <v>150.0</v>
      </c>
      <c r="E68" s="42">
        <v>182.0</v>
      </c>
      <c r="F68" s="33"/>
      <c r="G68" s="43"/>
      <c r="H68" s="50">
        <f t="shared" si="10"/>
        <v>0</v>
      </c>
      <c r="I68" s="51">
        <f t="shared" si="3"/>
        <v>2.967032967</v>
      </c>
      <c r="J68" s="55"/>
      <c r="K68" s="5"/>
      <c r="L68" s="5"/>
      <c r="M68" s="5"/>
      <c r="N68" s="5"/>
      <c r="O68" s="5"/>
      <c r="P68" s="5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41">
        <v>8.10559619E9</v>
      </c>
      <c r="B69" s="41" t="s">
        <v>359</v>
      </c>
      <c r="C69" s="41" t="s">
        <v>360</v>
      </c>
      <c r="D69" s="39">
        <v>250.0</v>
      </c>
      <c r="E69" s="42">
        <v>182.0</v>
      </c>
      <c r="F69" s="33"/>
      <c r="G69" s="43"/>
      <c r="H69" s="50">
        <f t="shared" si="10"/>
        <v>0</v>
      </c>
      <c r="I69" s="51">
        <f t="shared" si="3"/>
        <v>2.967032967</v>
      </c>
      <c r="J69" s="55"/>
      <c r="K69" s="5"/>
      <c r="L69" s="5"/>
      <c r="M69" s="5"/>
      <c r="N69" s="5"/>
      <c r="O69" s="5"/>
      <c r="P69" s="5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41">
        <v>8.05782619E9</v>
      </c>
      <c r="B70" s="41" t="s">
        <v>364</v>
      </c>
      <c r="C70" s="41" t="s">
        <v>366</v>
      </c>
      <c r="D70" s="39">
        <v>100.0</v>
      </c>
      <c r="E70" s="42">
        <v>28.0</v>
      </c>
      <c r="F70" s="33"/>
      <c r="G70" s="43"/>
      <c r="H70" s="50">
        <f t="shared" si="10"/>
        <v>0</v>
      </c>
      <c r="I70" s="51">
        <f t="shared" si="3"/>
        <v>19.28571429</v>
      </c>
      <c r="J70" s="55"/>
      <c r="K70" s="5"/>
      <c r="L70" s="5"/>
      <c r="M70" s="5"/>
      <c r="N70" s="5"/>
      <c r="O70" s="5"/>
      <c r="P70" s="5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41">
        <v>8.05749419E9</v>
      </c>
      <c r="B71" s="41" t="s">
        <v>370</v>
      </c>
      <c r="C71" s="41" t="s">
        <v>371</v>
      </c>
      <c r="D71" s="39">
        <v>250.0</v>
      </c>
      <c r="E71" s="42">
        <v>42.0</v>
      </c>
      <c r="F71" s="33"/>
      <c r="G71" s="43"/>
      <c r="H71" s="50">
        <f t="shared" si="10"/>
        <v>0</v>
      </c>
      <c r="I71" s="51">
        <f t="shared" si="3"/>
        <v>12.85714286</v>
      </c>
      <c r="J71" s="55"/>
      <c r="K71" s="5"/>
      <c r="L71" s="5"/>
      <c r="M71" s="5"/>
      <c r="P71" s="5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41">
        <v>8.05802419E9</v>
      </c>
      <c r="B72" s="41" t="s">
        <v>374</v>
      </c>
      <c r="C72" s="41" t="s">
        <v>375</v>
      </c>
      <c r="D72" s="39">
        <v>300.0</v>
      </c>
      <c r="E72" s="42">
        <v>112.0</v>
      </c>
      <c r="F72" s="33"/>
      <c r="G72" s="43"/>
      <c r="H72" s="50">
        <f t="shared" si="10"/>
        <v>0</v>
      </c>
      <c r="I72" s="51">
        <f t="shared" si="3"/>
        <v>4.821428571</v>
      </c>
      <c r="J72" s="55"/>
      <c r="K72" s="5"/>
      <c r="L72" s="5"/>
      <c r="M72" s="5"/>
      <c r="N72" s="5"/>
      <c r="O72" s="5"/>
      <c r="P72" s="5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41">
        <v>8.05763019E9</v>
      </c>
      <c r="B73" s="41" t="s">
        <v>380</v>
      </c>
      <c r="C73" s="41" t="s">
        <v>382</v>
      </c>
      <c r="D73" s="39">
        <v>850.0</v>
      </c>
      <c r="E73" s="42">
        <v>84.0</v>
      </c>
      <c r="F73" s="33"/>
      <c r="G73" s="43"/>
      <c r="H73" s="50">
        <f t="shared" si="10"/>
        <v>0</v>
      </c>
      <c r="I73" s="51">
        <f t="shared" si="3"/>
        <v>6.428571429</v>
      </c>
      <c r="J73" s="55"/>
      <c r="K73" s="5"/>
      <c r="L73" s="5"/>
      <c r="M73" s="5"/>
      <c r="N73" s="5"/>
      <c r="O73" s="5"/>
      <c r="P73" s="5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41">
        <v>8.44567219E9</v>
      </c>
      <c r="B74" s="41" t="s">
        <v>383</v>
      </c>
      <c r="C74" s="41" t="s">
        <v>384</v>
      </c>
      <c r="D74" s="39">
        <v>150.0</v>
      </c>
      <c r="E74" s="42">
        <v>84.0</v>
      </c>
      <c r="F74" s="33">
        <v>750.0</v>
      </c>
      <c r="G74" s="66">
        <f>(F74+$I$6)+($K$3+F74*$M$3)</f>
        <v>1131.5</v>
      </c>
      <c r="H74" s="50">
        <f t="shared" si="10"/>
        <v>7.543333333</v>
      </c>
      <c r="I74" s="51">
        <f t="shared" si="3"/>
        <v>6.428571429</v>
      </c>
      <c r="J74" s="52">
        <v>8.0</v>
      </c>
      <c r="K74" s="5"/>
      <c r="L74" s="5"/>
      <c r="M74" s="5"/>
      <c r="N74" s="5"/>
      <c r="O74" s="5"/>
      <c r="P74" s="5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41">
        <v>8.10567719E9</v>
      </c>
      <c r="B75" s="41" t="s">
        <v>389</v>
      </c>
      <c r="C75" s="41" t="s">
        <v>391</v>
      </c>
      <c r="D75" s="39">
        <v>550.0</v>
      </c>
      <c r="E75" s="42">
        <v>56.0</v>
      </c>
      <c r="F75" s="33"/>
      <c r="G75" s="43"/>
      <c r="H75" s="50">
        <f t="shared" si="10"/>
        <v>0</v>
      </c>
      <c r="I75" s="51">
        <f t="shared" si="3"/>
        <v>9.642857143</v>
      </c>
      <c r="J75" s="55"/>
      <c r="K75" s="5"/>
      <c r="L75" s="5"/>
      <c r="M75" s="5"/>
      <c r="N75" s="5"/>
      <c r="O75" s="5"/>
      <c r="P75" s="5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41">
        <v>8.25262919E9</v>
      </c>
      <c r="B76" s="41" t="s">
        <v>395</v>
      </c>
      <c r="C76" s="41" t="s">
        <v>396</v>
      </c>
      <c r="D76" s="39">
        <v>200.0</v>
      </c>
      <c r="E76" s="42">
        <v>84.0</v>
      </c>
      <c r="F76" s="33"/>
      <c r="G76" s="43"/>
      <c r="H76" s="50">
        <f t="shared" si="10"/>
        <v>0</v>
      </c>
      <c r="I76" s="51">
        <f t="shared" si="3"/>
        <v>6.428571429</v>
      </c>
      <c r="J76" s="55"/>
      <c r="K76" s="5"/>
      <c r="L76" s="5"/>
      <c r="M76" s="5"/>
      <c r="N76" s="5"/>
      <c r="O76" s="5"/>
      <c r="P76" s="5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41">
        <v>8.05862819E9</v>
      </c>
      <c r="B77" s="41" t="s">
        <v>399</v>
      </c>
      <c r="C77" s="41" t="s">
        <v>400</v>
      </c>
      <c r="D77" s="39">
        <v>400.0</v>
      </c>
      <c r="E77" s="42">
        <v>56.0</v>
      </c>
      <c r="F77" s="43">
        <v>1500.0</v>
      </c>
      <c r="G77" s="43">
        <f>(F77+$I$5)+($K$3+F77*$M$3)</f>
        <v>2219</v>
      </c>
      <c r="H77" s="50">
        <f t="shared" si="10"/>
        <v>5.5475</v>
      </c>
      <c r="I77" s="51">
        <f t="shared" si="3"/>
        <v>9.642857143</v>
      </c>
      <c r="J77" s="52">
        <v>8.0</v>
      </c>
      <c r="K77" s="11" t="s">
        <v>405</v>
      </c>
      <c r="L77" s="5"/>
      <c r="M77" s="5"/>
      <c r="N77" s="5"/>
      <c r="O77" s="5"/>
      <c r="P77" s="5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41">
        <v>8.44556719E9</v>
      </c>
      <c r="B78" s="41" t="s">
        <v>406</v>
      </c>
      <c r="C78" s="41" t="s">
        <v>407</v>
      </c>
      <c r="D78" s="39">
        <v>100.0</v>
      </c>
      <c r="E78" s="42">
        <v>84.0</v>
      </c>
      <c r="F78" s="33"/>
      <c r="G78" s="43"/>
      <c r="H78" s="50">
        <f t="shared" si="10"/>
        <v>0</v>
      </c>
      <c r="I78" s="51">
        <f t="shared" si="3"/>
        <v>6.428571429</v>
      </c>
      <c r="J78" s="55"/>
      <c r="K78" s="5"/>
      <c r="L78" s="5"/>
      <c r="M78" s="5"/>
      <c r="N78" s="5"/>
      <c r="O78" s="5"/>
      <c r="P78" s="5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41">
        <v>8.05858019E9</v>
      </c>
      <c r="B79" s="41" t="s">
        <v>411</v>
      </c>
      <c r="C79" s="41" t="s">
        <v>412</v>
      </c>
      <c r="D79" s="39">
        <v>200.0</v>
      </c>
      <c r="E79" s="42">
        <v>90.0</v>
      </c>
      <c r="F79" s="33"/>
      <c r="G79" s="43"/>
      <c r="H79" s="50">
        <f t="shared" si="10"/>
        <v>0</v>
      </c>
      <c r="I79" s="51">
        <f t="shared" si="3"/>
        <v>6</v>
      </c>
      <c r="J79" s="55"/>
      <c r="K79" s="5"/>
      <c r="L79" s="5"/>
      <c r="M79" s="5"/>
      <c r="N79" s="5"/>
      <c r="O79" s="5"/>
      <c r="P79" s="5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41">
        <v>8.05743519E9</v>
      </c>
      <c r="B80" s="41" t="s">
        <v>415</v>
      </c>
      <c r="C80" s="41" t="s">
        <v>416</v>
      </c>
      <c r="D80" s="39">
        <v>500.0</v>
      </c>
      <c r="E80" s="42">
        <v>182.0</v>
      </c>
      <c r="F80" s="33"/>
      <c r="G80" s="43"/>
      <c r="H80" s="50">
        <f t="shared" si="10"/>
        <v>0</v>
      </c>
      <c r="I80" s="51">
        <f t="shared" si="3"/>
        <v>2.967032967</v>
      </c>
      <c r="J80" s="55"/>
      <c r="K80" s="5"/>
      <c r="L80" s="5"/>
      <c r="M80" s="5"/>
      <c r="N80" s="5"/>
      <c r="O80" s="5"/>
      <c r="P80" s="5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41">
        <v>8.44557519E9</v>
      </c>
      <c r="B81" s="41" t="s">
        <v>419</v>
      </c>
      <c r="C81" s="41" t="s">
        <v>420</v>
      </c>
      <c r="D81" s="39">
        <v>200.0</v>
      </c>
      <c r="E81" s="42">
        <v>126.0</v>
      </c>
      <c r="F81" s="33"/>
      <c r="G81" s="43"/>
      <c r="H81" s="50">
        <f t="shared" si="10"/>
        <v>0</v>
      </c>
      <c r="I81" s="51">
        <f t="shared" si="3"/>
        <v>4.285714286</v>
      </c>
      <c r="J81" s="55"/>
      <c r="K81" s="5"/>
      <c r="L81" s="5"/>
      <c r="M81" s="5"/>
      <c r="N81" s="5"/>
      <c r="O81" s="5"/>
      <c r="P81" s="5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125">
        <v>8.05884919E9</v>
      </c>
      <c r="B82" s="41" t="s">
        <v>423</v>
      </c>
      <c r="C82" s="41" t="s">
        <v>424</v>
      </c>
      <c r="D82" s="39">
        <v>200.0</v>
      </c>
      <c r="E82" s="42">
        <v>84.0</v>
      </c>
      <c r="F82" s="33"/>
      <c r="G82" s="43"/>
      <c r="H82" s="50">
        <f t="shared" si="10"/>
        <v>0</v>
      </c>
      <c r="I82" s="51">
        <f t="shared" si="3"/>
        <v>6.428571429</v>
      </c>
      <c r="J82" s="55"/>
      <c r="K82" s="5"/>
      <c r="L82" s="5"/>
      <c r="M82" s="5"/>
      <c r="N82" s="5"/>
      <c r="O82" s="5"/>
      <c r="P82" s="5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127"/>
      <c r="B83" s="127"/>
      <c r="C83" s="129"/>
      <c r="D83" s="131"/>
      <c r="E83" s="133" t="s">
        <v>430</v>
      </c>
      <c r="F83" s="136">
        <f t="shared" ref="F83:G83" si="11">SUM(F9:F82)</f>
        <v>140009</v>
      </c>
      <c r="G83" s="136">
        <f t="shared" si="11"/>
        <v>181153.45</v>
      </c>
      <c r="H83" s="137"/>
      <c r="I83" s="139"/>
      <c r="J83" s="139"/>
      <c r="K83" s="5"/>
      <c r="L83" s="5"/>
      <c r="M83" s="5"/>
      <c r="N83" s="5"/>
      <c r="O83" s="5"/>
      <c r="P83" s="5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141" t="s">
        <v>437</v>
      </c>
      <c r="B84" s="143"/>
      <c r="C84" s="27"/>
      <c r="D84" s="146" t="s">
        <v>440</v>
      </c>
      <c r="E84" s="146" t="s">
        <v>442</v>
      </c>
      <c r="F84" s="148"/>
      <c r="G84" s="148"/>
      <c r="H84" s="148" t="s">
        <v>28</v>
      </c>
      <c r="I84" s="151" t="s">
        <v>29</v>
      </c>
      <c r="J84" s="151" t="s">
        <v>444</v>
      </c>
      <c r="K84" s="5"/>
      <c r="L84" s="5"/>
      <c r="M84" s="5"/>
      <c r="N84" s="5"/>
      <c r="O84" s="5"/>
      <c r="P84" s="5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41">
        <v>1.075935019E10</v>
      </c>
      <c r="B85" s="41" t="s">
        <v>445</v>
      </c>
      <c r="C85" s="41" t="s">
        <v>445</v>
      </c>
      <c r="D85" s="39">
        <v>12.0</v>
      </c>
      <c r="E85" s="39">
        <v>28.0</v>
      </c>
      <c r="F85" s="50"/>
      <c r="G85" s="50"/>
      <c r="H85" s="154"/>
      <c r="I85" s="51">
        <f t="shared" ref="I85:I125" si="12">(360/E85)</f>
        <v>12.85714286</v>
      </c>
      <c r="J85" s="52">
        <v>3.0</v>
      </c>
      <c r="K85" s="5"/>
      <c r="L85" s="5"/>
      <c r="M85" s="5"/>
      <c r="N85" s="5"/>
      <c r="O85" s="5"/>
      <c r="P85" s="5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41">
        <v>3.121313122E9</v>
      </c>
      <c r="B86" s="41" t="s">
        <v>449</v>
      </c>
      <c r="C86" s="41" t="s">
        <v>449</v>
      </c>
      <c r="D86" s="39">
        <v>4.0</v>
      </c>
      <c r="E86" s="39">
        <v>28.0</v>
      </c>
      <c r="F86" s="50"/>
      <c r="G86" s="50"/>
      <c r="H86" s="154"/>
      <c r="I86" s="51">
        <f t="shared" si="12"/>
        <v>12.85714286</v>
      </c>
      <c r="J86" s="52">
        <v>6.0</v>
      </c>
      <c r="K86" s="5"/>
      <c r="L86" s="5"/>
      <c r="M86" s="5"/>
      <c r="N86" s="5"/>
      <c r="O86" s="5"/>
      <c r="P86" s="5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41">
        <v>3.121291122E9</v>
      </c>
      <c r="B87" s="41" t="s">
        <v>450</v>
      </c>
      <c r="C87" s="41" t="s">
        <v>450</v>
      </c>
      <c r="D87" s="39">
        <v>4.0</v>
      </c>
      <c r="E87" s="39">
        <v>28.0</v>
      </c>
      <c r="F87" s="50"/>
      <c r="G87" s="50"/>
      <c r="H87" s="154"/>
      <c r="I87" s="51">
        <f t="shared" si="12"/>
        <v>12.85714286</v>
      </c>
      <c r="J87" s="52">
        <v>6.0</v>
      </c>
      <c r="K87" s="5"/>
      <c r="L87" s="5"/>
      <c r="M87" s="5"/>
      <c r="N87" s="5"/>
      <c r="O87" s="5"/>
      <c r="P87" s="5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41">
        <v>1.2172623122E10</v>
      </c>
      <c r="B88" s="41" t="s">
        <v>452</v>
      </c>
      <c r="C88" s="41" t="s">
        <v>453</v>
      </c>
      <c r="D88" s="39">
        <v>3.0</v>
      </c>
      <c r="E88" s="39">
        <v>28.0</v>
      </c>
      <c r="F88" s="50"/>
      <c r="G88" s="50"/>
      <c r="H88" s="154"/>
      <c r="I88" s="51">
        <f t="shared" si="12"/>
        <v>12.85714286</v>
      </c>
      <c r="J88" s="52">
        <v>6.0</v>
      </c>
      <c r="K88" s="5"/>
      <c r="L88" s="5"/>
      <c r="M88" s="5"/>
      <c r="N88" s="5"/>
      <c r="O88" s="5"/>
      <c r="P88" s="5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41">
        <v>1.1447394216E10</v>
      </c>
      <c r="B89" s="41" t="s">
        <v>456</v>
      </c>
      <c r="C89" s="41" t="s">
        <v>457</v>
      </c>
      <c r="D89" s="39">
        <v>3.0</v>
      </c>
      <c r="E89" s="39">
        <v>28.0</v>
      </c>
      <c r="F89" s="50"/>
      <c r="G89" s="50"/>
      <c r="H89" s="154"/>
      <c r="I89" s="51">
        <f t="shared" si="12"/>
        <v>12.85714286</v>
      </c>
      <c r="J89" s="52">
        <v>6.0</v>
      </c>
      <c r="K89" s="5"/>
      <c r="L89" s="5"/>
      <c r="M89" s="5"/>
      <c r="N89" s="5"/>
      <c r="O89" s="5"/>
      <c r="P89" s="5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41">
        <v>3.121305122E9</v>
      </c>
      <c r="B90" s="41" t="s">
        <v>459</v>
      </c>
      <c r="C90" s="41" t="s">
        <v>460</v>
      </c>
      <c r="D90" s="39">
        <v>5.0</v>
      </c>
      <c r="E90" s="39">
        <v>28.0</v>
      </c>
      <c r="F90" s="50"/>
      <c r="G90" s="50"/>
      <c r="H90" s="154"/>
      <c r="I90" s="51">
        <f t="shared" si="12"/>
        <v>12.85714286</v>
      </c>
      <c r="J90" s="52">
        <v>4.0</v>
      </c>
      <c r="K90" s="5"/>
      <c r="L90" s="5"/>
      <c r="M90" s="5"/>
      <c r="N90" s="5"/>
      <c r="O90" s="5"/>
      <c r="P90" s="5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39">
        <v>3.55594119E9</v>
      </c>
      <c r="B91" s="41" t="s">
        <v>461</v>
      </c>
      <c r="C91" s="41" t="s">
        <v>461</v>
      </c>
      <c r="D91" s="39">
        <v>3.0</v>
      </c>
      <c r="E91" s="39">
        <v>14.0</v>
      </c>
      <c r="F91" s="50"/>
      <c r="G91" s="50"/>
      <c r="H91" s="154"/>
      <c r="I91" s="51">
        <f t="shared" si="12"/>
        <v>25.71428571</v>
      </c>
      <c r="J91" s="52">
        <v>6.0</v>
      </c>
      <c r="K91" s="5"/>
      <c r="L91" s="5"/>
      <c r="M91" s="5"/>
      <c r="N91" s="5"/>
      <c r="O91" s="5"/>
      <c r="P91" s="5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39">
        <v>6.53385019E9</v>
      </c>
      <c r="B92" s="41" t="s">
        <v>463</v>
      </c>
      <c r="C92" s="41" t="s">
        <v>463</v>
      </c>
      <c r="D92" s="39">
        <v>3.0</v>
      </c>
      <c r="E92" s="39">
        <v>14.0</v>
      </c>
      <c r="F92" s="50"/>
      <c r="G92" s="50"/>
      <c r="H92" s="154"/>
      <c r="I92" s="51">
        <f t="shared" si="12"/>
        <v>25.71428571</v>
      </c>
      <c r="J92" s="55"/>
      <c r="K92" s="5"/>
      <c r="L92" s="5"/>
      <c r="M92" s="5"/>
      <c r="N92" s="5"/>
      <c r="O92" s="5"/>
      <c r="P92" s="5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39">
        <v>1.2146401216E10</v>
      </c>
      <c r="B93" s="41" t="s">
        <v>467</v>
      </c>
      <c r="C93" s="41" t="s">
        <v>467</v>
      </c>
      <c r="D93" s="39">
        <v>1.0</v>
      </c>
      <c r="E93" s="39">
        <v>183.0</v>
      </c>
      <c r="F93" s="50"/>
      <c r="G93" s="50"/>
      <c r="H93" s="154"/>
      <c r="I93" s="51">
        <f t="shared" si="12"/>
        <v>1.967213115</v>
      </c>
      <c r="J93" s="55"/>
      <c r="K93" s="5"/>
      <c r="L93" s="5"/>
      <c r="M93" s="5"/>
      <c r="N93" s="5"/>
      <c r="O93" s="5"/>
      <c r="P93" s="5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39">
        <v>1.1355279216E10</v>
      </c>
      <c r="B94" s="41" t="s">
        <v>469</v>
      </c>
      <c r="C94" s="41" t="s">
        <v>469</v>
      </c>
      <c r="D94" s="39">
        <v>5.0</v>
      </c>
      <c r="E94" s="39">
        <v>28.0</v>
      </c>
      <c r="F94" s="50"/>
      <c r="G94" s="50"/>
      <c r="H94" s="154"/>
      <c r="I94" s="51">
        <f t="shared" si="12"/>
        <v>12.85714286</v>
      </c>
      <c r="J94" s="52">
        <v>4.0</v>
      </c>
      <c r="K94" s="5"/>
      <c r="L94" s="5"/>
      <c r="M94" s="5"/>
      <c r="N94" s="5"/>
      <c r="O94" s="5"/>
      <c r="P94" s="5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39">
        <v>5.11700319E9</v>
      </c>
      <c r="B95" s="41" t="s">
        <v>470</v>
      </c>
      <c r="C95" s="41" t="s">
        <v>470</v>
      </c>
      <c r="D95" s="39">
        <v>20.0</v>
      </c>
      <c r="E95" s="39">
        <v>28.0</v>
      </c>
      <c r="F95" s="50"/>
      <c r="G95" s="50"/>
      <c r="H95" s="154"/>
      <c r="I95" s="51">
        <f t="shared" si="12"/>
        <v>12.85714286</v>
      </c>
      <c r="J95" s="55"/>
      <c r="K95" s="5"/>
      <c r="L95" s="5"/>
      <c r="M95" s="5"/>
      <c r="N95" s="5"/>
      <c r="O95" s="5"/>
      <c r="P95" s="5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39">
        <v>5.11721619E9</v>
      </c>
      <c r="B96" s="41" t="s">
        <v>471</v>
      </c>
      <c r="C96" s="41" t="s">
        <v>471</v>
      </c>
      <c r="D96" s="39">
        <v>20.0</v>
      </c>
      <c r="E96" s="39">
        <v>14.0</v>
      </c>
      <c r="F96" s="50"/>
      <c r="G96" s="50"/>
      <c r="H96" s="154"/>
      <c r="I96" s="51">
        <f t="shared" si="12"/>
        <v>25.71428571</v>
      </c>
      <c r="J96" s="55"/>
      <c r="K96" s="5"/>
      <c r="L96" s="5"/>
      <c r="M96" s="5"/>
      <c r="N96" s="5"/>
      <c r="O96" s="5"/>
      <c r="P96" s="5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39">
        <v>5.117208922E9</v>
      </c>
      <c r="B97" s="41" t="s">
        <v>473</v>
      </c>
      <c r="C97" s="41" t="s">
        <v>473</v>
      </c>
      <c r="D97" s="39">
        <v>20.0</v>
      </c>
      <c r="E97" s="39"/>
      <c r="F97" s="50"/>
      <c r="G97" s="50"/>
      <c r="H97" s="154"/>
      <c r="I97" s="51" t="str">
        <f t="shared" si="12"/>
        <v>#DIV/0!</v>
      </c>
      <c r="J97" s="55"/>
      <c r="K97" s="5"/>
      <c r="L97" s="5"/>
      <c r="M97" s="5"/>
      <c r="N97" s="5"/>
      <c r="O97" s="5"/>
      <c r="P97" s="5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39">
        <v>5.117291922E9</v>
      </c>
      <c r="B98" s="41" t="s">
        <v>475</v>
      </c>
      <c r="C98" s="41" t="s">
        <v>475</v>
      </c>
      <c r="D98" s="39">
        <v>20.0</v>
      </c>
      <c r="E98" s="39"/>
      <c r="F98" s="50"/>
      <c r="G98" s="50"/>
      <c r="H98" s="154"/>
      <c r="I98" s="51" t="str">
        <f t="shared" si="12"/>
        <v>#DIV/0!</v>
      </c>
      <c r="J98" s="55"/>
      <c r="K98" s="5"/>
      <c r="L98" s="5"/>
      <c r="M98" s="5"/>
      <c r="N98" s="5"/>
      <c r="O98" s="5"/>
      <c r="P98" s="5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39">
        <v>5.94762619E9</v>
      </c>
      <c r="B99" s="41" t="s">
        <v>477</v>
      </c>
      <c r="C99" s="41" t="s">
        <v>477</v>
      </c>
      <c r="D99" s="39">
        <v>4.0</v>
      </c>
      <c r="E99" s="39">
        <v>14.0</v>
      </c>
      <c r="F99" s="50"/>
      <c r="G99" s="50"/>
      <c r="H99" s="154"/>
      <c r="I99" s="51">
        <f t="shared" si="12"/>
        <v>25.71428571</v>
      </c>
      <c r="J99" s="52">
        <v>12.0</v>
      </c>
      <c r="K99" s="5"/>
      <c r="L99" s="5"/>
      <c r="M99" s="5"/>
      <c r="N99" s="5"/>
      <c r="O99" s="5"/>
      <c r="P99" s="5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39">
        <v>5.94777419E9</v>
      </c>
      <c r="B100" s="41" t="s">
        <v>478</v>
      </c>
      <c r="C100" s="41" t="s">
        <v>478</v>
      </c>
      <c r="D100" s="39">
        <v>4.0</v>
      </c>
      <c r="E100" s="39">
        <v>14.0</v>
      </c>
      <c r="F100" s="50"/>
      <c r="G100" s="50"/>
      <c r="H100" s="154"/>
      <c r="I100" s="51">
        <f t="shared" si="12"/>
        <v>25.71428571</v>
      </c>
      <c r="J100" s="52">
        <v>12.0</v>
      </c>
      <c r="K100" s="5"/>
      <c r="L100" s="5"/>
      <c r="M100" s="5"/>
      <c r="N100" s="5"/>
      <c r="O100" s="5"/>
      <c r="P100" s="5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41">
        <v>4.52841719E9</v>
      </c>
      <c r="B101" s="41" t="s">
        <v>480</v>
      </c>
      <c r="C101" s="41" t="s">
        <v>480</v>
      </c>
      <c r="D101" s="39">
        <v>3.0</v>
      </c>
      <c r="E101" s="39">
        <v>84.0</v>
      </c>
      <c r="F101" s="41"/>
      <c r="G101" s="41"/>
      <c r="H101" s="154"/>
      <c r="I101" s="51">
        <f t="shared" si="12"/>
        <v>4.285714286</v>
      </c>
      <c r="J101" s="52">
        <v>4.0</v>
      </c>
      <c r="K101" s="5"/>
      <c r="L101" s="5"/>
      <c r="M101" s="5"/>
      <c r="N101" s="5"/>
      <c r="O101" s="5"/>
      <c r="P101" s="5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41">
        <v>5.47920719E9</v>
      </c>
      <c r="B102" s="41" t="s">
        <v>481</v>
      </c>
      <c r="C102" s="41" t="s">
        <v>481</v>
      </c>
      <c r="D102" s="39">
        <v>4.0</v>
      </c>
      <c r="E102" s="39">
        <v>28.0</v>
      </c>
      <c r="F102" s="50"/>
      <c r="G102" s="50"/>
      <c r="H102" s="154"/>
      <c r="I102" s="51">
        <f t="shared" si="12"/>
        <v>12.85714286</v>
      </c>
      <c r="J102" s="52">
        <v>8.0</v>
      </c>
      <c r="K102" s="5"/>
      <c r="L102" s="5"/>
      <c r="M102" s="5"/>
      <c r="N102" s="5"/>
      <c r="O102" s="5"/>
      <c r="P102" s="5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41">
        <v>5.91250419E9</v>
      </c>
      <c r="B103" s="41" t="s">
        <v>483</v>
      </c>
      <c r="C103" s="41" t="s">
        <v>483</v>
      </c>
      <c r="D103" s="39">
        <v>4.0</v>
      </c>
      <c r="E103" s="39">
        <v>28.0</v>
      </c>
      <c r="F103" s="50"/>
      <c r="G103" s="50"/>
      <c r="H103" s="154"/>
      <c r="I103" s="51">
        <f t="shared" si="12"/>
        <v>12.85714286</v>
      </c>
      <c r="J103" s="52">
        <v>8.0</v>
      </c>
      <c r="K103" s="5"/>
      <c r="L103" s="5"/>
      <c r="M103" s="5"/>
      <c r="N103" s="5"/>
      <c r="O103" s="5"/>
      <c r="P103" s="5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41">
        <v>5.05090119E9</v>
      </c>
      <c r="B104" s="41" t="s">
        <v>486</v>
      </c>
      <c r="C104" s="41"/>
      <c r="D104" s="39">
        <v>1.0</v>
      </c>
      <c r="E104" s="39">
        <v>84.0</v>
      </c>
      <c r="F104" s="50"/>
      <c r="G104" s="50"/>
      <c r="H104" s="154"/>
      <c r="I104" s="51">
        <f t="shared" si="12"/>
        <v>4.285714286</v>
      </c>
      <c r="J104" s="52">
        <v>13.0</v>
      </c>
      <c r="K104" s="5"/>
      <c r="L104" s="5"/>
      <c r="M104" s="5"/>
      <c r="N104" s="5"/>
      <c r="O104" s="5"/>
      <c r="P104" s="5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41">
        <v>5.05093619E9</v>
      </c>
      <c r="B105" s="41" t="s">
        <v>487</v>
      </c>
      <c r="C105" s="41"/>
      <c r="D105" s="39">
        <v>2.0</v>
      </c>
      <c r="E105" s="39">
        <v>84.0</v>
      </c>
      <c r="F105" s="50"/>
      <c r="G105" s="50"/>
      <c r="H105" s="154"/>
      <c r="I105" s="51">
        <f t="shared" si="12"/>
        <v>4.285714286</v>
      </c>
      <c r="J105" s="52">
        <v>18.0</v>
      </c>
      <c r="K105" s="5"/>
      <c r="L105" s="5"/>
      <c r="M105" s="5"/>
      <c r="N105" s="5"/>
      <c r="O105" s="5"/>
      <c r="P105" s="5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41">
        <v>8.04754519E9</v>
      </c>
      <c r="B106" s="41" t="s">
        <v>491</v>
      </c>
      <c r="C106" s="41"/>
      <c r="D106" s="39">
        <v>2.0</v>
      </c>
      <c r="E106" s="39">
        <v>84.0</v>
      </c>
      <c r="F106" s="50"/>
      <c r="G106" s="50"/>
      <c r="H106" s="154"/>
      <c r="I106" s="51">
        <f t="shared" si="12"/>
        <v>4.285714286</v>
      </c>
      <c r="J106" s="52"/>
      <c r="K106" s="5"/>
      <c r="L106" s="5"/>
      <c r="M106" s="5"/>
      <c r="N106" s="5"/>
      <c r="O106" s="5"/>
      <c r="P106" s="5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41">
        <v>8.36278519E9</v>
      </c>
      <c r="B107" s="41" t="s">
        <v>493</v>
      </c>
      <c r="C107" s="41"/>
      <c r="D107" s="39">
        <v>2.0</v>
      </c>
      <c r="E107" s="39">
        <v>84.0</v>
      </c>
      <c r="F107" s="50"/>
      <c r="G107" s="50"/>
      <c r="H107" s="154"/>
      <c r="I107" s="51">
        <f t="shared" si="12"/>
        <v>4.285714286</v>
      </c>
      <c r="J107" s="55"/>
      <c r="K107" s="5"/>
      <c r="L107" s="5"/>
      <c r="M107" s="5"/>
      <c r="N107" s="5"/>
      <c r="O107" s="5"/>
      <c r="P107" s="5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41">
        <v>5.85264119E9</v>
      </c>
      <c r="B108" s="41" t="s">
        <v>495</v>
      </c>
      <c r="C108" s="41"/>
      <c r="D108" s="39">
        <v>1.0</v>
      </c>
      <c r="E108" s="39">
        <v>14.0</v>
      </c>
      <c r="F108" s="50"/>
      <c r="G108" s="50"/>
      <c r="H108" s="154"/>
      <c r="I108" s="51">
        <f t="shared" si="12"/>
        <v>25.71428571</v>
      </c>
      <c r="J108" s="55"/>
      <c r="K108" s="5"/>
      <c r="L108" s="5"/>
      <c r="M108" s="5"/>
      <c r="N108" s="5"/>
      <c r="O108" s="5"/>
      <c r="P108" s="5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41">
        <v>5.85265019E9</v>
      </c>
      <c r="B109" s="41" t="s">
        <v>497</v>
      </c>
      <c r="C109" s="41"/>
      <c r="D109" s="39">
        <v>2.0</v>
      </c>
      <c r="E109" s="39">
        <v>14.0</v>
      </c>
      <c r="F109" s="50"/>
      <c r="G109" s="50"/>
      <c r="H109" s="154"/>
      <c r="I109" s="51">
        <f t="shared" si="12"/>
        <v>25.71428571</v>
      </c>
      <c r="J109" s="55"/>
      <c r="K109" s="5"/>
      <c r="L109" s="5"/>
      <c r="M109" s="5"/>
      <c r="N109" s="5"/>
      <c r="O109" s="5"/>
      <c r="P109" s="5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41">
        <v>4.975901191E9</v>
      </c>
      <c r="B110" s="41" t="s">
        <v>499</v>
      </c>
      <c r="C110" s="41"/>
      <c r="D110" s="39">
        <v>1.0</v>
      </c>
      <c r="E110" s="39">
        <v>30.0</v>
      </c>
      <c r="F110" s="50"/>
      <c r="G110" s="50"/>
      <c r="H110" s="154"/>
      <c r="I110" s="51">
        <f t="shared" si="12"/>
        <v>12</v>
      </c>
      <c r="J110" s="55"/>
      <c r="K110" s="5"/>
      <c r="L110" s="5"/>
      <c r="M110" s="5"/>
      <c r="N110" s="5"/>
      <c r="O110" s="5"/>
      <c r="P110" s="5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41">
        <v>6.72937119E9</v>
      </c>
      <c r="B111" s="41" t="s">
        <v>501</v>
      </c>
      <c r="C111" s="41"/>
      <c r="D111" s="39">
        <v>3.0</v>
      </c>
      <c r="E111" s="39">
        <v>30.0</v>
      </c>
      <c r="F111" s="50"/>
      <c r="G111" s="50"/>
      <c r="H111" s="154"/>
      <c r="I111" s="51">
        <f t="shared" si="12"/>
        <v>12</v>
      </c>
      <c r="J111" s="55"/>
      <c r="K111" s="5"/>
      <c r="L111" s="5"/>
      <c r="M111" s="5"/>
      <c r="N111" s="5"/>
      <c r="O111" s="5"/>
      <c r="P111" s="5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41">
        <v>5.38550419E9</v>
      </c>
      <c r="B112" s="41" t="s">
        <v>502</v>
      </c>
      <c r="C112" s="41"/>
      <c r="D112" s="39">
        <v>2.0</v>
      </c>
      <c r="E112" s="39">
        <v>28.0</v>
      </c>
      <c r="F112" s="50"/>
      <c r="G112" s="50"/>
      <c r="H112" s="154"/>
      <c r="I112" s="51">
        <f t="shared" si="12"/>
        <v>12.85714286</v>
      </c>
      <c r="J112" s="55"/>
      <c r="K112" s="5"/>
      <c r="L112" s="5"/>
      <c r="M112" s="5"/>
      <c r="N112" s="5"/>
      <c r="O112" s="5"/>
      <c r="P112" s="5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41">
        <v>5.14242319E9</v>
      </c>
      <c r="B113" s="41" t="s">
        <v>503</v>
      </c>
      <c r="C113" s="41"/>
      <c r="D113" s="39">
        <v>2.0</v>
      </c>
      <c r="E113" s="39">
        <v>28.0</v>
      </c>
      <c r="F113" s="50"/>
      <c r="G113" s="50"/>
      <c r="H113" s="154"/>
      <c r="I113" s="51">
        <f t="shared" si="12"/>
        <v>12.85714286</v>
      </c>
      <c r="J113" s="55"/>
      <c r="K113" s="5"/>
      <c r="L113" s="5"/>
      <c r="M113" s="5"/>
      <c r="N113" s="5"/>
      <c r="O113" s="5"/>
      <c r="P113" s="5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41">
        <v>2.075199519E10</v>
      </c>
      <c r="B114" s="41" t="s">
        <v>504</v>
      </c>
      <c r="C114" s="41" t="s">
        <v>505</v>
      </c>
      <c r="D114" s="39">
        <v>2.0</v>
      </c>
      <c r="E114" s="39">
        <v>56.0</v>
      </c>
      <c r="F114" s="50"/>
      <c r="G114" s="50"/>
      <c r="H114" s="154"/>
      <c r="I114" s="51">
        <f t="shared" si="12"/>
        <v>6.428571429</v>
      </c>
      <c r="J114" s="52">
        <v>7.0</v>
      </c>
      <c r="K114" s="5"/>
      <c r="L114" s="5"/>
      <c r="M114" s="5"/>
      <c r="N114" s="5"/>
      <c r="O114" s="5"/>
      <c r="P114" s="5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41">
        <v>2.075240119E10</v>
      </c>
      <c r="B115" s="41" t="s">
        <v>506</v>
      </c>
      <c r="C115" s="41" t="s">
        <v>507</v>
      </c>
      <c r="D115" s="39">
        <v>5.0</v>
      </c>
      <c r="E115" s="39">
        <v>56.0</v>
      </c>
      <c r="F115" s="50"/>
      <c r="G115" s="50"/>
      <c r="H115" s="154"/>
      <c r="I115" s="51">
        <f t="shared" si="12"/>
        <v>6.428571429</v>
      </c>
      <c r="J115" s="52">
        <v>5.0</v>
      </c>
      <c r="K115" s="5"/>
      <c r="L115" s="5"/>
      <c r="M115" s="5"/>
      <c r="N115" s="5"/>
      <c r="O115" s="5"/>
      <c r="P115" s="5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41">
        <v>2.075300919E10</v>
      </c>
      <c r="B116" s="41" t="s">
        <v>509</v>
      </c>
      <c r="C116" s="41" t="s">
        <v>510</v>
      </c>
      <c r="D116" s="39">
        <v>5.0</v>
      </c>
      <c r="E116" s="39">
        <v>56.0</v>
      </c>
      <c r="F116" s="50"/>
      <c r="G116" s="50"/>
      <c r="H116" s="154"/>
      <c r="I116" s="51">
        <f t="shared" si="12"/>
        <v>6.428571429</v>
      </c>
      <c r="J116" s="52">
        <v>5.0</v>
      </c>
      <c r="K116" s="5"/>
      <c r="L116" s="5"/>
      <c r="M116" s="5"/>
      <c r="N116" s="5"/>
      <c r="O116" s="5"/>
      <c r="P116" s="5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41">
        <v>1.1098993122E10</v>
      </c>
      <c r="B117" s="41" t="s">
        <v>512</v>
      </c>
      <c r="C117" s="41" t="s">
        <v>513</v>
      </c>
      <c r="D117" s="39">
        <v>3.0</v>
      </c>
      <c r="E117" s="39">
        <v>28.0</v>
      </c>
      <c r="F117" s="50"/>
      <c r="G117" s="50"/>
      <c r="H117" s="154"/>
      <c r="I117" s="51">
        <f t="shared" si="12"/>
        <v>12.85714286</v>
      </c>
      <c r="J117" s="55"/>
      <c r="K117" s="5"/>
      <c r="L117" s="5"/>
      <c r="M117" s="5"/>
      <c r="N117" s="5"/>
      <c r="O117" s="5"/>
      <c r="P117" s="5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41">
        <v>1.1098985122E10</v>
      </c>
      <c r="B118" s="41" t="s">
        <v>514</v>
      </c>
      <c r="C118" s="41"/>
      <c r="D118" s="39">
        <v>3.0</v>
      </c>
      <c r="E118" s="39">
        <v>28.0</v>
      </c>
      <c r="F118" s="50"/>
      <c r="G118" s="50"/>
      <c r="H118" s="154"/>
      <c r="I118" s="51">
        <f t="shared" si="12"/>
        <v>12.85714286</v>
      </c>
      <c r="J118" s="55"/>
      <c r="K118" s="5"/>
      <c r="L118" s="5"/>
      <c r="M118" s="5"/>
      <c r="N118" s="5"/>
      <c r="O118" s="5"/>
      <c r="P118" s="5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41">
        <v>1.1174118122E10</v>
      </c>
      <c r="B119" s="41" t="s">
        <v>516</v>
      </c>
      <c r="C119" s="41"/>
      <c r="D119" s="39">
        <v>3.0</v>
      </c>
      <c r="E119" s="39">
        <v>28.0</v>
      </c>
      <c r="F119" s="50"/>
      <c r="G119" s="50"/>
      <c r="H119" s="154"/>
      <c r="I119" s="51">
        <f t="shared" si="12"/>
        <v>12.85714286</v>
      </c>
      <c r="J119" s="55"/>
      <c r="K119" s="5"/>
      <c r="L119" s="5"/>
      <c r="M119" s="5"/>
      <c r="N119" s="5"/>
      <c r="O119" s="5"/>
      <c r="P119" s="5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41">
        <v>4.58004419E9</v>
      </c>
      <c r="B120" s="41" t="s">
        <v>517</v>
      </c>
      <c r="C120" s="41"/>
      <c r="D120" s="39">
        <v>3.0</v>
      </c>
      <c r="E120" s="39">
        <v>28.0</v>
      </c>
      <c r="F120" s="50"/>
      <c r="G120" s="50"/>
      <c r="H120" s="154"/>
      <c r="I120" s="51">
        <f t="shared" si="12"/>
        <v>12.85714286</v>
      </c>
      <c r="J120" s="55"/>
      <c r="K120" s="5"/>
      <c r="L120" s="5"/>
      <c r="M120" s="5"/>
      <c r="N120" s="5"/>
      <c r="O120" s="5"/>
      <c r="P120" s="5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41">
        <v>1.1730835216E10</v>
      </c>
      <c r="B121" s="41" t="s">
        <v>518</v>
      </c>
      <c r="C121" s="41"/>
      <c r="D121" s="39">
        <v>2.0</v>
      </c>
      <c r="E121" s="39">
        <v>56.0</v>
      </c>
      <c r="F121" s="50"/>
      <c r="G121" s="50"/>
      <c r="H121" s="154"/>
      <c r="I121" s="51">
        <f t="shared" si="12"/>
        <v>6.428571429</v>
      </c>
      <c r="J121" s="55"/>
      <c r="K121" s="5"/>
      <c r="L121" s="5"/>
      <c r="M121" s="5"/>
      <c r="N121" s="5"/>
      <c r="O121" s="5"/>
      <c r="P121" s="5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41">
        <v>1.2172828322E10</v>
      </c>
      <c r="B122" s="41" t="s">
        <v>520</v>
      </c>
      <c r="C122" s="41"/>
      <c r="D122" s="39">
        <v>1.0</v>
      </c>
      <c r="E122" s="39">
        <v>30.0</v>
      </c>
      <c r="F122" s="50"/>
      <c r="G122" s="50"/>
      <c r="H122" s="154"/>
      <c r="I122" s="51">
        <f t="shared" si="12"/>
        <v>12</v>
      </c>
      <c r="J122" s="52">
        <v>12.0</v>
      </c>
      <c r="K122" s="5"/>
      <c r="L122" s="5"/>
      <c r="M122" s="5"/>
      <c r="N122" s="5"/>
      <c r="O122" s="5"/>
      <c r="P122" s="5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41">
        <v>3.005496122E9</v>
      </c>
      <c r="B123" s="41" t="s">
        <v>522</v>
      </c>
      <c r="C123" s="41"/>
      <c r="D123" s="39">
        <v>4.0</v>
      </c>
      <c r="E123" s="39">
        <v>30.0</v>
      </c>
      <c r="F123" s="50"/>
      <c r="G123" s="50"/>
      <c r="H123" s="154"/>
      <c r="I123" s="51">
        <f t="shared" si="12"/>
        <v>12</v>
      </c>
      <c r="J123" s="52">
        <v>10.0</v>
      </c>
      <c r="K123" s="5"/>
      <c r="L123" s="5"/>
      <c r="M123" s="5"/>
      <c r="N123" s="5"/>
      <c r="O123" s="5"/>
      <c r="P123" s="5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41">
        <v>3.37579019E9</v>
      </c>
      <c r="B124" s="41" t="s">
        <v>524</v>
      </c>
      <c r="C124" s="41"/>
      <c r="D124" s="39">
        <v>6.0</v>
      </c>
      <c r="E124" s="39">
        <v>280.0</v>
      </c>
      <c r="F124" s="50"/>
      <c r="G124" s="50"/>
      <c r="H124" s="154"/>
      <c r="I124" s="51">
        <f t="shared" si="12"/>
        <v>1.285714286</v>
      </c>
      <c r="J124" s="55"/>
      <c r="K124" s="5"/>
      <c r="L124" s="5"/>
      <c r="M124" s="5"/>
      <c r="N124" s="5"/>
      <c r="O124" s="5"/>
      <c r="P124" s="5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41">
        <v>4.52153619E9</v>
      </c>
      <c r="B125" s="41" t="s">
        <v>526</v>
      </c>
      <c r="C125" s="41"/>
      <c r="D125" s="39">
        <v>6.0</v>
      </c>
      <c r="E125" s="39">
        <v>336.0</v>
      </c>
      <c r="F125" s="50"/>
      <c r="G125" s="50"/>
      <c r="H125" s="154"/>
      <c r="I125" s="51">
        <f t="shared" si="12"/>
        <v>1.071428571</v>
      </c>
      <c r="J125" s="55"/>
      <c r="K125" s="5"/>
      <c r="L125" s="5"/>
      <c r="M125" s="5"/>
      <c r="N125" s="5"/>
      <c r="O125" s="5"/>
      <c r="P125" s="5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141" t="s">
        <v>528</v>
      </c>
      <c r="B126" s="143"/>
      <c r="C126" s="27"/>
      <c r="D126" s="146" t="s">
        <v>440</v>
      </c>
      <c r="E126" s="146" t="s">
        <v>442</v>
      </c>
      <c r="F126" s="148"/>
      <c r="G126" s="148"/>
      <c r="H126" s="148" t="s">
        <v>28</v>
      </c>
      <c r="I126" s="151" t="s">
        <v>29</v>
      </c>
      <c r="J126" s="151" t="s">
        <v>444</v>
      </c>
      <c r="K126" s="5"/>
      <c r="L126" s="5"/>
      <c r="M126" s="5"/>
      <c r="N126" s="5"/>
      <c r="O126" s="5"/>
      <c r="P126" s="5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41">
        <v>7.700814001E9</v>
      </c>
      <c r="B127" s="41" t="s">
        <v>531</v>
      </c>
      <c r="C127" s="41" t="s">
        <v>532</v>
      </c>
      <c r="D127" s="39">
        <v>1.0</v>
      </c>
      <c r="E127" s="39">
        <v>60.0</v>
      </c>
      <c r="F127" s="50"/>
      <c r="G127" s="50"/>
      <c r="H127" s="154"/>
      <c r="I127" s="51">
        <f t="shared" ref="I127:I146" si="13">(360/E127)</f>
        <v>6</v>
      </c>
      <c r="J127" s="52">
        <v>7.0</v>
      </c>
      <c r="K127" s="5"/>
      <c r="L127" s="5"/>
      <c r="M127" s="5"/>
      <c r="N127" s="5"/>
      <c r="O127" s="5"/>
      <c r="P127" s="5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39">
        <v>9.033408001E9</v>
      </c>
      <c r="B128" s="41" t="s">
        <v>535</v>
      </c>
      <c r="C128" s="41" t="s">
        <v>532</v>
      </c>
      <c r="D128" s="180">
        <v>1.0</v>
      </c>
      <c r="E128" s="180">
        <v>60.0</v>
      </c>
      <c r="F128" s="182"/>
      <c r="G128" s="182"/>
      <c r="H128" s="154"/>
      <c r="I128" s="51">
        <f t="shared" si="13"/>
        <v>6</v>
      </c>
      <c r="J128" s="55"/>
      <c r="K128" s="5"/>
      <c r="L128" s="5"/>
      <c r="M128" s="5"/>
      <c r="N128" s="5"/>
      <c r="O128" s="5"/>
      <c r="P128" s="5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41">
        <v>8.06335419E9</v>
      </c>
      <c r="B129" s="41" t="s">
        <v>537</v>
      </c>
      <c r="C129" s="41" t="s">
        <v>538</v>
      </c>
      <c r="D129" s="39">
        <v>1.0</v>
      </c>
      <c r="E129" s="39">
        <v>28.0</v>
      </c>
      <c r="F129" s="50"/>
      <c r="G129" s="50"/>
      <c r="H129" s="154"/>
      <c r="I129" s="51">
        <f t="shared" si="13"/>
        <v>12.85714286</v>
      </c>
      <c r="J129" s="52">
        <v>46.0</v>
      </c>
      <c r="K129" s="5"/>
      <c r="L129" s="5"/>
      <c r="M129" s="5"/>
      <c r="N129" s="5"/>
      <c r="O129" s="5"/>
      <c r="P129" s="5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41">
        <v>8.06335419E9</v>
      </c>
      <c r="B130" s="41" t="s">
        <v>540</v>
      </c>
      <c r="C130" s="41" t="s">
        <v>538</v>
      </c>
      <c r="D130" s="39">
        <v>1.0</v>
      </c>
      <c r="E130" s="39">
        <v>28.0</v>
      </c>
      <c r="F130" s="50"/>
      <c r="G130" s="50"/>
      <c r="H130" s="154"/>
      <c r="I130" s="51">
        <f t="shared" si="13"/>
        <v>12.85714286</v>
      </c>
      <c r="J130" s="55"/>
      <c r="K130" s="5"/>
      <c r="L130" s="5"/>
      <c r="M130" s="5"/>
      <c r="N130" s="5"/>
      <c r="O130" s="5"/>
      <c r="P130" s="5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41">
        <v>8.06345119E9</v>
      </c>
      <c r="B131" s="41" t="s">
        <v>542</v>
      </c>
      <c r="C131" s="41" t="s">
        <v>538</v>
      </c>
      <c r="D131" s="39">
        <v>1.0</v>
      </c>
      <c r="E131" s="39">
        <v>84.0</v>
      </c>
      <c r="F131" s="50"/>
      <c r="G131" s="50"/>
      <c r="H131" s="154"/>
      <c r="I131" s="51">
        <f t="shared" si="13"/>
        <v>4.285714286</v>
      </c>
      <c r="J131" s="52">
        <v>82.0</v>
      </c>
      <c r="K131" s="5"/>
      <c r="L131" s="5"/>
      <c r="M131" s="5"/>
      <c r="N131" s="5"/>
      <c r="O131" s="5"/>
      <c r="P131" s="5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41">
        <v>8.06345119E9</v>
      </c>
      <c r="B132" s="41" t="s">
        <v>544</v>
      </c>
      <c r="C132" s="41" t="s">
        <v>538</v>
      </c>
      <c r="D132" s="39">
        <v>1.0</v>
      </c>
      <c r="E132" s="39">
        <v>84.0</v>
      </c>
      <c r="F132" s="50"/>
      <c r="G132" s="50"/>
      <c r="H132" s="154"/>
      <c r="I132" s="51">
        <f t="shared" si="13"/>
        <v>4.285714286</v>
      </c>
      <c r="J132" s="55"/>
      <c r="K132" s="5"/>
      <c r="L132" s="5"/>
      <c r="M132" s="5"/>
      <c r="N132" s="5"/>
      <c r="O132" s="5"/>
      <c r="P132" s="5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41">
        <v>8.06349419E9</v>
      </c>
      <c r="B133" s="41" t="s">
        <v>546</v>
      </c>
      <c r="C133" s="41" t="s">
        <v>538</v>
      </c>
      <c r="D133" s="184">
        <v>1.0</v>
      </c>
      <c r="E133" s="184">
        <v>182.0</v>
      </c>
      <c r="F133" s="50"/>
      <c r="G133" s="50"/>
      <c r="H133" s="154"/>
      <c r="I133" s="51">
        <f t="shared" si="13"/>
        <v>1.978021978</v>
      </c>
      <c r="J133" s="52">
        <v>6.0</v>
      </c>
      <c r="K133" s="5"/>
      <c r="L133" s="5"/>
      <c r="M133" s="5"/>
      <c r="N133" s="5"/>
      <c r="O133" s="5"/>
      <c r="P133" s="5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41">
        <v>8.06347819E9</v>
      </c>
      <c r="B134" s="41" t="s">
        <v>550</v>
      </c>
      <c r="C134" s="41" t="s">
        <v>538</v>
      </c>
      <c r="D134" s="39">
        <v>1.0</v>
      </c>
      <c r="E134" s="39">
        <v>84.0</v>
      </c>
      <c r="F134" s="50"/>
      <c r="G134" s="50"/>
      <c r="H134" s="154"/>
      <c r="I134" s="51">
        <f t="shared" si="13"/>
        <v>4.285714286</v>
      </c>
      <c r="J134" s="52">
        <v>6.0</v>
      </c>
      <c r="K134" s="5"/>
      <c r="L134" s="5"/>
      <c r="M134" s="5"/>
      <c r="N134" s="5"/>
      <c r="O134" s="5"/>
      <c r="P134" s="5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41">
        <v>8.30272319E9</v>
      </c>
      <c r="B135" s="41" t="s">
        <v>552</v>
      </c>
      <c r="C135" s="41" t="s">
        <v>553</v>
      </c>
      <c r="D135" s="39">
        <v>2.0</v>
      </c>
      <c r="E135" s="39">
        <v>84.0</v>
      </c>
      <c r="F135" s="50"/>
      <c r="G135" s="50"/>
      <c r="H135" s="154"/>
      <c r="I135" s="51">
        <f t="shared" si="13"/>
        <v>4.285714286</v>
      </c>
      <c r="J135" s="52"/>
      <c r="K135" s="5"/>
      <c r="L135" s="5"/>
      <c r="M135" s="5"/>
      <c r="N135" s="5"/>
      <c r="O135" s="5"/>
      <c r="P135" s="5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41">
        <v>8.30272319E9</v>
      </c>
      <c r="B136" s="41" t="s">
        <v>554</v>
      </c>
      <c r="C136" s="41" t="s">
        <v>553</v>
      </c>
      <c r="D136" s="39">
        <v>2.0</v>
      </c>
      <c r="E136" s="39">
        <v>84.0</v>
      </c>
      <c r="F136" s="50"/>
      <c r="G136" s="50"/>
      <c r="H136" s="154"/>
      <c r="I136" s="51">
        <f t="shared" si="13"/>
        <v>4.285714286</v>
      </c>
      <c r="J136" s="52">
        <v>6.0</v>
      </c>
      <c r="K136" s="5"/>
      <c r="L136" s="5"/>
      <c r="M136" s="5"/>
      <c r="N136" s="5"/>
      <c r="O136" s="5"/>
      <c r="P136" s="5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41">
        <v>8.46309319E9</v>
      </c>
      <c r="B137" s="41" t="s">
        <v>555</v>
      </c>
      <c r="C137" s="41" t="s">
        <v>538</v>
      </c>
      <c r="D137" s="39">
        <v>1.0</v>
      </c>
      <c r="E137" s="39">
        <v>7.0</v>
      </c>
      <c r="F137" s="50"/>
      <c r="G137" s="50"/>
      <c r="H137" s="154"/>
      <c r="I137" s="51">
        <f t="shared" si="13"/>
        <v>51.42857143</v>
      </c>
      <c r="J137" s="52">
        <v>19.0</v>
      </c>
      <c r="K137" s="5"/>
      <c r="L137" s="5"/>
      <c r="M137" s="5"/>
      <c r="N137" s="5"/>
      <c r="O137" s="5"/>
      <c r="P137" s="5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41">
        <v>8.30254519E9</v>
      </c>
      <c r="B138" s="41" t="s">
        <v>556</v>
      </c>
      <c r="C138" s="41" t="s">
        <v>553</v>
      </c>
      <c r="D138" s="39">
        <v>2.0</v>
      </c>
      <c r="E138" s="39">
        <v>70.0</v>
      </c>
      <c r="F138" s="50"/>
      <c r="G138" s="50"/>
      <c r="H138" s="154"/>
      <c r="I138" s="51">
        <f t="shared" si="13"/>
        <v>5.142857143</v>
      </c>
      <c r="J138" s="55"/>
      <c r="K138" s="5"/>
      <c r="L138" s="5"/>
      <c r="M138" s="5"/>
      <c r="N138" s="5"/>
      <c r="O138" s="5"/>
      <c r="P138" s="5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41">
        <v>8.30254519E9</v>
      </c>
      <c r="B139" s="41" t="s">
        <v>558</v>
      </c>
      <c r="C139" s="41" t="s">
        <v>553</v>
      </c>
      <c r="D139" s="39">
        <v>2.0</v>
      </c>
      <c r="E139" s="39">
        <v>70.0</v>
      </c>
      <c r="F139" s="50"/>
      <c r="G139" s="50"/>
      <c r="H139" s="154"/>
      <c r="I139" s="51">
        <f t="shared" si="13"/>
        <v>5.142857143</v>
      </c>
      <c r="J139" s="52">
        <v>82.0</v>
      </c>
      <c r="K139" s="5"/>
      <c r="L139" s="5"/>
      <c r="M139" s="5"/>
      <c r="N139" s="5"/>
      <c r="O139" s="5"/>
      <c r="P139" s="5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41">
        <v>4.444191001E9</v>
      </c>
      <c r="B140" s="41" t="s">
        <v>561</v>
      </c>
      <c r="C140" s="152" t="s">
        <v>563</v>
      </c>
      <c r="D140" s="39">
        <v>1.0</v>
      </c>
      <c r="E140" s="39">
        <v>365.0</v>
      </c>
      <c r="F140" s="50"/>
      <c r="G140" s="50"/>
      <c r="H140" s="154"/>
      <c r="I140" s="51">
        <f t="shared" si="13"/>
        <v>0.9863013699</v>
      </c>
      <c r="J140" s="52">
        <v>36.0</v>
      </c>
      <c r="K140" s="5"/>
      <c r="L140" s="5"/>
      <c r="M140" s="5"/>
      <c r="N140" s="5"/>
      <c r="O140" s="5"/>
      <c r="P140" s="5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41">
        <v>8.46310719E9</v>
      </c>
      <c r="B141" s="41" t="s">
        <v>565</v>
      </c>
      <c r="C141" s="41" t="s">
        <v>538</v>
      </c>
      <c r="D141" s="39">
        <v>1.0</v>
      </c>
      <c r="E141" s="39">
        <v>28.0</v>
      </c>
      <c r="F141" s="50"/>
      <c r="G141" s="50"/>
      <c r="H141" s="154"/>
      <c r="I141" s="51">
        <f t="shared" si="13"/>
        <v>12.85714286</v>
      </c>
      <c r="J141" s="52">
        <v>19.0</v>
      </c>
      <c r="K141" s="5"/>
      <c r="L141" s="5"/>
      <c r="M141" s="5"/>
      <c r="N141" s="5"/>
      <c r="O141" s="5"/>
      <c r="P141" s="5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41">
        <v>8.05932219E9</v>
      </c>
      <c r="B142" s="41" t="s">
        <v>567</v>
      </c>
      <c r="C142" s="41" t="s">
        <v>568</v>
      </c>
      <c r="D142" s="39">
        <v>1.0</v>
      </c>
      <c r="E142" s="39">
        <v>182.0</v>
      </c>
      <c r="F142" s="50"/>
      <c r="G142" s="50"/>
      <c r="H142" s="154"/>
      <c r="I142" s="51">
        <f t="shared" si="13"/>
        <v>1.978021978</v>
      </c>
      <c r="J142" s="52">
        <v>5.0</v>
      </c>
      <c r="K142" s="5"/>
      <c r="L142" s="5"/>
      <c r="M142" s="5"/>
      <c r="N142" s="5"/>
      <c r="O142" s="5"/>
      <c r="P142" s="5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41">
        <v>5.870020001E9</v>
      </c>
      <c r="B143" s="41" t="s">
        <v>570</v>
      </c>
      <c r="C143" s="152" t="s">
        <v>571</v>
      </c>
      <c r="D143" s="39">
        <v>1.0</v>
      </c>
      <c r="E143" s="39"/>
      <c r="F143" s="50"/>
      <c r="G143" s="50"/>
      <c r="H143" s="154"/>
      <c r="I143" s="51" t="str">
        <f t="shared" si="13"/>
        <v>#DIV/0!</v>
      </c>
      <c r="J143" s="55"/>
      <c r="K143" s="5"/>
      <c r="L143" s="5"/>
      <c r="M143" s="5"/>
      <c r="N143" s="5"/>
      <c r="O143" s="5"/>
      <c r="P143" s="5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41">
        <v>4.419987001E9</v>
      </c>
      <c r="B144" s="41" t="s">
        <v>573</v>
      </c>
      <c r="C144" s="152" t="s">
        <v>574</v>
      </c>
      <c r="D144" s="39">
        <v>1.0</v>
      </c>
      <c r="E144" s="39"/>
      <c r="F144" s="50"/>
      <c r="G144" s="50"/>
      <c r="H144" s="154"/>
      <c r="I144" s="51" t="str">
        <f t="shared" si="13"/>
        <v>#DIV/0!</v>
      </c>
      <c r="J144" s="55"/>
      <c r="K144" s="5"/>
      <c r="L144" s="5"/>
      <c r="M144" s="5"/>
      <c r="N144" s="5"/>
      <c r="O144" s="5"/>
      <c r="P144" s="5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39">
        <v>4.740955001E9</v>
      </c>
      <c r="B145" s="41" t="s">
        <v>576</v>
      </c>
      <c r="C145" s="152"/>
      <c r="D145" s="39">
        <v>1.0</v>
      </c>
      <c r="E145" s="39"/>
      <c r="F145" s="152"/>
      <c r="G145" s="152"/>
      <c r="H145" s="154"/>
      <c r="I145" s="51" t="str">
        <f t="shared" si="13"/>
        <v>#DIV/0!</v>
      </c>
      <c r="J145" s="52">
        <v>1.0</v>
      </c>
      <c r="K145" s="5"/>
      <c r="L145" s="5"/>
      <c r="M145" s="5"/>
      <c r="N145" s="5"/>
      <c r="O145" s="5"/>
      <c r="P145" s="5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39">
        <v>4.813707001E9</v>
      </c>
      <c r="B146" s="41" t="s">
        <v>577</v>
      </c>
      <c r="C146" s="188"/>
      <c r="D146" s="189">
        <v>1.0</v>
      </c>
      <c r="E146" s="189"/>
      <c r="F146" s="188"/>
      <c r="G146" s="188"/>
      <c r="H146" s="154"/>
      <c r="I146" s="51" t="str">
        <f t="shared" si="13"/>
        <v>#DIV/0!</v>
      </c>
      <c r="J146" s="52">
        <v>19.0</v>
      </c>
      <c r="K146" s="5"/>
      <c r="L146" s="5"/>
      <c r="M146" s="5"/>
      <c r="N146" s="5"/>
      <c r="O146" s="5"/>
      <c r="P146" s="5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141" t="s">
        <v>580</v>
      </c>
      <c r="B147" s="190"/>
      <c r="C147" s="31" t="s">
        <v>26</v>
      </c>
      <c r="D147" s="146" t="s">
        <v>440</v>
      </c>
      <c r="E147" s="146" t="s">
        <v>442</v>
      </c>
      <c r="F147" s="148"/>
      <c r="G147" s="148"/>
      <c r="H147" s="148" t="s">
        <v>28</v>
      </c>
      <c r="I147" s="148" t="s">
        <v>29</v>
      </c>
      <c r="J147" s="148" t="s">
        <v>444</v>
      </c>
      <c r="K147" s="5"/>
      <c r="L147" s="5"/>
      <c r="M147" s="5"/>
      <c r="N147" s="5"/>
      <c r="O147" s="5"/>
      <c r="P147" s="5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41">
        <v>1.1183974216E10</v>
      </c>
      <c r="B148" s="191" t="s">
        <v>583</v>
      </c>
      <c r="C148" s="192">
        <v>3300.0</v>
      </c>
      <c r="D148" s="50">
        <v>10.0</v>
      </c>
      <c r="E148" s="50">
        <v>1.0</v>
      </c>
      <c r="F148" s="50"/>
      <c r="G148" s="50"/>
      <c r="H148" s="66"/>
      <c r="I148" s="50">
        <f t="shared" ref="I148:I160" si="14">(360/E148)</f>
        <v>360</v>
      </c>
      <c r="J148" s="193">
        <v>57.0</v>
      </c>
      <c r="K148" s="5"/>
      <c r="L148" s="5"/>
      <c r="M148" s="5"/>
      <c r="N148" s="5"/>
      <c r="O148" s="5"/>
      <c r="P148" s="5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41">
        <v>1.1183982216E10</v>
      </c>
      <c r="B149" s="191" t="s">
        <v>589</v>
      </c>
      <c r="C149" s="194"/>
      <c r="D149" s="50">
        <v>10.0</v>
      </c>
      <c r="E149" s="50">
        <v>1.0</v>
      </c>
      <c r="F149" s="50"/>
      <c r="G149" s="50"/>
      <c r="H149" s="66"/>
      <c r="I149" s="50">
        <f t="shared" si="14"/>
        <v>360</v>
      </c>
      <c r="J149" s="193">
        <v>57.0</v>
      </c>
      <c r="K149" s="5"/>
      <c r="L149" s="5"/>
      <c r="M149" s="5"/>
      <c r="N149" s="5"/>
      <c r="O149" s="5"/>
      <c r="P149" s="5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41">
        <v>1.1298500316E10</v>
      </c>
      <c r="B150" s="191" t="s">
        <v>591</v>
      </c>
      <c r="C150" s="194"/>
      <c r="D150" s="50">
        <v>5.0</v>
      </c>
      <c r="E150" s="50">
        <v>73.0</v>
      </c>
      <c r="F150" s="50"/>
      <c r="G150" s="50"/>
      <c r="H150" s="66"/>
      <c r="I150" s="51">
        <f t="shared" si="14"/>
        <v>4.931506849</v>
      </c>
      <c r="J150" s="52">
        <v>3.0</v>
      </c>
      <c r="K150" s="5"/>
      <c r="L150" s="5"/>
      <c r="M150" s="5"/>
      <c r="N150" s="5"/>
      <c r="O150" s="5"/>
      <c r="P150" s="5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41">
        <v>4.66363219E9</v>
      </c>
      <c r="B151" s="191" t="s">
        <v>593</v>
      </c>
      <c r="C151" s="194"/>
      <c r="D151" s="50">
        <v>9.0</v>
      </c>
      <c r="E151" s="50">
        <v>12.0</v>
      </c>
      <c r="F151" s="50"/>
      <c r="G151" s="50"/>
      <c r="H151" s="66"/>
      <c r="I151" s="51">
        <f t="shared" si="14"/>
        <v>30</v>
      </c>
      <c r="J151" s="52">
        <v>6.0</v>
      </c>
      <c r="K151" s="5"/>
      <c r="L151" s="5"/>
      <c r="M151" s="5"/>
      <c r="N151" s="5"/>
      <c r="O151" s="5"/>
      <c r="P151" s="5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39">
        <v>2.0763071122E10</v>
      </c>
      <c r="B152" s="191" t="s">
        <v>595</v>
      </c>
      <c r="C152" s="194"/>
      <c r="D152" s="50">
        <v>6.0</v>
      </c>
      <c r="E152" s="50">
        <v>56.0</v>
      </c>
      <c r="F152" s="50"/>
      <c r="G152" s="50"/>
      <c r="H152" s="66"/>
      <c r="I152" s="51">
        <f t="shared" si="14"/>
        <v>6.428571429</v>
      </c>
      <c r="J152" s="52">
        <v>1.0</v>
      </c>
      <c r="K152" s="5"/>
      <c r="L152" s="5"/>
      <c r="M152" s="5"/>
      <c r="N152" s="5"/>
      <c r="O152" s="5"/>
      <c r="P152" s="5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41">
        <v>4.88048019E9</v>
      </c>
      <c r="B153" s="191" t="s">
        <v>597</v>
      </c>
      <c r="C153" s="194"/>
      <c r="D153" s="50">
        <v>2.0</v>
      </c>
      <c r="E153" s="50">
        <v>42.0</v>
      </c>
      <c r="F153" s="50"/>
      <c r="G153" s="50"/>
      <c r="H153" s="66"/>
      <c r="I153" s="51">
        <f t="shared" si="14"/>
        <v>8.571428571</v>
      </c>
      <c r="J153" s="52">
        <v>40.0</v>
      </c>
      <c r="K153" s="5"/>
      <c r="L153" s="5"/>
      <c r="M153" s="5"/>
      <c r="N153" s="5"/>
      <c r="O153" s="5"/>
      <c r="P153" s="5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41">
        <v>4.88045519E9</v>
      </c>
      <c r="B154" s="191" t="s">
        <v>599</v>
      </c>
      <c r="C154" s="194"/>
      <c r="D154" s="50">
        <v>2.0</v>
      </c>
      <c r="E154" s="50">
        <v>42.0</v>
      </c>
      <c r="F154" s="50"/>
      <c r="G154" s="50"/>
      <c r="H154" s="66"/>
      <c r="I154" s="51">
        <f t="shared" si="14"/>
        <v>8.571428571</v>
      </c>
      <c r="J154" s="52">
        <v>40.0</v>
      </c>
      <c r="K154" s="5"/>
      <c r="L154" s="5"/>
      <c r="M154" s="5"/>
      <c r="N154" s="5"/>
      <c r="O154" s="5"/>
      <c r="P154" s="5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41">
        <v>8.39201319E9</v>
      </c>
      <c r="B155" s="191" t="s">
        <v>601</v>
      </c>
      <c r="C155" s="194"/>
      <c r="D155" s="50">
        <v>2.0</v>
      </c>
      <c r="E155" s="50">
        <v>365.0</v>
      </c>
      <c r="F155" s="50"/>
      <c r="G155" s="50"/>
      <c r="H155" s="66"/>
      <c r="I155" s="51">
        <f t="shared" si="14"/>
        <v>0.9863013699</v>
      </c>
      <c r="J155" s="52">
        <v>36.0</v>
      </c>
      <c r="K155" s="5"/>
      <c r="L155" s="5"/>
      <c r="M155" s="5"/>
      <c r="N155" s="5"/>
      <c r="O155" s="5"/>
      <c r="P155" s="5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41">
        <v>1.0820652216E10</v>
      </c>
      <c r="B156" s="191" t="s">
        <v>603</v>
      </c>
      <c r="C156" s="194"/>
      <c r="D156" s="50">
        <v>1.0</v>
      </c>
      <c r="E156" s="50">
        <v>365.0</v>
      </c>
      <c r="F156" s="50"/>
      <c r="G156" s="50"/>
      <c r="H156" s="66"/>
      <c r="I156" s="51">
        <f t="shared" si="14"/>
        <v>0.9863013699</v>
      </c>
      <c r="J156" s="55"/>
      <c r="K156" s="5"/>
      <c r="L156" s="5"/>
      <c r="M156" s="5"/>
      <c r="N156" s="5"/>
      <c r="O156" s="5"/>
      <c r="P156" s="5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41">
        <v>3.149501001E9</v>
      </c>
      <c r="B157" s="191" t="s">
        <v>605</v>
      </c>
      <c r="C157" s="194"/>
      <c r="D157" s="50">
        <v>1.0</v>
      </c>
      <c r="E157" s="50">
        <v>168.0</v>
      </c>
      <c r="F157" s="50"/>
      <c r="G157" s="50"/>
      <c r="H157" s="66"/>
      <c r="I157" s="51">
        <f t="shared" si="14"/>
        <v>2.142857143</v>
      </c>
      <c r="J157" s="52">
        <v>4.0</v>
      </c>
      <c r="K157" s="5"/>
      <c r="L157" s="5"/>
      <c r="M157" s="5"/>
      <c r="N157" s="5"/>
      <c r="O157" s="5"/>
      <c r="P157" s="5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41">
        <v>1.0825468001E10</v>
      </c>
      <c r="B158" s="191" t="s">
        <v>607</v>
      </c>
      <c r="C158" s="194"/>
      <c r="D158" s="50">
        <v>1.0</v>
      </c>
      <c r="E158" s="50">
        <v>56.0</v>
      </c>
      <c r="F158" s="50"/>
      <c r="G158" s="50"/>
      <c r="H158" s="66"/>
      <c r="I158" s="51">
        <f t="shared" si="14"/>
        <v>6.428571429</v>
      </c>
      <c r="J158" s="52">
        <v>10.0</v>
      </c>
      <c r="K158" s="5"/>
      <c r="L158" s="5"/>
      <c r="M158" s="5"/>
      <c r="N158" s="5"/>
      <c r="O158" s="5"/>
      <c r="P158" s="5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41">
        <v>1.0825441001E10</v>
      </c>
      <c r="B159" s="191" t="s">
        <v>609</v>
      </c>
      <c r="C159" s="194"/>
      <c r="D159" s="50">
        <v>1.0</v>
      </c>
      <c r="E159" s="50">
        <v>56.0</v>
      </c>
      <c r="F159" s="50"/>
      <c r="G159" s="50"/>
      <c r="H159" s="66"/>
      <c r="I159" s="51">
        <f t="shared" si="14"/>
        <v>6.428571429</v>
      </c>
      <c r="J159" s="52">
        <v>10.0</v>
      </c>
      <c r="K159" s="5"/>
      <c r="L159" s="5"/>
      <c r="M159" s="5"/>
      <c r="N159" s="5"/>
      <c r="O159" s="5"/>
      <c r="P159" s="5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41">
        <v>3.246353001E9</v>
      </c>
      <c r="B160" s="191" t="s">
        <v>610</v>
      </c>
      <c r="C160" s="194"/>
      <c r="D160" s="50">
        <v>1.0</v>
      </c>
      <c r="E160" s="50">
        <v>56.0</v>
      </c>
      <c r="F160" s="50"/>
      <c r="G160" s="50"/>
      <c r="H160" s="66"/>
      <c r="I160" s="51">
        <f t="shared" si="14"/>
        <v>6.428571429</v>
      </c>
      <c r="J160" s="52">
        <v>10.0</v>
      </c>
      <c r="K160" s="5"/>
      <c r="L160" s="5"/>
      <c r="M160" s="5"/>
      <c r="N160" s="5"/>
      <c r="O160" s="5"/>
      <c r="P160" s="5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5"/>
      <c r="B161" s="5"/>
      <c r="C161" s="186"/>
      <c r="D161" s="21"/>
      <c r="E161" s="186"/>
      <c r="F161" s="195"/>
      <c r="G161" s="195"/>
      <c r="H161" s="5"/>
      <c r="I161" s="5"/>
      <c r="J161" s="5"/>
      <c r="K161" s="5"/>
      <c r="L161" s="5"/>
      <c r="M161" s="5"/>
      <c r="N161" s="5"/>
      <c r="O161" s="5"/>
      <c r="P161" s="5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5"/>
      <c r="B162" s="5"/>
      <c r="C162" s="5"/>
      <c r="D162" s="21"/>
      <c r="E162" s="186"/>
      <c r="F162" s="195"/>
      <c r="G162" s="195"/>
      <c r="H162" s="5"/>
      <c r="I162" s="5"/>
      <c r="J162" s="5"/>
      <c r="K162" s="5"/>
      <c r="L162" s="5"/>
      <c r="M162" s="5"/>
      <c r="N162" s="5"/>
      <c r="O162" s="5"/>
      <c r="P162" s="5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5"/>
      <c r="B163" s="5"/>
      <c r="C163" s="5"/>
      <c r="D163" s="21"/>
      <c r="E163" s="186"/>
      <c r="F163" s="195"/>
      <c r="G163" s="195"/>
      <c r="H163" s="5"/>
      <c r="I163" s="5"/>
      <c r="J163" s="5"/>
      <c r="K163" s="5"/>
      <c r="L163" s="5"/>
      <c r="M163" s="5"/>
      <c r="N163" s="5"/>
      <c r="O163" s="5"/>
      <c r="P163" s="5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5"/>
      <c r="B164" s="5"/>
      <c r="C164" s="5"/>
      <c r="D164" s="21"/>
      <c r="E164" s="186"/>
      <c r="F164" s="195"/>
      <c r="G164" s="195"/>
      <c r="H164" s="5"/>
      <c r="I164" s="5"/>
      <c r="J164" s="5"/>
      <c r="K164" s="5"/>
      <c r="L164" s="5"/>
      <c r="M164" s="5"/>
      <c r="N164" s="5"/>
      <c r="O164" s="5"/>
      <c r="P164" s="5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5"/>
      <c r="B165" s="5"/>
      <c r="C165" s="5"/>
      <c r="D165" s="21"/>
      <c r="E165" s="186"/>
      <c r="F165" s="195"/>
      <c r="G165" s="195"/>
      <c r="H165" s="5"/>
      <c r="I165" s="5"/>
      <c r="J165" s="5"/>
      <c r="K165" s="5"/>
      <c r="L165" s="5"/>
      <c r="M165" s="5"/>
      <c r="N165" s="5"/>
      <c r="O165" s="5"/>
      <c r="P165" s="5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5"/>
      <c r="B166" s="5"/>
      <c r="C166" s="5"/>
      <c r="D166" s="21"/>
      <c r="E166" s="186"/>
      <c r="F166" s="195"/>
      <c r="G166" s="195"/>
      <c r="H166" s="5"/>
      <c r="I166" s="5"/>
      <c r="J166" s="5"/>
      <c r="K166" s="5"/>
      <c r="L166" s="5"/>
      <c r="M166" s="5"/>
      <c r="N166" s="5"/>
      <c r="O166" s="5"/>
      <c r="P166" s="5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5"/>
      <c r="B167" s="5"/>
      <c r="C167" s="5"/>
      <c r="D167" s="21"/>
      <c r="E167" s="186"/>
      <c r="F167" s="195"/>
      <c r="G167" s="195"/>
      <c r="H167" s="5"/>
      <c r="I167" s="5"/>
      <c r="J167" s="5"/>
      <c r="K167" s="5"/>
      <c r="L167" s="5"/>
      <c r="M167" s="5"/>
      <c r="N167" s="5"/>
      <c r="O167" s="5"/>
      <c r="P167" s="5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5"/>
      <c r="B168" s="5"/>
      <c r="C168" s="5"/>
      <c r="D168" s="21"/>
      <c r="E168" s="186"/>
      <c r="F168" s="195"/>
      <c r="G168" s="195"/>
      <c r="H168" s="5"/>
      <c r="I168" s="5"/>
      <c r="J168" s="5"/>
      <c r="K168" s="5"/>
      <c r="L168" s="5"/>
      <c r="M168" s="5"/>
      <c r="N168" s="5"/>
      <c r="O168" s="5"/>
      <c r="P168" s="5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5"/>
      <c r="B169" s="5"/>
      <c r="C169" s="5"/>
      <c r="D169" s="21"/>
      <c r="E169" s="186"/>
      <c r="F169" s="195"/>
      <c r="G169" s="195"/>
      <c r="H169" s="5"/>
      <c r="I169" s="5"/>
      <c r="J169" s="5"/>
      <c r="K169" s="5"/>
      <c r="L169" s="5"/>
      <c r="M169" s="5"/>
      <c r="N169" s="5"/>
      <c r="O169" s="5"/>
      <c r="P169" s="5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5"/>
      <c r="B170" s="5"/>
      <c r="C170" s="5"/>
      <c r="D170" s="21"/>
      <c r="E170" s="186"/>
      <c r="F170" s="195"/>
      <c r="G170" s="195"/>
      <c r="H170" s="5"/>
      <c r="I170" s="5"/>
      <c r="J170" s="5"/>
      <c r="K170" s="5"/>
      <c r="L170" s="5"/>
      <c r="M170" s="5"/>
      <c r="N170" s="5"/>
      <c r="O170" s="5"/>
      <c r="P170" s="5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5"/>
      <c r="B171" s="5"/>
      <c r="C171" s="5"/>
      <c r="D171" s="21"/>
      <c r="E171" s="186"/>
      <c r="F171" s="195"/>
      <c r="G171" s="195"/>
      <c r="H171" s="5"/>
      <c r="I171" s="5"/>
      <c r="J171" s="5"/>
      <c r="K171" s="5"/>
      <c r="L171" s="5"/>
      <c r="M171" s="5"/>
      <c r="N171" s="5"/>
      <c r="O171" s="5"/>
      <c r="P171" s="5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5"/>
      <c r="B172" s="5"/>
      <c r="C172" s="5"/>
      <c r="D172" s="21"/>
      <c r="E172" s="186"/>
      <c r="F172" s="195"/>
      <c r="G172" s="195"/>
      <c r="H172" s="5"/>
      <c r="I172" s="5"/>
      <c r="J172" s="5"/>
      <c r="K172" s="5"/>
      <c r="L172" s="5"/>
      <c r="M172" s="5"/>
      <c r="N172" s="5"/>
      <c r="O172" s="5"/>
      <c r="P172" s="5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5"/>
      <c r="B173" s="5"/>
      <c r="C173" s="5"/>
      <c r="D173" s="21"/>
      <c r="E173" s="186"/>
      <c r="F173" s="195"/>
      <c r="G173" s="195"/>
      <c r="H173" s="5"/>
      <c r="I173" s="5"/>
      <c r="J173" s="5"/>
      <c r="K173" s="5"/>
      <c r="L173" s="5"/>
      <c r="M173" s="5"/>
      <c r="N173" s="5"/>
      <c r="O173" s="5"/>
      <c r="P173" s="5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5"/>
      <c r="B174" s="5"/>
      <c r="C174" s="5"/>
      <c r="D174" s="21"/>
      <c r="E174" s="186"/>
      <c r="F174" s="195"/>
      <c r="G174" s="195"/>
      <c r="H174" s="5"/>
      <c r="I174" s="5"/>
      <c r="J174" s="5"/>
      <c r="K174" s="5"/>
      <c r="L174" s="5"/>
      <c r="M174" s="5"/>
      <c r="N174" s="5"/>
      <c r="O174" s="5"/>
      <c r="P174" s="5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5"/>
      <c r="B175" s="5"/>
      <c r="C175" s="5"/>
      <c r="D175" s="21"/>
      <c r="E175" s="186"/>
      <c r="F175" s="195"/>
      <c r="G175" s="195"/>
      <c r="H175" s="5"/>
      <c r="I175" s="5"/>
      <c r="J175" s="5"/>
      <c r="K175" s="5"/>
      <c r="L175" s="5"/>
      <c r="M175" s="5"/>
      <c r="N175" s="5"/>
      <c r="O175" s="5"/>
      <c r="P175" s="5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5"/>
      <c r="B176" s="5"/>
      <c r="C176" s="5"/>
      <c r="D176" s="21"/>
      <c r="E176" s="186"/>
      <c r="F176" s="195"/>
      <c r="G176" s="195"/>
      <c r="H176" s="5"/>
      <c r="I176" s="5"/>
      <c r="J176" s="5"/>
      <c r="K176" s="5"/>
      <c r="L176" s="5"/>
      <c r="M176" s="5"/>
      <c r="N176" s="5"/>
      <c r="O176" s="5"/>
      <c r="P176" s="5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5"/>
      <c r="B177" s="5"/>
      <c r="C177" s="5"/>
      <c r="D177" s="21"/>
      <c r="E177" s="186"/>
      <c r="F177" s="195"/>
      <c r="G177" s="195"/>
      <c r="H177" s="5"/>
      <c r="I177" s="5"/>
      <c r="J177" s="5"/>
      <c r="K177" s="5"/>
      <c r="L177" s="5"/>
      <c r="M177" s="5"/>
      <c r="N177" s="5"/>
      <c r="O177" s="5"/>
      <c r="P177" s="5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5"/>
      <c r="B178" s="5"/>
      <c r="C178" s="5"/>
      <c r="D178" s="21"/>
      <c r="E178" s="186"/>
      <c r="F178" s="195"/>
      <c r="G178" s="195"/>
      <c r="H178" s="5"/>
      <c r="I178" s="5"/>
      <c r="J178" s="5"/>
      <c r="K178" s="5"/>
      <c r="L178" s="5"/>
      <c r="M178" s="5"/>
      <c r="N178" s="5"/>
      <c r="O178" s="5"/>
      <c r="P178" s="5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5"/>
      <c r="B179" s="5"/>
      <c r="C179" s="5"/>
      <c r="D179" s="21"/>
      <c r="E179" s="186"/>
      <c r="F179" s="195"/>
      <c r="G179" s="195"/>
      <c r="H179" s="5"/>
      <c r="I179" s="5"/>
      <c r="J179" s="5"/>
      <c r="K179" s="5"/>
      <c r="L179" s="5"/>
      <c r="M179" s="5"/>
      <c r="N179" s="5"/>
      <c r="O179" s="5"/>
      <c r="P179" s="5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5"/>
      <c r="B180" s="5"/>
      <c r="C180" s="5"/>
      <c r="D180" s="21"/>
      <c r="E180" s="186"/>
      <c r="F180" s="195"/>
      <c r="G180" s="195"/>
      <c r="H180" s="5"/>
      <c r="I180" s="5"/>
      <c r="J180" s="5"/>
      <c r="K180" s="5"/>
      <c r="L180" s="5"/>
      <c r="M180" s="5"/>
      <c r="N180" s="5"/>
      <c r="O180" s="5"/>
      <c r="P180" s="5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5"/>
      <c r="B181" s="5"/>
      <c r="C181" s="5"/>
      <c r="D181" s="21"/>
      <c r="E181" s="186"/>
      <c r="F181" s="195"/>
      <c r="G181" s="195"/>
      <c r="H181" s="5"/>
      <c r="I181" s="5"/>
      <c r="J181" s="5"/>
      <c r="K181" s="5"/>
      <c r="L181" s="5"/>
      <c r="M181" s="5"/>
      <c r="N181" s="5"/>
      <c r="O181" s="5"/>
      <c r="P181" s="5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5"/>
      <c r="B182" s="5"/>
      <c r="C182" s="5"/>
      <c r="D182" s="21"/>
      <c r="E182" s="186"/>
      <c r="F182" s="195"/>
      <c r="G182" s="195"/>
      <c r="H182" s="5"/>
      <c r="I182" s="5"/>
      <c r="J182" s="5"/>
      <c r="K182" s="5"/>
      <c r="L182" s="5"/>
      <c r="M182" s="5"/>
      <c r="N182" s="5"/>
      <c r="O182" s="5"/>
      <c r="P182" s="5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5"/>
      <c r="B183" s="5"/>
      <c r="C183" s="5"/>
      <c r="D183" s="21"/>
      <c r="E183" s="186"/>
      <c r="F183" s="195"/>
      <c r="G183" s="195"/>
      <c r="H183" s="5"/>
      <c r="I183" s="5"/>
      <c r="J183" s="5"/>
      <c r="K183" s="5"/>
      <c r="L183" s="5"/>
      <c r="M183" s="5"/>
      <c r="N183" s="5"/>
      <c r="O183" s="5"/>
      <c r="P183" s="5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5"/>
      <c r="B184" s="5"/>
      <c r="C184" s="5"/>
      <c r="D184" s="21"/>
      <c r="E184" s="186"/>
      <c r="F184" s="195"/>
      <c r="G184" s="195"/>
      <c r="H184" s="5"/>
      <c r="I184" s="5"/>
      <c r="J184" s="5"/>
      <c r="K184" s="5"/>
      <c r="L184" s="5"/>
      <c r="M184" s="5"/>
      <c r="N184" s="5"/>
      <c r="O184" s="5"/>
      <c r="P184" s="5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5"/>
      <c r="B185" s="5"/>
      <c r="C185" s="5"/>
      <c r="D185" s="21"/>
      <c r="E185" s="186"/>
      <c r="F185" s="195"/>
      <c r="G185" s="195"/>
      <c r="H185" s="5"/>
      <c r="I185" s="5"/>
      <c r="J185" s="5"/>
      <c r="K185" s="5"/>
      <c r="L185" s="5"/>
      <c r="M185" s="5"/>
      <c r="N185" s="5"/>
      <c r="O185" s="5"/>
      <c r="P185" s="5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5"/>
      <c r="B186" s="5"/>
      <c r="C186" s="5"/>
      <c r="D186" s="21"/>
      <c r="E186" s="186"/>
      <c r="F186" s="195"/>
      <c r="G186" s="195"/>
      <c r="H186" s="5"/>
      <c r="I186" s="5"/>
      <c r="J186" s="5"/>
      <c r="K186" s="5"/>
      <c r="L186" s="5"/>
      <c r="M186" s="5"/>
      <c r="N186" s="5"/>
      <c r="O186" s="5"/>
      <c r="P186" s="5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5"/>
      <c r="B187" s="5"/>
      <c r="C187" s="5"/>
      <c r="D187" s="21"/>
      <c r="E187" s="186"/>
      <c r="F187" s="195"/>
      <c r="G187" s="195"/>
      <c r="H187" s="5"/>
      <c r="I187" s="5"/>
      <c r="J187" s="5"/>
      <c r="K187" s="5"/>
      <c r="L187" s="5"/>
      <c r="M187" s="5"/>
      <c r="N187" s="5"/>
      <c r="O187" s="5"/>
      <c r="P187" s="5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5"/>
      <c r="B188" s="5"/>
      <c r="C188" s="5"/>
      <c r="D188" s="21"/>
      <c r="E188" s="186"/>
      <c r="F188" s="195"/>
      <c r="G188" s="195"/>
      <c r="H188" s="5"/>
      <c r="I188" s="5"/>
      <c r="J188" s="5"/>
      <c r="K188" s="5"/>
      <c r="L188" s="5"/>
      <c r="M188" s="5"/>
      <c r="N188" s="5"/>
      <c r="O188" s="5"/>
      <c r="P188" s="5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5"/>
      <c r="B189" s="5"/>
      <c r="C189" s="5"/>
      <c r="D189" s="21"/>
      <c r="E189" s="186"/>
      <c r="F189" s="195"/>
      <c r="G189" s="195"/>
      <c r="H189" s="5"/>
      <c r="I189" s="5"/>
      <c r="J189" s="5"/>
      <c r="K189" s="5"/>
      <c r="L189" s="5"/>
      <c r="M189" s="5"/>
      <c r="N189" s="5"/>
      <c r="O189" s="5"/>
      <c r="P189" s="5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5"/>
      <c r="B190" s="5"/>
      <c r="C190" s="5"/>
      <c r="D190" s="21"/>
      <c r="E190" s="186"/>
      <c r="F190" s="195"/>
      <c r="G190" s="195"/>
      <c r="H190" s="5"/>
      <c r="I190" s="5"/>
      <c r="J190" s="5"/>
      <c r="K190" s="5"/>
      <c r="L190" s="5"/>
      <c r="M190" s="5"/>
      <c r="N190" s="5"/>
      <c r="O190" s="5"/>
      <c r="P190" s="5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5"/>
      <c r="B191" s="5"/>
      <c r="C191" s="5"/>
      <c r="D191" s="21"/>
      <c r="E191" s="186"/>
      <c r="F191" s="195"/>
      <c r="G191" s="195"/>
      <c r="H191" s="5"/>
      <c r="I191" s="5"/>
      <c r="J191" s="5"/>
      <c r="K191" s="5"/>
      <c r="L191" s="5"/>
      <c r="M191" s="5"/>
      <c r="N191" s="5"/>
      <c r="O191" s="5"/>
      <c r="P191" s="5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5"/>
      <c r="B192" s="5"/>
      <c r="C192" s="5"/>
      <c r="D192" s="21"/>
      <c r="E192" s="186"/>
      <c r="F192" s="195"/>
      <c r="G192" s="195"/>
      <c r="H192" s="5"/>
      <c r="I192" s="5"/>
      <c r="J192" s="5"/>
      <c r="K192" s="5"/>
      <c r="L192" s="5"/>
      <c r="M192" s="5"/>
      <c r="N192" s="5"/>
      <c r="O192" s="5"/>
      <c r="P192" s="5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5"/>
      <c r="B193" s="5"/>
      <c r="C193" s="5"/>
      <c r="D193" s="21"/>
      <c r="E193" s="186"/>
      <c r="F193" s="195"/>
      <c r="G193" s="195"/>
      <c r="H193" s="5"/>
      <c r="I193" s="5"/>
      <c r="J193" s="5"/>
      <c r="K193" s="5"/>
      <c r="L193" s="5"/>
      <c r="M193" s="5"/>
      <c r="N193" s="5"/>
      <c r="O193" s="5"/>
      <c r="P193" s="5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5"/>
      <c r="B194" s="5"/>
      <c r="C194" s="5"/>
      <c r="D194" s="21"/>
      <c r="E194" s="186"/>
      <c r="F194" s="195"/>
      <c r="G194" s="195"/>
      <c r="H194" s="5"/>
      <c r="I194" s="5"/>
      <c r="J194" s="5"/>
      <c r="K194" s="5"/>
      <c r="L194" s="5"/>
      <c r="M194" s="5"/>
      <c r="N194" s="5"/>
      <c r="O194" s="5"/>
      <c r="P194" s="5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5"/>
      <c r="B195" s="5"/>
      <c r="C195" s="5"/>
      <c r="D195" s="21"/>
      <c r="E195" s="186"/>
      <c r="F195" s="195"/>
      <c r="G195" s="195"/>
      <c r="H195" s="5"/>
      <c r="I195" s="5"/>
      <c r="J195" s="5"/>
      <c r="K195" s="5"/>
      <c r="L195" s="5"/>
      <c r="M195" s="5"/>
      <c r="N195" s="5"/>
      <c r="O195" s="5"/>
      <c r="P195" s="5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5"/>
      <c r="B196" s="5"/>
      <c r="C196" s="5"/>
      <c r="D196" s="21"/>
      <c r="E196" s="186"/>
      <c r="F196" s="195"/>
      <c r="G196" s="195"/>
      <c r="H196" s="5"/>
      <c r="I196" s="5"/>
      <c r="J196" s="5"/>
      <c r="K196" s="5"/>
      <c r="L196" s="5"/>
      <c r="M196" s="5"/>
      <c r="N196" s="5"/>
      <c r="O196" s="5"/>
      <c r="P196" s="5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5"/>
      <c r="B197" s="5"/>
      <c r="C197" s="5"/>
      <c r="D197" s="21"/>
      <c r="E197" s="186"/>
      <c r="F197" s="195"/>
      <c r="G197" s="195"/>
      <c r="H197" s="5"/>
      <c r="I197" s="5"/>
      <c r="J197" s="5"/>
      <c r="K197" s="5"/>
      <c r="L197" s="5"/>
      <c r="M197" s="5"/>
      <c r="N197" s="5"/>
      <c r="O197" s="5"/>
      <c r="P197" s="5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5"/>
      <c r="B198" s="5"/>
      <c r="C198" s="5"/>
      <c r="D198" s="21"/>
      <c r="E198" s="186"/>
      <c r="F198" s="195"/>
      <c r="G198" s="195"/>
      <c r="H198" s="5"/>
      <c r="I198" s="5"/>
      <c r="J198" s="5"/>
      <c r="K198" s="5"/>
      <c r="L198" s="5"/>
      <c r="M198" s="5"/>
      <c r="N198" s="5"/>
      <c r="O198" s="5"/>
      <c r="P198" s="5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5"/>
      <c r="B199" s="5"/>
      <c r="C199" s="5"/>
      <c r="D199" s="21"/>
      <c r="E199" s="186"/>
      <c r="F199" s="195"/>
      <c r="G199" s="195"/>
      <c r="H199" s="5"/>
      <c r="I199" s="5"/>
      <c r="J199" s="5"/>
      <c r="K199" s="5"/>
      <c r="L199" s="5"/>
      <c r="M199" s="5"/>
      <c r="N199" s="5"/>
      <c r="O199" s="5"/>
      <c r="P199" s="5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5"/>
      <c r="B200" s="5"/>
      <c r="C200" s="5"/>
      <c r="D200" s="21"/>
      <c r="E200" s="186"/>
      <c r="F200" s="195"/>
      <c r="G200" s="195"/>
      <c r="H200" s="5"/>
      <c r="I200" s="5"/>
      <c r="J200" s="5"/>
      <c r="K200" s="5"/>
      <c r="L200" s="5"/>
      <c r="M200" s="5"/>
      <c r="N200" s="5"/>
      <c r="O200" s="5"/>
      <c r="P200" s="5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5"/>
      <c r="B201" s="5"/>
      <c r="C201" s="5"/>
      <c r="D201" s="21"/>
      <c r="E201" s="186"/>
      <c r="F201" s="195"/>
      <c r="G201" s="195"/>
      <c r="H201" s="5"/>
      <c r="I201" s="5"/>
      <c r="J201" s="5"/>
      <c r="K201" s="5"/>
      <c r="L201" s="5"/>
      <c r="M201" s="5"/>
      <c r="N201" s="5"/>
      <c r="O201" s="5"/>
      <c r="P201" s="5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5"/>
      <c r="B202" s="5"/>
      <c r="C202" s="5"/>
      <c r="D202" s="21"/>
      <c r="E202" s="186"/>
      <c r="F202" s="195"/>
      <c r="G202" s="195"/>
      <c r="H202" s="5"/>
      <c r="I202" s="5"/>
      <c r="J202" s="5"/>
      <c r="K202" s="5"/>
      <c r="L202" s="5"/>
      <c r="M202" s="5"/>
      <c r="N202" s="5"/>
      <c r="O202" s="5"/>
      <c r="P202" s="5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5"/>
      <c r="B203" s="5"/>
      <c r="C203" s="5"/>
      <c r="D203" s="21"/>
      <c r="E203" s="186"/>
      <c r="F203" s="195"/>
      <c r="G203" s="195"/>
      <c r="H203" s="5"/>
      <c r="I203" s="5"/>
      <c r="J203" s="5"/>
      <c r="K203" s="5"/>
      <c r="L203" s="5"/>
      <c r="M203" s="5"/>
      <c r="N203" s="5"/>
      <c r="O203" s="5"/>
      <c r="P203" s="5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5"/>
      <c r="B204" s="5"/>
      <c r="C204" s="5"/>
      <c r="D204" s="21"/>
      <c r="E204" s="186"/>
      <c r="F204" s="195"/>
      <c r="G204" s="195"/>
      <c r="H204" s="5"/>
      <c r="I204" s="5"/>
      <c r="J204" s="5"/>
      <c r="K204" s="5"/>
      <c r="L204" s="5"/>
      <c r="M204" s="5"/>
      <c r="N204" s="5"/>
      <c r="O204" s="5"/>
      <c r="P204" s="5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5"/>
      <c r="B205" s="5"/>
      <c r="C205" s="5"/>
      <c r="D205" s="21"/>
      <c r="E205" s="186"/>
      <c r="F205" s="195"/>
      <c r="G205" s="195"/>
      <c r="H205" s="5"/>
      <c r="I205" s="5"/>
      <c r="J205" s="5"/>
      <c r="K205" s="5"/>
      <c r="L205" s="5"/>
      <c r="M205" s="5"/>
      <c r="N205" s="5"/>
      <c r="O205" s="5"/>
      <c r="P205" s="5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5"/>
      <c r="B206" s="5"/>
      <c r="C206" s="5"/>
      <c r="D206" s="21"/>
      <c r="E206" s="186"/>
      <c r="F206" s="195"/>
      <c r="G206" s="195"/>
      <c r="H206" s="5"/>
      <c r="I206" s="5"/>
      <c r="J206" s="5"/>
      <c r="K206" s="5"/>
      <c r="L206" s="5"/>
      <c r="M206" s="5"/>
      <c r="N206" s="5"/>
      <c r="O206" s="5"/>
      <c r="P206" s="5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5"/>
      <c r="B207" s="5"/>
      <c r="C207" s="5"/>
      <c r="D207" s="21"/>
      <c r="E207" s="186"/>
      <c r="F207" s="195"/>
      <c r="G207" s="195"/>
      <c r="H207" s="5"/>
      <c r="I207" s="5"/>
      <c r="J207" s="5"/>
      <c r="K207" s="5"/>
      <c r="L207" s="5"/>
      <c r="M207" s="5"/>
      <c r="N207" s="5"/>
      <c r="O207" s="5"/>
      <c r="P207" s="5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5"/>
      <c r="B208" s="5"/>
      <c r="C208" s="5"/>
      <c r="D208" s="21"/>
      <c r="E208" s="186"/>
      <c r="F208" s="195"/>
      <c r="G208" s="195"/>
      <c r="H208" s="5"/>
      <c r="I208" s="5"/>
      <c r="J208" s="5"/>
      <c r="K208" s="5"/>
      <c r="L208" s="5"/>
      <c r="M208" s="5"/>
      <c r="N208" s="5"/>
      <c r="O208" s="5"/>
      <c r="P208" s="5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5"/>
      <c r="B209" s="5"/>
      <c r="C209" s="5"/>
      <c r="D209" s="21"/>
      <c r="E209" s="186"/>
      <c r="F209" s="195"/>
      <c r="G209" s="195"/>
      <c r="H209" s="5"/>
      <c r="I209" s="5"/>
      <c r="J209" s="5"/>
      <c r="K209" s="5"/>
      <c r="L209" s="5"/>
      <c r="M209" s="5"/>
      <c r="N209" s="5"/>
      <c r="O209" s="5"/>
      <c r="P209" s="5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5"/>
      <c r="B210" s="5"/>
      <c r="C210" s="5"/>
      <c r="D210" s="21"/>
      <c r="E210" s="186"/>
      <c r="F210" s="195"/>
      <c r="G210" s="195"/>
      <c r="H210" s="5"/>
      <c r="I210" s="5"/>
      <c r="J210" s="5"/>
      <c r="K210" s="5"/>
      <c r="L210" s="5"/>
      <c r="M210" s="5"/>
      <c r="N210" s="5"/>
      <c r="O210" s="5"/>
      <c r="P210" s="5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5"/>
      <c r="B211" s="5"/>
      <c r="C211" s="5"/>
      <c r="D211" s="21"/>
      <c r="E211" s="186"/>
      <c r="F211" s="195"/>
      <c r="G211" s="195"/>
      <c r="H211" s="5"/>
      <c r="I211" s="5"/>
      <c r="J211" s="5"/>
      <c r="K211" s="5"/>
      <c r="L211" s="5"/>
      <c r="M211" s="5"/>
      <c r="N211" s="5"/>
      <c r="O211" s="5"/>
      <c r="P211" s="5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5"/>
      <c r="B212" s="5"/>
      <c r="C212" s="5"/>
      <c r="D212" s="21"/>
      <c r="E212" s="186"/>
      <c r="F212" s="195"/>
      <c r="G212" s="195"/>
      <c r="H212" s="5"/>
      <c r="I212" s="5"/>
      <c r="J212" s="5"/>
      <c r="K212" s="5"/>
      <c r="L212" s="5"/>
      <c r="M212" s="5"/>
      <c r="N212" s="5"/>
      <c r="O212" s="5"/>
      <c r="P212" s="5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5"/>
      <c r="B213" s="5"/>
      <c r="C213" s="5"/>
      <c r="D213" s="21"/>
      <c r="E213" s="186"/>
      <c r="F213" s="195"/>
      <c r="G213" s="195"/>
      <c r="H213" s="5"/>
      <c r="I213" s="5"/>
      <c r="J213" s="5"/>
      <c r="K213" s="5"/>
      <c r="L213" s="5"/>
      <c r="M213" s="5"/>
      <c r="N213" s="5"/>
      <c r="O213" s="5"/>
      <c r="P213" s="5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5"/>
      <c r="B214" s="5"/>
      <c r="C214" s="5"/>
      <c r="D214" s="21"/>
      <c r="E214" s="186"/>
      <c r="F214" s="195"/>
      <c r="G214" s="195"/>
      <c r="H214" s="5"/>
      <c r="I214" s="5"/>
      <c r="J214" s="5"/>
      <c r="K214" s="5"/>
      <c r="L214" s="5"/>
      <c r="M214" s="5"/>
      <c r="N214" s="5"/>
      <c r="O214" s="5"/>
      <c r="P214" s="5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5"/>
      <c r="B215" s="5"/>
      <c r="C215" s="5"/>
      <c r="D215" s="21"/>
      <c r="E215" s="186"/>
      <c r="F215" s="195"/>
      <c r="G215" s="195"/>
      <c r="H215" s="5"/>
      <c r="I215" s="5"/>
      <c r="J215" s="5"/>
      <c r="K215" s="5"/>
      <c r="L215" s="5"/>
      <c r="M215" s="5"/>
      <c r="N215" s="5"/>
      <c r="O215" s="5"/>
      <c r="P215" s="5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5"/>
      <c r="B216" s="5"/>
      <c r="C216" s="5"/>
      <c r="D216" s="21"/>
      <c r="E216" s="186"/>
      <c r="F216" s="195"/>
      <c r="G216" s="195"/>
      <c r="H216" s="5"/>
      <c r="I216" s="5"/>
      <c r="J216" s="5"/>
      <c r="K216" s="5"/>
      <c r="L216" s="5"/>
      <c r="M216" s="5"/>
      <c r="N216" s="5"/>
      <c r="O216" s="5"/>
      <c r="P216" s="5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5"/>
      <c r="B217" s="5"/>
      <c r="C217" s="5"/>
      <c r="D217" s="21"/>
      <c r="E217" s="186"/>
      <c r="F217" s="195"/>
      <c r="G217" s="195"/>
      <c r="H217" s="5"/>
      <c r="I217" s="5"/>
      <c r="J217" s="5"/>
      <c r="K217" s="5"/>
      <c r="L217" s="5"/>
      <c r="M217" s="5"/>
      <c r="N217" s="5"/>
      <c r="O217" s="5"/>
      <c r="P217" s="5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5"/>
      <c r="B218" s="5"/>
      <c r="C218" s="5"/>
      <c r="D218" s="21"/>
      <c r="E218" s="186"/>
      <c r="F218" s="195"/>
      <c r="G218" s="195"/>
      <c r="H218" s="5"/>
      <c r="I218" s="5"/>
      <c r="J218" s="5"/>
      <c r="K218" s="5"/>
      <c r="L218" s="5"/>
      <c r="M218" s="5"/>
      <c r="N218" s="5"/>
      <c r="O218" s="5"/>
      <c r="P218" s="5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5"/>
      <c r="B219" s="5"/>
      <c r="C219" s="5"/>
      <c r="D219" s="21"/>
      <c r="E219" s="186"/>
      <c r="F219" s="195"/>
      <c r="G219" s="195"/>
      <c r="H219" s="5"/>
      <c r="I219" s="5"/>
      <c r="J219" s="5"/>
      <c r="K219" s="5"/>
      <c r="L219" s="5"/>
      <c r="M219" s="5"/>
      <c r="N219" s="5"/>
      <c r="O219" s="5"/>
      <c r="P219" s="5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5"/>
      <c r="B220" s="5"/>
      <c r="C220" s="5"/>
      <c r="D220" s="21"/>
      <c r="E220" s="186"/>
      <c r="F220" s="195"/>
      <c r="G220" s="195"/>
      <c r="H220" s="5"/>
      <c r="I220" s="5"/>
      <c r="J220" s="5"/>
      <c r="K220" s="5"/>
      <c r="L220" s="5"/>
      <c r="M220" s="5"/>
      <c r="N220" s="5"/>
      <c r="O220" s="5"/>
      <c r="P220" s="5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5"/>
      <c r="B221" s="5"/>
      <c r="C221" s="5"/>
      <c r="D221" s="21"/>
      <c r="E221" s="186"/>
      <c r="F221" s="195"/>
      <c r="G221" s="195"/>
      <c r="H221" s="5"/>
      <c r="I221" s="5"/>
      <c r="J221" s="5"/>
      <c r="K221" s="5"/>
      <c r="L221" s="5"/>
      <c r="M221" s="5"/>
      <c r="N221" s="5"/>
      <c r="O221" s="5"/>
      <c r="P221" s="5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5"/>
      <c r="B222" s="5"/>
      <c r="C222" s="5"/>
      <c r="D222" s="21"/>
      <c r="E222" s="186"/>
      <c r="F222" s="195"/>
      <c r="G222" s="195"/>
      <c r="H222" s="5"/>
      <c r="I222" s="5"/>
      <c r="J222" s="5"/>
      <c r="K222" s="5"/>
      <c r="L222" s="5"/>
      <c r="M222" s="5"/>
      <c r="N222" s="5"/>
      <c r="O222" s="5"/>
      <c r="P222" s="5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5"/>
      <c r="B223" s="5"/>
      <c r="C223" s="5"/>
      <c r="D223" s="21"/>
      <c r="E223" s="186"/>
      <c r="F223" s="195"/>
      <c r="G223" s="195"/>
      <c r="H223" s="5"/>
      <c r="I223" s="5"/>
      <c r="J223" s="5"/>
      <c r="K223" s="5"/>
      <c r="L223" s="5"/>
      <c r="M223" s="5"/>
      <c r="N223" s="5"/>
      <c r="O223" s="5"/>
      <c r="P223" s="5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5"/>
      <c r="B224" s="5"/>
      <c r="C224" s="5"/>
      <c r="D224" s="21"/>
      <c r="E224" s="186"/>
      <c r="F224" s="195"/>
      <c r="G224" s="195"/>
      <c r="H224" s="5"/>
      <c r="I224" s="5"/>
      <c r="J224" s="5"/>
      <c r="K224" s="5"/>
      <c r="L224" s="5"/>
      <c r="M224" s="5"/>
      <c r="N224" s="5"/>
      <c r="O224" s="5"/>
      <c r="P224" s="5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5"/>
      <c r="B225" s="5"/>
      <c r="C225" s="5"/>
      <c r="D225" s="21"/>
      <c r="E225" s="186"/>
      <c r="F225" s="195"/>
      <c r="G225" s="195"/>
      <c r="H225" s="5"/>
      <c r="I225" s="5"/>
      <c r="J225" s="5"/>
      <c r="K225" s="5"/>
      <c r="L225" s="5"/>
      <c r="M225" s="5"/>
      <c r="N225" s="5"/>
      <c r="O225" s="5"/>
      <c r="P225" s="5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5"/>
      <c r="B226" s="5"/>
      <c r="C226" s="5"/>
      <c r="D226" s="21"/>
      <c r="E226" s="186"/>
      <c r="F226" s="195"/>
      <c r="G226" s="195"/>
      <c r="H226" s="5"/>
      <c r="I226" s="5"/>
      <c r="J226" s="5"/>
      <c r="K226" s="5"/>
      <c r="L226" s="5"/>
      <c r="M226" s="5"/>
      <c r="N226" s="5"/>
      <c r="O226" s="5"/>
      <c r="P226" s="5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5"/>
      <c r="B227" s="5"/>
      <c r="C227" s="5"/>
      <c r="D227" s="21"/>
      <c r="E227" s="186"/>
      <c r="F227" s="195"/>
      <c r="G227" s="195"/>
      <c r="H227" s="5"/>
      <c r="I227" s="5"/>
      <c r="J227" s="5"/>
      <c r="K227" s="5"/>
      <c r="L227" s="5"/>
      <c r="M227" s="5"/>
      <c r="N227" s="5"/>
      <c r="O227" s="5"/>
      <c r="P227" s="5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5"/>
      <c r="B228" s="5"/>
      <c r="C228" s="5"/>
      <c r="D228" s="21"/>
      <c r="E228" s="186"/>
      <c r="F228" s="195"/>
      <c r="G228" s="195"/>
      <c r="H228" s="5"/>
      <c r="I228" s="5"/>
      <c r="J228" s="5"/>
      <c r="K228" s="5"/>
      <c r="L228" s="5"/>
      <c r="M228" s="5"/>
      <c r="N228" s="5"/>
      <c r="O228" s="5"/>
      <c r="P228" s="5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5"/>
      <c r="B229" s="5"/>
      <c r="C229" s="5"/>
      <c r="D229" s="21"/>
      <c r="E229" s="186"/>
      <c r="F229" s="195"/>
      <c r="G229" s="195"/>
      <c r="H229" s="5"/>
      <c r="I229" s="5"/>
      <c r="J229" s="5"/>
      <c r="K229" s="5"/>
      <c r="L229" s="5"/>
      <c r="M229" s="5"/>
      <c r="N229" s="5"/>
      <c r="O229" s="5"/>
      <c r="P229" s="5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5"/>
      <c r="B230" s="5"/>
      <c r="C230" s="5"/>
      <c r="D230" s="21"/>
      <c r="E230" s="186"/>
      <c r="F230" s="195"/>
      <c r="G230" s="195"/>
      <c r="H230" s="5"/>
      <c r="I230" s="5"/>
      <c r="J230" s="5"/>
      <c r="K230" s="5"/>
      <c r="L230" s="5"/>
      <c r="M230" s="5"/>
      <c r="N230" s="5"/>
      <c r="O230" s="5"/>
      <c r="P230" s="5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5"/>
      <c r="B231" s="5"/>
      <c r="C231" s="5"/>
      <c r="D231" s="21"/>
      <c r="E231" s="186"/>
      <c r="F231" s="195"/>
      <c r="G231" s="195"/>
      <c r="H231" s="5"/>
      <c r="I231" s="5"/>
      <c r="J231" s="5"/>
      <c r="K231" s="5"/>
      <c r="L231" s="5"/>
      <c r="M231" s="5"/>
      <c r="N231" s="5"/>
      <c r="O231" s="5"/>
      <c r="P231" s="5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5"/>
      <c r="B232" s="5"/>
      <c r="C232" s="5"/>
      <c r="D232" s="21"/>
      <c r="E232" s="186"/>
      <c r="F232" s="195"/>
      <c r="G232" s="195"/>
      <c r="H232" s="5"/>
      <c r="I232" s="5"/>
      <c r="J232" s="5"/>
      <c r="K232" s="5"/>
      <c r="L232" s="5"/>
      <c r="M232" s="5"/>
      <c r="N232" s="5"/>
      <c r="O232" s="5"/>
      <c r="P232" s="5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5"/>
      <c r="B233" s="5"/>
      <c r="C233" s="5"/>
      <c r="D233" s="21"/>
      <c r="E233" s="186"/>
      <c r="F233" s="195"/>
      <c r="G233" s="195"/>
      <c r="H233" s="5"/>
      <c r="I233" s="5"/>
      <c r="J233" s="5"/>
      <c r="K233" s="5"/>
      <c r="L233" s="5"/>
      <c r="M233" s="5"/>
      <c r="N233" s="5"/>
      <c r="O233" s="5"/>
      <c r="P233" s="5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5"/>
      <c r="B234" s="5"/>
      <c r="C234" s="5"/>
      <c r="D234" s="21"/>
      <c r="E234" s="186"/>
      <c r="F234" s="195"/>
      <c r="G234" s="195"/>
      <c r="H234" s="5"/>
      <c r="I234" s="5"/>
      <c r="J234" s="5"/>
      <c r="K234" s="5"/>
      <c r="L234" s="5"/>
      <c r="M234" s="5"/>
      <c r="N234" s="5"/>
      <c r="O234" s="5"/>
      <c r="P234" s="5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5"/>
      <c r="B235" s="5"/>
      <c r="C235" s="5"/>
      <c r="D235" s="21"/>
      <c r="E235" s="186"/>
      <c r="F235" s="195"/>
      <c r="G235" s="195"/>
      <c r="H235" s="5"/>
      <c r="I235" s="5"/>
      <c r="J235" s="5"/>
      <c r="K235" s="5"/>
      <c r="L235" s="5"/>
      <c r="M235" s="5"/>
      <c r="N235" s="5"/>
      <c r="O235" s="5"/>
      <c r="P235" s="5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5"/>
      <c r="B236" s="5"/>
      <c r="C236" s="5"/>
      <c r="D236" s="21"/>
      <c r="E236" s="186"/>
      <c r="F236" s="195"/>
      <c r="G236" s="195"/>
      <c r="H236" s="5"/>
      <c r="I236" s="5"/>
      <c r="J236" s="5"/>
      <c r="K236" s="5"/>
      <c r="L236" s="5"/>
      <c r="M236" s="5"/>
      <c r="N236" s="5"/>
      <c r="O236" s="5"/>
      <c r="P236" s="5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5"/>
      <c r="B237" s="5"/>
      <c r="C237" s="5"/>
      <c r="D237" s="21"/>
      <c r="E237" s="186"/>
      <c r="F237" s="195"/>
      <c r="G237" s="195"/>
      <c r="H237" s="5"/>
      <c r="I237" s="5"/>
      <c r="J237" s="5"/>
      <c r="K237" s="5"/>
      <c r="L237" s="5"/>
      <c r="M237" s="5"/>
      <c r="N237" s="5"/>
      <c r="O237" s="5"/>
      <c r="P237" s="5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5"/>
      <c r="B238" s="5"/>
      <c r="C238" s="5"/>
      <c r="D238" s="21"/>
      <c r="E238" s="186"/>
      <c r="F238" s="195"/>
      <c r="G238" s="195"/>
      <c r="H238" s="5"/>
      <c r="I238" s="5"/>
      <c r="J238" s="5"/>
      <c r="K238" s="5"/>
      <c r="L238" s="5"/>
      <c r="M238" s="5"/>
      <c r="N238" s="5"/>
      <c r="O238" s="5"/>
      <c r="P238" s="5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5"/>
      <c r="B239" s="5"/>
      <c r="C239" s="5"/>
      <c r="D239" s="21"/>
      <c r="E239" s="186"/>
      <c r="F239" s="195"/>
      <c r="G239" s="195"/>
      <c r="H239" s="5"/>
      <c r="I239" s="5"/>
      <c r="J239" s="5"/>
      <c r="K239" s="5"/>
      <c r="L239" s="5"/>
      <c r="M239" s="5"/>
      <c r="N239" s="5"/>
      <c r="O239" s="5"/>
      <c r="P239" s="5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5"/>
      <c r="B240" s="5"/>
      <c r="C240" s="5"/>
      <c r="D240" s="21"/>
      <c r="E240" s="186"/>
      <c r="F240" s="195"/>
      <c r="G240" s="195"/>
      <c r="H240" s="5"/>
      <c r="I240" s="5"/>
      <c r="J240" s="5"/>
      <c r="K240" s="5"/>
      <c r="L240" s="5"/>
      <c r="M240" s="5"/>
      <c r="N240" s="5"/>
      <c r="O240" s="5"/>
      <c r="P240" s="5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5"/>
      <c r="B241" s="5"/>
      <c r="C241" s="5"/>
      <c r="D241" s="21"/>
      <c r="E241" s="186"/>
      <c r="F241" s="195"/>
      <c r="G241" s="195"/>
      <c r="H241" s="5"/>
      <c r="I241" s="5"/>
      <c r="J241" s="5"/>
      <c r="K241" s="5"/>
      <c r="L241" s="5"/>
      <c r="M241" s="5"/>
      <c r="N241" s="5"/>
      <c r="O241" s="5"/>
      <c r="P241" s="5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5"/>
      <c r="B242" s="5"/>
      <c r="C242" s="5"/>
      <c r="D242" s="21"/>
      <c r="E242" s="186"/>
      <c r="F242" s="195"/>
      <c r="G242" s="195"/>
      <c r="H242" s="5"/>
      <c r="I242" s="5"/>
      <c r="J242" s="5"/>
      <c r="K242" s="5"/>
      <c r="L242" s="5"/>
      <c r="M242" s="5"/>
      <c r="N242" s="5"/>
      <c r="O242" s="5"/>
      <c r="P242" s="5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5"/>
      <c r="B243" s="5"/>
      <c r="C243" s="5"/>
      <c r="D243" s="21"/>
      <c r="E243" s="186"/>
      <c r="F243" s="195"/>
      <c r="G243" s="195"/>
      <c r="H243" s="5"/>
      <c r="I243" s="5"/>
      <c r="J243" s="5"/>
      <c r="K243" s="5"/>
      <c r="L243" s="5"/>
      <c r="M243" s="5"/>
      <c r="N243" s="5"/>
      <c r="O243" s="5"/>
      <c r="P243" s="5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5"/>
      <c r="B244" s="5"/>
      <c r="C244" s="5"/>
      <c r="D244" s="21"/>
      <c r="E244" s="186"/>
      <c r="F244" s="195"/>
      <c r="G244" s="195"/>
      <c r="H244" s="5"/>
      <c r="I244" s="5"/>
      <c r="J244" s="5"/>
      <c r="K244" s="5"/>
      <c r="L244" s="5"/>
      <c r="M244" s="5"/>
      <c r="N244" s="5"/>
      <c r="O244" s="5"/>
      <c r="P244" s="5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5"/>
      <c r="B245" s="5"/>
      <c r="C245" s="5"/>
      <c r="D245" s="21"/>
      <c r="E245" s="186"/>
      <c r="F245" s="195"/>
      <c r="G245" s="195"/>
      <c r="H245" s="5"/>
      <c r="I245" s="5"/>
      <c r="J245" s="5"/>
      <c r="K245" s="5"/>
      <c r="L245" s="5"/>
      <c r="M245" s="5"/>
      <c r="N245" s="5"/>
      <c r="O245" s="5"/>
      <c r="P245" s="5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5"/>
      <c r="B246" s="5"/>
      <c r="C246" s="5"/>
      <c r="D246" s="21"/>
      <c r="E246" s="186"/>
      <c r="F246" s="195"/>
      <c r="G246" s="195"/>
      <c r="H246" s="5"/>
      <c r="I246" s="5"/>
      <c r="J246" s="5"/>
      <c r="K246" s="5"/>
      <c r="L246" s="5"/>
      <c r="M246" s="5"/>
      <c r="N246" s="5"/>
      <c r="O246" s="5"/>
      <c r="P246" s="5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5"/>
      <c r="B247" s="5"/>
      <c r="C247" s="5"/>
      <c r="D247" s="21"/>
      <c r="E247" s="186"/>
      <c r="F247" s="195"/>
      <c r="G247" s="195"/>
      <c r="H247" s="5"/>
      <c r="I247" s="5"/>
      <c r="J247" s="5"/>
      <c r="K247" s="5"/>
      <c r="L247" s="5"/>
      <c r="M247" s="5"/>
      <c r="N247" s="5"/>
      <c r="O247" s="5"/>
      <c r="P247" s="5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5"/>
      <c r="B248" s="5"/>
      <c r="C248" s="5"/>
      <c r="D248" s="21"/>
      <c r="E248" s="186"/>
      <c r="F248" s="195"/>
      <c r="G248" s="195"/>
      <c r="H248" s="5"/>
      <c r="I248" s="5"/>
      <c r="J248" s="5"/>
      <c r="K248" s="5"/>
      <c r="L248" s="5"/>
      <c r="M248" s="5"/>
      <c r="N248" s="5"/>
      <c r="O248" s="5"/>
      <c r="P248" s="5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5"/>
      <c r="B249" s="5"/>
      <c r="C249" s="5"/>
      <c r="D249" s="21"/>
      <c r="E249" s="186"/>
      <c r="F249" s="195"/>
      <c r="G249" s="195"/>
      <c r="H249" s="5"/>
      <c r="I249" s="5"/>
      <c r="J249" s="5"/>
      <c r="K249" s="5"/>
      <c r="L249" s="5"/>
      <c r="M249" s="5"/>
      <c r="N249" s="5"/>
      <c r="O249" s="5"/>
      <c r="P249" s="5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5"/>
      <c r="B250" s="5"/>
      <c r="C250" s="5"/>
      <c r="D250" s="21"/>
      <c r="E250" s="186"/>
      <c r="F250" s="195"/>
      <c r="G250" s="195"/>
      <c r="H250" s="5"/>
      <c r="I250" s="5"/>
      <c r="J250" s="5"/>
      <c r="K250" s="5"/>
      <c r="L250" s="5"/>
      <c r="M250" s="5"/>
      <c r="N250" s="5"/>
      <c r="O250" s="5"/>
      <c r="P250" s="5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5"/>
      <c r="B251" s="5"/>
      <c r="C251" s="5"/>
      <c r="D251" s="21"/>
      <c r="E251" s="186"/>
      <c r="F251" s="195"/>
      <c r="G251" s="195"/>
      <c r="H251" s="5"/>
      <c r="I251" s="5"/>
      <c r="J251" s="5"/>
      <c r="K251" s="5"/>
      <c r="L251" s="5"/>
      <c r="M251" s="5"/>
      <c r="N251" s="5"/>
      <c r="O251" s="5"/>
      <c r="P251" s="5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5"/>
      <c r="B252" s="5"/>
      <c r="C252" s="5"/>
      <c r="D252" s="21"/>
      <c r="E252" s="186"/>
      <c r="F252" s="195"/>
      <c r="G252" s="195"/>
      <c r="H252" s="5"/>
      <c r="I252" s="5"/>
      <c r="J252" s="5"/>
      <c r="K252" s="5"/>
      <c r="L252" s="5"/>
      <c r="M252" s="5"/>
      <c r="N252" s="5"/>
      <c r="O252" s="5"/>
      <c r="P252" s="5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5"/>
      <c r="B253" s="5"/>
      <c r="C253" s="5"/>
      <c r="D253" s="21"/>
      <c r="E253" s="186"/>
      <c r="F253" s="195"/>
      <c r="G253" s="195"/>
      <c r="H253" s="5"/>
      <c r="I253" s="5"/>
      <c r="J253" s="5"/>
      <c r="K253" s="5"/>
      <c r="L253" s="5"/>
      <c r="M253" s="5"/>
      <c r="N253" s="5"/>
      <c r="O253" s="5"/>
      <c r="P253" s="5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5"/>
      <c r="B254" s="5"/>
      <c r="C254" s="5"/>
      <c r="D254" s="21"/>
      <c r="E254" s="186"/>
      <c r="F254" s="195"/>
      <c r="G254" s="195"/>
      <c r="H254" s="5"/>
      <c r="I254" s="5"/>
      <c r="J254" s="5"/>
      <c r="K254" s="5"/>
      <c r="L254" s="5"/>
      <c r="M254" s="5"/>
      <c r="N254" s="5"/>
      <c r="O254" s="5"/>
      <c r="P254" s="5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5"/>
      <c r="B255" s="5"/>
      <c r="C255" s="5"/>
      <c r="D255" s="21"/>
      <c r="E255" s="186"/>
      <c r="F255" s="195"/>
      <c r="G255" s="195"/>
      <c r="H255" s="5"/>
      <c r="I255" s="5"/>
      <c r="J255" s="5"/>
      <c r="K255" s="5"/>
      <c r="L255" s="5"/>
      <c r="M255" s="5"/>
      <c r="N255" s="5"/>
      <c r="O255" s="5"/>
      <c r="P255" s="5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5"/>
      <c r="B256" s="5"/>
      <c r="C256" s="5"/>
      <c r="D256" s="21"/>
      <c r="E256" s="186"/>
      <c r="F256" s="195"/>
      <c r="G256" s="195"/>
      <c r="H256" s="5"/>
      <c r="I256" s="5"/>
      <c r="J256" s="5"/>
      <c r="K256" s="5"/>
      <c r="L256" s="5"/>
      <c r="M256" s="5"/>
      <c r="N256" s="5"/>
      <c r="O256" s="5"/>
      <c r="P256" s="5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5"/>
      <c r="B257" s="5"/>
      <c r="C257" s="5"/>
      <c r="D257" s="21"/>
      <c r="E257" s="186"/>
      <c r="F257" s="195"/>
      <c r="G257" s="195"/>
      <c r="H257" s="5"/>
      <c r="I257" s="5"/>
      <c r="J257" s="5"/>
      <c r="K257" s="5"/>
      <c r="L257" s="5"/>
      <c r="M257" s="5"/>
      <c r="N257" s="5"/>
      <c r="O257" s="5"/>
      <c r="P257" s="5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5"/>
      <c r="B258" s="5"/>
      <c r="C258" s="5"/>
      <c r="D258" s="21"/>
      <c r="E258" s="186"/>
      <c r="F258" s="195"/>
      <c r="G258" s="195"/>
      <c r="H258" s="5"/>
      <c r="I258" s="5"/>
      <c r="J258" s="5"/>
      <c r="K258" s="5"/>
      <c r="L258" s="5"/>
      <c r="M258" s="5"/>
      <c r="N258" s="5"/>
      <c r="O258" s="5"/>
      <c r="P258" s="5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5"/>
      <c r="B259" s="5"/>
      <c r="C259" s="5"/>
      <c r="D259" s="21"/>
      <c r="E259" s="186"/>
      <c r="F259" s="195"/>
      <c r="G259" s="195"/>
      <c r="H259" s="5"/>
      <c r="I259" s="5"/>
      <c r="J259" s="5"/>
      <c r="K259" s="5"/>
      <c r="L259" s="5"/>
      <c r="M259" s="5"/>
      <c r="N259" s="5"/>
      <c r="O259" s="5"/>
      <c r="P259" s="5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5"/>
      <c r="B260" s="5"/>
      <c r="C260" s="5"/>
      <c r="D260" s="21"/>
      <c r="E260" s="186"/>
      <c r="F260" s="195"/>
      <c r="G260" s="195"/>
      <c r="H260" s="5"/>
      <c r="I260" s="5"/>
      <c r="J260" s="5"/>
      <c r="K260" s="5"/>
      <c r="L260" s="5"/>
      <c r="M260" s="5"/>
      <c r="N260" s="5"/>
      <c r="O260" s="5"/>
      <c r="P260" s="5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5"/>
      <c r="B261" s="5"/>
      <c r="C261" s="5"/>
      <c r="D261" s="21"/>
      <c r="E261" s="186"/>
      <c r="F261" s="195"/>
      <c r="G261" s="195"/>
      <c r="H261" s="5"/>
      <c r="I261" s="5"/>
      <c r="J261" s="5"/>
      <c r="K261" s="5"/>
      <c r="L261" s="5"/>
      <c r="M261" s="5"/>
      <c r="N261" s="5"/>
      <c r="O261" s="5"/>
      <c r="P261" s="5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5"/>
      <c r="B262" s="5"/>
      <c r="C262" s="5"/>
      <c r="D262" s="21"/>
      <c r="E262" s="186"/>
      <c r="F262" s="195"/>
      <c r="G262" s="195"/>
      <c r="H262" s="5"/>
      <c r="I262" s="5"/>
      <c r="J262" s="5"/>
      <c r="K262" s="5"/>
      <c r="L262" s="5"/>
      <c r="M262" s="5"/>
      <c r="N262" s="5"/>
      <c r="O262" s="5"/>
      <c r="P262" s="5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5"/>
      <c r="B263" s="5"/>
      <c r="C263" s="5"/>
      <c r="D263" s="21"/>
      <c r="E263" s="186"/>
      <c r="F263" s="195"/>
      <c r="G263" s="195"/>
      <c r="H263" s="5"/>
      <c r="I263" s="5"/>
      <c r="J263" s="5"/>
      <c r="K263" s="5"/>
      <c r="L263" s="5"/>
      <c r="M263" s="5"/>
      <c r="N263" s="5"/>
      <c r="O263" s="5"/>
      <c r="P263" s="5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5"/>
      <c r="B264" s="5"/>
      <c r="C264" s="5"/>
      <c r="D264" s="21"/>
      <c r="E264" s="186"/>
      <c r="F264" s="195"/>
      <c r="G264" s="195"/>
      <c r="H264" s="5"/>
      <c r="I264" s="5"/>
      <c r="J264" s="5"/>
      <c r="K264" s="5"/>
      <c r="L264" s="5"/>
      <c r="M264" s="5"/>
      <c r="N264" s="5"/>
      <c r="O264" s="5"/>
      <c r="P264" s="5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5"/>
      <c r="B265" s="5"/>
      <c r="C265" s="5"/>
      <c r="D265" s="21"/>
      <c r="E265" s="186"/>
      <c r="F265" s="195"/>
      <c r="G265" s="195"/>
      <c r="H265" s="5"/>
      <c r="I265" s="5"/>
      <c r="J265" s="5"/>
      <c r="K265" s="5"/>
      <c r="L265" s="5"/>
      <c r="M265" s="5"/>
      <c r="N265" s="5"/>
      <c r="O265" s="5"/>
      <c r="P265" s="5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5"/>
      <c r="B266" s="5"/>
      <c r="C266" s="5"/>
      <c r="D266" s="21"/>
      <c r="E266" s="186"/>
      <c r="F266" s="195"/>
      <c r="G266" s="195"/>
      <c r="H266" s="5"/>
      <c r="I266" s="5"/>
      <c r="J266" s="5"/>
      <c r="K266" s="5"/>
      <c r="L266" s="5"/>
      <c r="M266" s="5"/>
      <c r="N266" s="5"/>
      <c r="O266" s="5"/>
      <c r="P266" s="5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5"/>
      <c r="B267" s="5"/>
      <c r="C267" s="5"/>
      <c r="D267" s="21"/>
      <c r="E267" s="186"/>
      <c r="F267" s="195"/>
      <c r="G267" s="195"/>
      <c r="H267" s="5"/>
      <c r="I267" s="5"/>
      <c r="J267" s="5"/>
      <c r="K267" s="5"/>
      <c r="L267" s="5"/>
      <c r="M267" s="5"/>
      <c r="N267" s="5"/>
      <c r="O267" s="5"/>
      <c r="P267" s="5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5"/>
      <c r="B268" s="5"/>
      <c r="C268" s="5"/>
      <c r="D268" s="21"/>
      <c r="E268" s="186"/>
      <c r="F268" s="195"/>
      <c r="G268" s="195"/>
      <c r="H268" s="5"/>
      <c r="I268" s="5"/>
      <c r="J268" s="5"/>
      <c r="K268" s="5"/>
      <c r="L268" s="5"/>
      <c r="M268" s="5"/>
      <c r="N268" s="5"/>
      <c r="O268" s="5"/>
      <c r="P268" s="5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5"/>
      <c r="B269" s="5"/>
      <c r="C269" s="5"/>
      <c r="D269" s="21"/>
      <c r="E269" s="186"/>
      <c r="F269" s="195"/>
      <c r="G269" s="195"/>
      <c r="H269" s="5"/>
      <c r="I269" s="5"/>
      <c r="J269" s="5"/>
      <c r="K269" s="5"/>
      <c r="L269" s="5"/>
      <c r="M269" s="5"/>
      <c r="N269" s="5"/>
      <c r="O269" s="5"/>
      <c r="P269" s="5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5"/>
      <c r="B270" s="5"/>
      <c r="C270" s="5"/>
      <c r="D270" s="21"/>
      <c r="E270" s="186"/>
      <c r="F270" s="195"/>
      <c r="G270" s="195"/>
      <c r="H270" s="5"/>
      <c r="I270" s="5"/>
      <c r="J270" s="5"/>
      <c r="K270" s="5"/>
      <c r="L270" s="5"/>
      <c r="M270" s="5"/>
      <c r="N270" s="5"/>
      <c r="O270" s="5"/>
      <c r="P270" s="5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5"/>
      <c r="B271" s="5"/>
      <c r="C271" s="5"/>
      <c r="D271" s="21"/>
      <c r="E271" s="186"/>
      <c r="F271" s="195"/>
      <c r="G271" s="195"/>
      <c r="H271" s="5"/>
      <c r="I271" s="5"/>
      <c r="J271" s="5"/>
      <c r="K271" s="5"/>
      <c r="L271" s="5"/>
      <c r="M271" s="5"/>
      <c r="N271" s="5"/>
      <c r="O271" s="5"/>
      <c r="P271" s="5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5"/>
      <c r="B272" s="5"/>
      <c r="C272" s="5"/>
      <c r="D272" s="21"/>
      <c r="E272" s="186"/>
      <c r="F272" s="195"/>
      <c r="G272" s="195"/>
      <c r="H272" s="5"/>
      <c r="I272" s="5"/>
      <c r="J272" s="5"/>
      <c r="K272" s="5"/>
      <c r="L272" s="5"/>
      <c r="M272" s="5"/>
      <c r="N272" s="5"/>
      <c r="O272" s="5"/>
      <c r="P272" s="5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5"/>
      <c r="B273" s="5"/>
      <c r="C273" s="5"/>
      <c r="D273" s="21"/>
      <c r="E273" s="186"/>
      <c r="F273" s="195"/>
      <c r="G273" s="195"/>
      <c r="H273" s="5"/>
      <c r="I273" s="5"/>
      <c r="J273" s="5"/>
      <c r="K273" s="5"/>
      <c r="L273" s="5"/>
      <c r="M273" s="5"/>
      <c r="N273" s="5"/>
      <c r="O273" s="5"/>
      <c r="P273" s="5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5"/>
      <c r="B274" s="5"/>
      <c r="C274" s="5"/>
      <c r="D274" s="21"/>
      <c r="E274" s="186"/>
      <c r="F274" s="195"/>
      <c r="G274" s="195"/>
      <c r="H274" s="5"/>
      <c r="I274" s="5"/>
      <c r="J274" s="5"/>
      <c r="K274" s="5"/>
      <c r="L274" s="5"/>
      <c r="M274" s="5"/>
      <c r="N274" s="5"/>
      <c r="O274" s="5"/>
      <c r="P274" s="5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5"/>
      <c r="B275" s="5"/>
      <c r="C275" s="5"/>
      <c r="D275" s="21"/>
      <c r="E275" s="186"/>
      <c r="F275" s="195"/>
      <c r="G275" s="195"/>
      <c r="H275" s="5"/>
      <c r="I275" s="5"/>
      <c r="J275" s="5"/>
      <c r="K275" s="5"/>
      <c r="L275" s="5"/>
      <c r="M275" s="5"/>
      <c r="N275" s="5"/>
      <c r="O275" s="5"/>
      <c r="P275" s="5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5"/>
      <c r="B276" s="5"/>
      <c r="C276" s="5"/>
      <c r="D276" s="21"/>
      <c r="E276" s="186"/>
      <c r="F276" s="195"/>
      <c r="G276" s="195"/>
      <c r="H276" s="5"/>
      <c r="I276" s="5"/>
      <c r="J276" s="5"/>
      <c r="K276" s="5"/>
      <c r="L276" s="5"/>
      <c r="M276" s="5"/>
      <c r="N276" s="5"/>
      <c r="O276" s="5"/>
      <c r="P276" s="5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5"/>
      <c r="B277" s="5"/>
      <c r="C277" s="5"/>
      <c r="D277" s="21"/>
      <c r="E277" s="186"/>
      <c r="F277" s="195"/>
      <c r="G277" s="195"/>
      <c r="H277" s="5"/>
      <c r="I277" s="5"/>
      <c r="J277" s="5"/>
      <c r="K277" s="5"/>
      <c r="L277" s="5"/>
      <c r="M277" s="5"/>
      <c r="N277" s="5"/>
      <c r="O277" s="5"/>
      <c r="P277" s="5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5"/>
      <c r="B278" s="5"/>
      <c r="C278" s="5"/>
      <c r="D278" s="21"/>
      <c r="E278" s="186"/>
      <c r="F278" s="195"/>
      <c r="G278" s="195"/>
      <c r="H278" s="5"/>
      <c r="I278" s="5"/>
      <c r="J278" s="5"/>
      <c r="K278" s="5"/>
      <c r="L278" s="5"/>
      <c r="M278" s="5"/>
      <c r="N278" s="5"/>
      <c r="O278" s="5"/>
      <c r="P278" s="5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5"/>
      <c r="B279" s="5"/>
      <c r="C279" s="5"/>
      <c r="D279" s="21"/>
      <c r="E279" s="186"/>
      <c r="F279" s="195"/>
      <c r="G279" s="195"/>
      <c r="H279" s="5"/>
      <c r="I279" s="5"/>
      <c r="J279" s="5"/>
      <c r="K279" s="5"/>
      <c r="L279" s="5"/>
      <c r="M279" s="5"/>
      <c r="N279" s="5"/>
      <c r="O279" s="5"/>
      <c r="P279" s="5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5"/>
      <c r="B280" s="5"/>
      <c r="C280" s="5"/>
      <c r="D280" s="21"/>
      <c r="E280" s="186"/>
      <c r="F280" s="195"/>
      <c r="G280" s="195"/>
      <c r="H280" s="5"/>
      <c r="I280" s="5"/>
      <c r="J280" s="5"/>
      <c r="K280" s="5"/>
      <c r="L280" s="5"/>
      <c r="M280" s="5"/>
      <c r="N280" s="5"/>
      <c r="O280" s="5"/>
      <c r="P280" s="5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5"/>
      <c r="B281" s="5"/>
      <c r="C281" s="5"/>
      <c r="D281" s="21"/>
      <c r="E281" s="186"/>
      <c r="F281" s="195"/>
      <c r="G281" s="195"/>
      <c r="H281" s="5"/>
      <c r="I281" s="5"/>
      <c r="J281" s="5"/>
      <c r="K281" s="5"/>
      <c r="L281" s="5"/>
      <c r="M281" s="5"/>
      <c r="N281" s="5"/>
      <c r="O281" s="5"/>
      <c r="P281" s="5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5"/>
      <c r="B282" s="5"/>
      <c r="C282" s="5"/>
      <c r="D282" s="21"/>
      <c r="E282" s="186"/>
      <c r="F282" s="195"/>
      <c r="G282" s="195"/>
      <c r="H282" s="5"/>
      <c r="I282" s="5"/>
      <c r="J282" s="5"/>
      <c r="K282" s="5"/>
      <c r="L282" s="5"/>
      <c r="M282" s="5"/>
      <c r="N282" s="5"/>
      <c r="O282" s="5"/>
      <c r="P282" s="5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5"/>
      <c r="B283" s="5"/>
      <c r="C283" s="5"/>
      <c r="D283" s="21"/>
      <c r="E283" s="186"/>
      <c r="F283" s="195"/>
      <c r="G283" s="195"/>
      <c r="H283" s="5"/>
      <c r="I283" s="5"/>
      <c r="J283" s="5"/>
      <c r="K283" s="5"/>
      <c r="L283" s="5"/>
      <c r="M283" s="5"/>
      <c r="N283" s="5"/>
      <c r="O283" s="5"/>
      <c r="P283" s="5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5"/>
      <c r="B284" s="5"/>
      <c r="C284" s="5"/>
      <c r="D284" s="21"/>
      <c r="E284" s="186"/>
      <c r="F284" s="195"/>
      <c r="G284" s="195"/>
      <c r="H284" s="5"/>
      <c r="I284" s="5"/>
      <c r="J284" s="5"/>
      <c r="K284" s="5"/>
      <c r="L284" s="5"/>
      <c r="M284" s="5"/>
      <c r="N284" s="5"/>
      <c r="O284" s="5"/>
      <c r="P284" s="5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5"/>
      <c r="B285" s="5"/>
      <c r="C285" s="5"/>
      <c r="D285" s="21"/>
      <c r="E285" s="186"/>
      <c r="F285" s="195"/>
      <c r="G285" s="195"/>
      <c r="H285" s="5"/>
      <c r="I285" s="5"/>
      <c r="J285" s="5"/>
      <c r="K285" s="5"/>
      <c r="L285" s="5"/>
      <c r="M285" s="5"/>
      <c r="N285" s="5"/>
      <c r="O285" s="5"/>
      <c r="P285" s="5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5"/>
      <c r="B286" s="5"/>
      <c r="C286" s="5"/>
      <c r="D286" s="21"/>
      <c r="E286" s="186"/>
      <c r="F286" s="195"/>
      <c r="G286" s="195"/>
      <c r="H286" s="5"/>
      <c r="I286" s="5"/>
      <c r="J286" s="5"/>
      <c r="K286" s="5"/>
      <c r="L286" s="5"/>
      <c r="M286" s="5"/>
      <c r="N286" s="5"/>
      <c r="O286" s="5"/>
      <c r="P286" s="5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5"/>
      <c r="B287" s="5"/>
      <c r="C287" s="5"/>
      <c r="D287" s="21"/>
      <c r="E287" s="186"/>
      <c r="F287" s="195"/>
      <c r="G287" s="195"/>
      <c r="H287" s="5"/>
      <c r="I287" s="5"/>
      <c r="J287" s="5"/>
      <c r="K287" s="5"/>
      <c r="L287" s="5"/>
      <c r="M287" s="5"/>
      <c r="N287" s="5"/>
      <c r="O287" s="5"/>
      <c r="P287" s="5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5"/>
      <c r="B288" s="5"/>
      <c r="C288" s="5"/>
      <c r="D288" s="21"/>
      <c r="E288" s="186"/>
      <c r="F288" s="195"/>
      <c r="G288" s="195"/>
      <c r="H288" s="5"/>
      <c r="I288" s="5"/>
      <c r="J288" s="5"/>
      <c r="K288" s="5"/>
      <c r="L288" s="5"/>
      <c r="M288" s="5"/>
      <c r="N288" s="5"/>
      <c r="O288" s="5"/>
      <c r="P288" s="5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5"/>
      <c r="B289" s="5"/>
      <c r="C289" s="5"/>
      <c r="D289" s="21"/>
      <c r="E289" s="186"/>
      <c r="F289" s="195"/>
      <c r="G289" s="195"/>
      <c r="H289" s="5"/>
      <c r="I289" s="5"/>
      <c r="J289" s="5"/>
      <c r="K289" s="5"/>
      <c r="L289" s="5"/>
      <c r="M289" s="5"/>
      <c r="N289" s="5"/>
      <c r="O289" s="5"/>
      <c r="P289" s="5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5"/>
      <c r="B290" s="5"/>
      <c r="C290" s="5"/>
      <c r="D290" s="21"/>
      <c r="E290" s="186"/>
      <c r="F290" s="195"/>
      <c r="G290" s="195"/>
      <c r="H290" s="5"/>
      <c r="I290" s="5"/>
      <c r="J290" s="5"/>
      <c r="K290" s="5"/>
      <c r="L290" s="5"/>
      <c r="M290" s="5"/>
      <c r="N290" s="5"/>
      <c r="O290" s="5"/>
      <c r="P290" s="5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5"/>
      <c r="B291" s="5"/>
      <c r="C291" s="5"/>
      <c r="D291" s="21"/>
      <c r="E291" s="186"/>
      <c r="F291" s="195"/>
      <c r="G291" s="195"/>
      <c r="H291" s="5"/>
      <c r="I291" s="5"/>
      <c r="J291" s="5"/>
      <c r="K291" s="5"/>
      <c r="L291" s="5"/>
      <c r="M291" s="5"/>
      <c r="N291" s="5"/>
      <c r="O291" s="5"/>
      <c r="P291" s="5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5"/>
      <c r="B292" s="5"/>
      <c r="C292" s="5"/>
      <c r="D292" s="21"/>
      <c r="E292" s="186"/>
      <c r="F292" s="195"/>
      <c r="G292" s="195"/>
      <c r="H292" s="5"/>
      <c r="I292" s="5"/>
      <c r="J292" s="5"/>
      <c r="K292" s="5"/>
      <c r="L292" s="5"/>
      <c r="M292" s="5"/>
      <c r="N292" s="5"/>
      <c r="O292" s="5"/>
      <c r="P292" s="5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5"/>
      <c r="B293" s="5"/>
      <c r="C293" s="5"/>
      <c r="D293" s="21"/>
      <c r="E293" s="186"/>
      <c r="F293" s="195"/>
      <c r="G293" s="195"/>
      <c r="H293" s="5"/>
      <c r="I293" s="5"/>
      <c r="J293" s="5"/>
      <c r="K293" s="5"/>
      <c r="L293" s="5"/>
      <c r="M293" s="5"/>
      <c r="N293" s="5"/>
      <c r="O293" s="5"/>
      <c r="P293" s="5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5"/>
      <c r="B294" s="5"/>
      <c r="C294" s="5"/>
      <c r="D294" s="21"/>
      <c r="E294" s="186"/>
      <c r="F294" s="195"/>
      <c r="G294" s="195"/>
      <c r="H294" s="5"/>
      <c r="I294" s="5"/>
      <c r="J294" s="5"/>
      <c r="K294" s="5"/>
      <c r="L294" s="5"/>
      <c r="M294" s="5"/>
      <c r="N294" s="5"/>
      <c r="O294" s="5"/>
      <c r="P294" s="5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5"/>
      <c r="B295" s="5"/>
      <c r="C295" s="5"/>
      <c r="D295" s="21"/>
      <c r="E295" s="186"/>
      <c r="F295" s="195"/>
      <c r="G295" s="195"/>
      <c r="H295" s="5"/>
      <c r="I295" s="5"/>
      <c r="J295" s="5"/>
      <c r="K295" s="5"/>
      <c r="L295" s="5"/>
      <c r="M295" s="5"/>
      <c r="N295" s="5"/>
      <c r="O295" s="5"/>
      <c r="P295" s="5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5"/>
      <c r="B296" s="5"/>
      <c r="C296" s="5"/>
      <c r="D296" s="21"/>
      <c r="E296" s="186"/>
      <c r="F296" s="195"/>
      <c r="G296" s="195"/>
      <c r="H296" s="5"/>
      <c r="I296" s="5"/>
      <c r="J296" s="5"/>
      <c r="K296" s="5"/>
      <c r="L296" s="5"/>
      <c r="M296" s="5"/>
      <c r="N296" s="5"/>
      <c r="O296" s="5"/>
      <c r="P296" s="5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5"/>
      <c r="B297" s="5"/>
      <c r="C297" s="5"/>
      <c r="D297" s="21"/>
      <c r="E297" s="186"/>
      <c r="F297" s="195"/>
      <c r="G297" s="195"/>
      <c r="H297" s="5"/>
      <c r="I297" s="5"/>
      <c r="J297" s="5"/>
      <c r="K297" s="5"/>
      <c r="L297" s="5"/>
      <c r="M297" s="5"/>
      <c r="N297" s="5"/>
      <c r="O297" s="5"/>
      <c r="P297" s="5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5"/>
      <c r="B298" s="5"/>
      <c r="C298" s="5"/>
      <c r="D298" s="21"/>
      <c r="E298" s="186"/>
      <c r="F298" s="195"/>
      <c r="G298" s="195"/>
      <c r="H298" s="5"/>
      <c r="I298" s="5"/>
      <c r="J298" s="5"/>
      <c r="K298" s="5"/>
      <c r="L298" s="5"/>
      <c r="M298" s="5"/>
      <c r="N298" s="5"/>
      <c r="O298" s="5"/>
      <c r="P298" s="5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5"/>
      <c r="B299" s="5"/>
      <c r="C299" s="5"/>
      <c r="D299" s="21"/>
      <c r="E299" s="186"/>
      <c r="F299" s="195"/>
      <c r="G299" s="195"/>
      <c r="H299" s="5"/>
      <c r="I299" s="5"/>
      <c r="J299" s="5"/>
      <c r="K299" s="5"/>
      <c r="L299" s="5"/>
      <c r="M299" s="5"/>
      <c r="N299" s="5"/>
      <c r="O299" s="5"/>
      <c r="P299" s="5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5"/>
      <c r="B300" s="5"/>
      <c r="C300" s="5"/>
      <c r="D300" s="21"/>
      <c r="E300" s="186"/>
      <c r="F300" s="195"/>
      <c r="G300" s="195"/>
      <c r="H300" s="5"/>
      <c r="I300" s="5"/>
      <c r="J300" s="5"/>
      <c r="K300" s="5"/>
      <c r="L300" s="5"/>
      <c r="M300" s="5"/>
      <c r="N300" s="5"/>
      <c r="O300" s="5"/>
      <c r="P300" s="5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5"/>
      <c r="B301" s="5"/>
      <c r="C301" s="5"/>
      <c r="D301" s="21"/>
      <c r="E301" s="186"/>
      <c r="F301" s="195"/>
      <c r="G301" s="195"/>
      <c r="H301" s="5"/>
      <c r="I301" s="5"/>
      <c r="J301" s="5"/>
      <c r="K301" s="5"/>
      <c r="L301" s="5"/>
      <c r="M301" s="5"/>
      <c r="N301" s="5"/>
      <c r="O301" s="5"/>
      <c r="P301" s="5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5"/>
      <c r="B302" s="5"/>
      <c r="C302" s="5"/>
      <c r="D302" s="21"/>
      <c r="E302" s="186"/>
      <c r="F302" s="195"/>
      <c r="G302" s="195"/>
      <c r="H302" s="5"/>
      <c r="I302" s="5"/>
      <c r="J302" s="5"/>
      <c r="K302" s="5"/>
      <c r="L302" s="5"/>
      <c r="M302" s="5"/>
      <c r="N302" s="5"/>
      <c r="O302" s="5"/>
      <c r="P302" s="5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5"/>
      <c r="B303" s="5"/>
      <c r="C303" s="5"/>
      <c r="D303" s="21"/>
      <c r="E303" s="186"/>
      <c r="F303" s="195"/>
      <c r="G303" s="195"/>
      <c r="H303" s="5"/>
      <c r="I303" s="5"/>
      <c r="J303" s="5"/>
      <c r="K303" s="5"/>
      <c r="L303" s="5"/>
      <c r="M303" s="5"/>
      <c r="N303" s="5"/>
      <c r="O303" s="5"/>
      <c r="P303" s="5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5"/>
      <c r="B304" s="5"/>
      <c r="C304" s="5"/>
      <c r="D304" s="21"/>
      <c r="E304" s="186"/>
      <c r="F304" s="195"/>
      <c r="G304" s="195"/>
      <c r="H304" s="5"/>
      <c r="I304" s="5"/>
      <c r="J304" s="5"/>
      <c r="K304" s="5"/>
      <c r="L304" s="5"/>
      <c r="M304" s="5"/>
      <c r="N304" s="5"/>
      <c r="O304" s="5"/>
      <c r="P304" s="5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5"/>
      <c r="B305" s="5"/>
      <c r="C305" s="5"/>
      <c r="D305" s="21"/>
      <c r="E305" s="186"/>
      <c r="F305" s="195"/>
      <c r="G305" s="195"/>
      <c r="H305" s="5"/>
      <c r="I305" s="5"/>
      <c r="J305" s="5"/>
      <c r="K305" s="5"/>
      <c r="L305" s="5"/>
      <c r="M305" s="5"/>
      <c r="N305" s="5"/>
      <c r="O305" s="5"/>
      <c r="P305" s="5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5"/>
      <c r="B306" s="5"/>
      <c r="C306" s="5"/>
      <c r="D306" s="21"/>
      <c r="E306" s="186"/>
      <c r="F306" s="195"/>
      <c r="G306" s="195"/>
      <c r="H306" s="5"/>
      <c r="I306" s="5"/>
      <c r="J306" s="5"/>
      <c r="K306" s="5"/>
      <c r="L306" s="5"/>
      <c r="M306" s="5"/>
      <c r="N306" s="5"/>
      <c r="O306" s="5"/>
      <c r="P306" s="5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5"/>
      <c r="B307" s="5"/>
      <c r="C307" s="5"/>
      <c r="D307" s="21"/>
      <c r="E307" s="186"/>
      <c r="F307" s="195"/>
      <c r="G307" s="195"/>
      <c r="H307" s="5"/>
      <c r="I307" s="5"/>
      <c r="J307" s="5"/>
      <c r="K307" s="5"/>
      <c r="L307" s="5"/>
      <c r="M307" s="5"/>
      <c r="N307" s="5"/>
      <c r="O307" s="5"/>
      <c r="P307" s="5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5"/>
      <c r="B308" s="5"/>
      <c r="C308" s="5"/>
      <c r="D308" s="21"/>
      <c r="E308" s="186"/>
      <c r="F308" s="195"/>
      <c r="G308" s="195"/>
      <c r="H308" s="5"/>
      <c r="I308" s="5"/>
      <c r="J308" s="5"/>
      <c r="K308" s="5"/>
      <c r="L308" s="5"/>
      <c r="M308" s="5"/>
      <c r="N308" s="5"/>
      <c r="O308" s="5"/>
      <c r="P308" s="5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5"/>
      <c r="B309" s="5"/>
      <c r="C309" s="5"/>
      <c r="D309" s="21"/>
      <c r="E309" s="186"/>
      <c r="F309" s="195"/>
      <c r="G309" s="195"/>
      <c r="H309" s="5"/>
      <c r="I309" s="5"/>
      <c r="J309" s="5"/>
      <c r="K309" s="5"/>
      <c r="L309" s="5"/>
      <c r="M309" s="5"/>
      <c r="N309" s="5"/>
      <c r="O309" s="5"/>
      <c r="P309" s="5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5"/>
      <c r="B310" s="5"/>
      <c r="C310" s="5"/>
      <c r="D310" s="21"/>
      <c r="E310" s="186"/>
      <c r="F310" s="195"/>
      <c r="G310" s="195"/>
      <c r="H310" s="5"/>
      <c r="I310" s="5"/>
      <c r="J310" s="5"/>
      <c r="K310" s="5"/>
      <c r="L310" s="5"/>
      <c r="M310" s="5"/>
      <c r="N310" s="5"/>
      <c r="O310" s="5"/>
      <c r="P310" s="5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5"/>
      <c r="B311" s="5"/>
      <c r="C311" s="5"/>
      <c r="D311" s="21"/>
      <c r="E311" s="186"/>
      <c r="F311" s="195"/>
      <c r="G311" s="195"/>
      <c r="H311" s="5"/>
      <c r="I311" s="5"/>
      <c r="J311" s="5"/>
      <c r="K311" s="5"/>
      <c r="L311" s="5"/>
      <c r="M311" s="5"/>
      <c r="N311" s="5"/>
      <c r="O311" s="5"/>
      <c r="P311" s="5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5"/>
      <c r="B312" s="5"/>
      <c r="C312" s="5"/>
      <c r="D312" s="21"/>
      <c r="E312" s="186"/>
      <c r="F312" s="195"/>
      <c r="G312" s="195"/>
      <c r="H312" s="5"/>
      <c r="I312" s="5"/>
      <c r="J312" s="5"/>
      <c r="K312" s="5"/>
      <c r="L312" s="5"/>
      <c r="M312" s="5"/>
      <c r="N312" s="5"/>
      <c r="O312" s="5"/>
      <c r="P312" s="5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5"/>
      <c r="B313" s="5"/>
      <c r="C313" s="5"/>
      <c r="D313" s="21"/>
      <c r="E313" s="186"/>
      <c r="F313" s="195"/>
      <c r="G313" s="195"/>
      <c r="H313" s="5"/>
      <c r="I313" s="5"/>
      <c r="J313" s="5"/>
      <c r="K313" s="5"/>
      <c r="L313" s="5"/>
      <c r="M313" s="5"/>
      <c r="N313" s="5"/>
      <c r="O313" s="5"/>
      <c r="P313" s="5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5"/>
      <c r="B314" s="5"/>
      <c r="C314" s="5"/>
      <c r="D314" s="21"/>
      <c r="E314" s="186"/>
      <c r="F314" s="195"/>
      <c r="G314" s="195"/>
      <c r="H314" s="5"/>
      <c r="I314" s="5"/>
      <c r="J314" s="5"/>
      <c r="K314" s="5"/>
      <c r="L314" s="5"/>
      <c r="M314" s="5"/>
      <c r="N314" s="5"/>
      <c r="O314" s="5"/>
      <c r="P314" s="5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5"/>
      <c r="B315" s="5"/>
      <c r="C315" s="5"/>
      <c r="D315" s="21"/>
      <c r="E315" s="186"/>
      <c r="F315" s="195"/>
      <c r="G315" s="195"/>
      <c r="H315" s="5"/>
      <c r="I315" s="5"/>
      <c r="J315" s="5"/>
      <c r="K315" s="5"/>
      <c r="L315" s="5"/>
      <c r="M315" s="5"/>
      <c r="N315" s="5"/>
      <c r="O315" s="5"/>
      <c r="P315" s="5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5"/>
      <c r="B316" s="5"/>
      <c r="C316" s="5"/>
      <c r="D316" s="21"/>
      <c r="E316" s="186"/>
      <c r="F316" s="195"/>
      <c r="G316" s="195"/>
      <c r="H316" s="5"/>
      <c r="I316" s="5"/>
      <c r="J316" s="5"/>
      <c r="K316" s="5"/>
      <c r="L316" s="5"/>
      <c r="M316" s="5"/>
      <c r="N316" s="5"/>
      <c r="O316" s="5"/>
      <c r="P316" s="5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5"/>
      <c r="B317" s="5"/>
      <c r="C317" s="5"/>
      <c r="D317" s="21"/>
      <c r="E317" s="186"/>
      <c r="F317" s="195"/>
      <c r="G317" s="195"/>
      <c r="H317" s="5"/>
      <c r="I317" s="5"/>
      <c r="J317" s="5"/>
      <c r="K317" s="5"/>
      <c r="L317" s="5"/>
      <c r="M317" s="5"/>
      <c r="N317" s="5"/>
      <c r="O317" s="5"/>
      <c r="P317" s="5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5"/>
      <c r="B318" s="5"/>
      <c r="C318" s="5"/>
      <c r="D318" s="21"/>
      <c r="E318" s="186"/>
      <c r="F318" s="195"/>
      <c r="G318" s="195"/>
      <c r="H318" s="5"/>
      <c r="I318" s="5"/>
      <c r="J318" s="5"/>
      <c r="K318" s="5"/>
      <c r="L318" s="5"/>
      <c r="M318" s="5"/>
      <c r="N318" s="5"/>
      <c r="O318" s="5"/>
      <c r="P318" s="5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5"/>
      <c r="B319" s="5"/>
      <c r="C319" s="5"/>
      <c r="D319" s="21"/>
      <c r="E319" s="186"/>
      <c r="F319" s="195"/>
      <c r="G319" s="195"/>
      <c r="H319" s="5"/>
      <c r="I319" s="5"/>
      <c r="J319" s="5"/>
      <c r="K319" s="5"/>
      <c r="L319" s="5"/>
      <c r="M319" s="5"/>
      <c r="N319" s="5"/>
      <c r="O319" s="5"/>
      <c r="P319" s="5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5"/>
      <c r="B320" s="5"/>
      <c r="C320" s="5"/>
      <c r="D320" s="21"/>
      <c r="E320" s="186"/>
      <c r="F320" s="195"/>
      <c r="G320" s="195"/>
      <c r="H320" s="5"/>
      <c r="I320" s="5"/>
      <c r="J320" s="5"/>
      <c r="K320" s="5"/>
      <c r="L320" s="5"/>
      <c r="M320" s="5"/>
      <c r="N320" s="5"/>
      <c r="O320" s="5"/>
      <c r="P320" s="5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5"/>
      <c r="B321" s="5"/>
      <c r="C321" s="5"/>
      <c r="D321" s="21"/>
      <c r="E321" s="186"/>
      <c r="F321" s="195"/>
      <c r="G321" s="195"/>
      <c r="H321" s="5"/>
      <c r="I321" s="5"/>
      <c r="J321" s="5"/>
      <c r="K321" s="5"/>
      <c r="L321" s="5"/>
      <c r="M321" s="5"/>
      <c r="N321" s="5"/>
      <c r="O321" s="5"/>
      <c r="P321" s="5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5"/>
      <c r="B322" s="5"/>
      <c r="C322" s="5"/>
      <c r="D322" s="21"/>
      <c r="E322" s="186"/>
      <c r="F322" s="195"/>
      <c r="G322" s="195"/>
      <c r="H322" s="5"/>
      <c r="I322" s="5"/>
      <c r="J322" s="5"/>
      <c r="K322" s="5"/>
      <c r="L322" s="5"/>
      <c r="M322" s="5"/>
      <c r="N322" s="5"/>
      <c r="O322" s="5"/>
      <c r="P322" s="5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5"/>
      <c r="B323" s="5"/>
      <c r="C323" s="5"/>
      <c r="D323" s="21"/>
      <c r="E323" s="186"/>
      <c r="F323" s="195"/>
      <c r="G323" s="195"/>
      <c r="H323" s="5"/>
      <c r="I323" s="5"/>
      <c r="J323" s="5"/>
      <c r="K323" s="5"/>
      <c r="L323" s="5"/>
      <c r="M323" s="5"/>
      <c r="N323" s="5"/>
      <c r="O323" s="5"/>
      <c r="P323" s="5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5"/>
      <c r="B324" s="5"/>
      <c r="C324" s="5"/>
      <c r="D324" s="21"/>
      <c r="E324" s="186"/>
      <c r="F324" s="195"/>
      <c r="G324" s="195"/>
      <c r="H324" s="5"/>
      <c r="I324" s="5"/>
      <c r="J324" s="5"/>
      <c r="K324" s="5"/>
      <c r="L324" s="5"/>
      <c r="M324" s="5"/>
      <c r="N324" s="5"/>
      <c r="O324" s="5"/>
      <c r="P324" s="5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5"/>
      <c r="B325" s="5"/>
      <c r="C325" s="5"/>
      <c r="D325" s="21"/>
      <c r="E325" s="186"/>
      <c r="F325" s="195"/>
      <c r="G325" s="195"/>
      <c r="H325" s="5"/>
      <c r="I325" s="5"/>
      <c r="J325" s="5"/>
      <c r="K325" s="5"/>
      <c r="L325" s="5"/>
      <c r="M325" s="5"/>
      <c r="N325" s="5"/>
      <c r="O325" s="5"/>
      <c r="P325" s="5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5"/>
      <c r="B326" s="5"/>
      <c r="C326" s="5"/>
      <c r="D326" s="21"/>
      <c r="E326" s="186"/>
      <c r="F326" s="195"/>
      <c r="G326" s="195"/>
      <c r="H326" s="5"/>
      <c r="I326" s="5"/>
      <c r="J326" s="5"/>
      <c r="K326" s="5"/>
      <c r="L326" s="5"/>
      <c r="M326" s="5"/>
      <c r="N326" s="5"/>
      <c r="O326" s="5"/>
      <c r="P326" s="5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5"/>
      <c r="B327" s="5"/>
      <c r="C327" s="5"/>
      <c r="D327" s="21"/>
      <c r="E327" s="186"/>
      <c r="F327" s="195"/>
      <c r="G327" s="195"/>
      <c r="H327" s="5"/>
      <c r="I327" s="5"/>
      <c r="J327" s="5"/>
      <c r="K327" s="5"/>
      <c r="L327" s="5"/>
      <c r="M327" s="5"/>
      <c r="N327" s="5"/>
      <c r="O327" s="5"/>
      <c r="P327" s="5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5"/>
      <c r="B328" s="5"/>
      <c r="C328" s="5"/>
      <c r="D328" s="21"/>
      <c r="E328" s="186"/>
      <c r="F328" s="195"/>
      <c r="G328" s="195"/>
      <c r="H328" s="5"/>
      <c r="I328" s="5"/>
      <c r="J328" s="5"/>
      <c r="K328" s="5"/>
      <c r="L328" s="5"/>
      <c r="M328" s="5"/>
      <c r="N328" s="5"/>
      <c r="O328" s="5"/>
      <c r="P328" s="5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5"/>
      <c r="B329" s="5"/>
      <c r="C329" s="5"/>
      <c r="D329" s="21"/>
      <c r="E329" s="186"/>
      <c r="F329" s="195"/>
      <c r="G329" s="195"/>
      <c r="H329" s="5"/>
      <c r="I329" s="5"/>
      <c r="J329" s="5"/>
      <c r="K329" s="5"/>
      <c r="L329" s="5"/>
      <c r="M329" s="5"/>
      <c r="N329" s="5"/>
      <c r="O329" s="5"/>
      <c r="P329" s="5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5"/>
      <c r="B330" s="5"/>
      <c r="C330" s="5"/>
      <c r="D330" s="21"/>
      <c r="E330" s="186"/>
      <c r="F330" s="195"/>
      <c r="G330" s="195"/>
      <c r="H330" s="5"/>
      <c r="I330" s="5"/>
      <c r="J330" s="5"/>
      <c r="K330" s="5"/>
      <c r="L330" s="5"/>
      <c r="M330" s="5"/>
      <c r="N330" s="5"/>
      <c r="O330" s="5"/>
      <c r="P330" s="5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5"/>
      <c r="B331" s="5"/>
      <c r="C331" s="5"/>
      <c r="D331" s="21"/>
      <c r="E331" s="186"/>
      <c r="F331" s="195"/>
      <c r="G331" s="195"/>
      <c r="H331" s="5"/>
      <c r="I331" s="5"/>
      <c r="J331" s="5"/>
      <c r="K331" s="5"/>
      <c r="L331" s="5"/>
      <c r="M331" s="5"/>
      <c r="N331" s="5"/>
      <c r="O331" s="5"/>
      <c r="P331" s="5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5"/>
      <c r="B332" s="5"/>
      <c r="C332" s="5"/>
      <c r="D332" s="21"/>
      <c r="E332" s="186"/>
      <c r="F332" s="195"/>
      <c r="G332" s="195"/>
      <c r="H332" s="5"/>
      <c r="I332" s="5"/>
      <c r="J332" s="5"/>
      <c r="K332" s="5"/>
      <c r="L332" s="5"/>
      <c r="M332" s="5"/>
      <c r="N332" s="5"/>
      <c r="O332" s="5"/>
      <c r="P332" s="5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5"/>
      <c r="B333" s="5"/>
      <c r="C333" s="5"/>
      <c r="D333" s="21"/>
      <c r="E333" s="186"/>
      <c r="F333" s="195"/>
      <c r="G333" s="195"/>
      <c r="H333" s="5"/>
      <c r="I333" s="5"/>
      <c r="J333" s="5"/>
      <c r="K333" s="5"/>
      <c r="L333" s="5"/>
      <c r="M333" s="5"/>
      <c r="N333" s="5"/>
      <c r="O333" s="5"/>
      <c r="P333" s="5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5"/>
      <c r="B334" s="5"/>
      <c r="C334" s="5"/>
      <c r="D334" s="21"/>
      <c r="E334" s="186"/>
      <c r="F334" s="195"/>
      <c r="G334" s="195"/>
      <c r="H334" s="5"/>
      <c r="I334" s="5"/>
      <c r="J334" s="5"/>
      <c r="K334" s="5"/>
      <c r="L334" s="5"/>
      <c r="M334" s="5"/>
      <c r="N334" s="5"/>
      <c r="O334" s="5"/>
      <c r="P334" s="5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5"/>
      <c r="B335" s="5"/>
      <c r="C335" s="5"/>
      <c r="D335" s="21"/>
      <c r="E335" s="186"/>
      <c r="F335" s="195"/>
      <c r="G335" s="195"/>
      <c r="H335" s="5"/>
      <c r="I335" s="5"/>
      <c r="J335" s="5"/>
      <c r="K335" s="5"/>
      <c r="L335" s="5"/>
      <c r="M335" s="5"/>
      <c r="N335" s="5"/>
      <c r="O335" s="5"/>
      <c r="P335" s="5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5"/>
      <c r="B336" s="5"/>
      <c r="C336" s="5"/>
      <c r="D336" s="21"/>
      <c r="E336" s="186"/>
      <c r="F336" s="195"/>
      <c r="G336" s="195"/>
      <c r="H336" s="5"/>
      <c r="I336" s="5"/>
      <c r="J336" s="5"/>
      <c r="K336" s="5"/>
      <c r="L336" s="5"/>
      <c r="M336" s="5"/>
      <c r="N336" s="5"/>
      <c r="O336" s="5"/>
      <c r="P336" s="5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5"/>
      <c r="B337" s="5"/>
      <c r="C337" s="5"/>
      <c r="D337" s="21"/>
      <c r="E337" s="186"/>
      <c r="F337" s="195"/>
      <c r="G337" s="195"/>
      <c r="H337" s="5"/>
      <c r="I337" s="5"/>
      <c r="J337" s="5"/>
      <c r="K337" s="5"/>
      <c r="L337" s="5"/>
      <c r="M337" s="5"/>
      <c r="N337" s="5"/>
      <c r="O337" s="5"/>
      <c r="P337" s="5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5"/>
      <c r="B338" s="5"/>
      <c r="C338" s="5"/>
      <c r="D338" s="21"/>
      <c r="E338" s="186"/>
      <c r="F338" s="195"/>
      <c r="G338" s="195"/>
      <c r="H338" s="5"/>
      <c r="I338" s="5"/>
      <c r="J338" s="5"/>
      <c r="K338" s="5"/>
      <c r="L338" s="5"/>
      <c r="M338" s="5"/>
      <c r="N338" s="5"/>
      <c r="O338" s="5"/>
      <c r="P338" s="5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5"/>
      <c r="B339" s="5"/>
      <c r="C339" s="5"/>
      <c r="D339" s="21"/>
      <c r="E339" s="186"/>
      <c r="F339" s="195"/>
      <c r="G339" s="195"/>
      <c r="H339" s="5"/>
      <c r="I339" s="5"/>
      <c r="J339" s="5"/>
      <c r="K339" s="5"/>
      <c r="L339" s="5"/>
      <c r="M339" s="5"/>
      <c r="N339" s="5"/>
      <c r="O339" s="5"/>
      <c r="P339" s="5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5"/>
      <c r="B340" s="5"/>
      <c r="C340" s="5"/>
      <c r="D340" s="21"/>
      <c r="E340" s="186"/>
      <c r="F340" s="195"/>
      <c r="G340" s="195"/>
      <c r="H340" s="5"/>
      <c r="I340" s="5"/>
      <c r="J340" s="5"/>
      <c r="K340" s="5"/>
      <c r="L340" s="5"/>
      <c r="M340" s="5"/>
      <c r="N340" s="5"/>
      <c r="O340" s="5"/>
      <c r="P340" s="5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5"/>
      <c r="B341" s="5"/>
      <c r="C341" s="5"/>
      <c r="D341" s="21"/>
      <c r="E341" s="186"/>
      <c r="F341" s="195"/>
      <c r="G341" s="195"/>
      <c r="H341" s="5"/>
      <c r="I341" s="5"/>
      <c r="J341" s="5"/>
      <c r="K341" s="5"/>
      <c r="L341" s="5"/>
      <c r="M341" s="5"/>
      <c r="N341" s="5"/>
      <c r="O341" s="5"/>
      <c r="P341" s="5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5"/>
      <c r="B342" s="5"/>
      <c r="C342" s="5"/>
      <c r="D342" s="21"/>
      <c r="E342" s="186"/>
      <c r="F342" s="195"/>
      <c r="G342" s="195"/>
      <c r="H342" s="5"/>
      <c r="I342" s="5"/>
      <c r="J342" s="5"/>
      <c r="K342" s="5"/>
      <c r="L342" s="5"/>
      <c r="M342" s="5"/>
      <c r="N342" s="5"/>
      <c r="O342" s="5"/>
      <c r="P342" s="5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5"/>
      <c r="B343" s="5"/>
      <c r="C343" s="5"/>
      <c r="D343" s="21"/>
      <c r="E343" s="186"/>
      <c r="F343" s="195"/>
      <c r="G343" s="195"/>
      <c r="H343" s="5"/>
      <c r="I343" s="5"/>
      <c r="J343" s="5"/>
      <c r="K343" s="5"/>
      <c r="L343" s="5"/>
      <c r="M343" s="5"/>
      <c r="N343" s="5"/>
      <c r="O343" s="5"/>
      <c r="P343" s="5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5"/>
      <c r="B344" s="5"/>
      <c r="C344" s="5"/>
      <c r="D344" s="21"/>
      <c r="E344" s="186"/>
      <c r="F344" s="195"/>
      <c r="G344" s="195"/>
      <c r="H344" s="5"/>
      <c r="I344" s="5"/>
      <c r="J344" s="5"/>
      <c r="K344" s="5"/>
      <c r="L344" s="5"/>
      <c r="M344" s="5"/>
      <c r="N344" s="5"/>
      <c r="O344" s="5"/>
      <c r="P344" s="5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5"/>
      <c r="B345" s="5"/>
      <c r="C345" s="5"/>
      <c r="D345" s="21"/>
      <c r="E345" s="186"/>
      <c r="F345" s="195"/>
      <c r="G345" s="195"/>
      <c r="H345" s="5"/>
      <c r="I345" s="5"/>
      <c r="J345" s="5"/>
      <c r="K345" s="5"/>
      <c r="L345" s="5"/>
      <c r="M345" s="5"/>
      <c r="N345" s="5"/>
      <c r="O345" s="5"/>
      <c r="P345" s="5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5"/>
      <c r="B346" s="5"/>
      <c r="C346" s="5"/>
      <c r="D346" s="21"/>
      <c r="E346" s="186"/>
      <c r="F346" s="195"/>
      <c r="G346" s="195"/>
      <c r="H346" s="5"/>
      <c r="I346" s="5"/>
      <c r="J346" s="5"/>
      <c r="K346" s="5"/>
      <c r="L346" s="5"/>
      <c r="M346" s="5"/>
      <c r="N346" s="5"/>
      <c r="O346" s="5"/>
      <c r="P346" s="5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5"/>
      <c r="B347" s="5"/>
      <c r="C347" s="5"/>
      <c r="D347" s="21"/>
      <c r="E347" s="186"/>
      <c r="F347" s="195"/>
      <c r="G347" s="195"/>
      <c r="H347" s="5"/>
      <c r="I347" s="5"/>
      <c r="J347" s="5"/>
      <c r="K347" s="5"/>
      <c r="L347" s="5"/>
      <c r="M347" s="5"/>
      <c r="N347" s="5"/>
      <c r="O347" s="5"/>
      <c r="P347" s="5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5"/>
      <c r="B348" s="5"/>
      <c r="C348" s="5"/>
      <c r="D348" s="21"/>
      <c r="E348" s="186"/>
      <c r="F348" s="195"/>
      <c r="G348" s="195"/>
      <c r="H348" s="5"/>
      <c r="I348" s="5"/>
      <c r="J348" s="5"/>
      <c r="K348" s="5"/>
      <c r="L348" s="5"/>
      <c r="M348" s="5"/>
      <c r="N348" s="5"/>
      <c r="O348" s="5"/>
      <c r="P348" s="5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5"/>
      <c r="B349" s="5"/>
      <c r="C349" s="5"/>
      <c r="D349" s="21"/>
      <c r="E349" s="186"/>
      <c r="F349" s="195"/>
      <c r="G349" s="195"/>
      <c r="H349" s="5"/>
      <c r="I349" s="5"/>
      <c r="J349" s="5"/>
      <c r="K349" s="5"/>
      <c r="L349" s="5"/>
      <c r="M349" s="5"/>
      <c r="N349" s="5"/>
      <c r="O349" s="5"/>
      <c r="P349" s="5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5"/>
      <c r="B350" s="5"/>
      <c r="C350" s="5"/>
      <c r="D350" s="21"/>
      <c r="E350" s="186"/>
      <c r="F350" s="195"/>
      <c r="G350" s="195"/>
      <c r="H350" s="5"/>
      <c r="I350" s="5"/>
      <c r="J350" s="5"/>
      <c r="K350" s="5"/>
      <c r="L350" s="5"/>
      <c r="M350" s="5"/>
      <c r="N350" s="5"/>
      <c r="O350" s="5"/>
      <c r="P350" s="5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5"/>
      <c r="B351" s="5"/>
      <c r="C351" s="5"/>
      <c r="D351" s="21"/>
      <c r="E351" s="186"/>
      <c r="F351" s="195"/>
      <c r="G351" s="195"/>
      <c r="H351" s="5"/>
      <c r="I351" s="5"/>
      <c r="J351" s="5"/>
      <c r="K351" s="5"/>
      <c r="L351" s="5"/>
      <c r="M351" s="5"/>
      <c r="N351" s="5"/>
      <c r="O351" s="5"/>
      <c r="P351" s="5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5"/>
      <c r="B352" s="5"/>
      <c r="C352" s="5"/>
      <c r="D352" s="21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5"/>
      <c r="B353" s="5"/>
      <c r="C353" s="5"/>
      <c r="D353" s="21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5"/>
      <c r="B354" s="5"/>
      <c r="C354" s="5"/>
      <c r="D354" s="21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5"/>
      <c r="B355" s="5"/>
      <c r="C355" s="5"/>
      <c r="D355" s="21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5"/>
      <c r="B356" s="5"/>
      <c r="C356" s="5"/>
      <c r="D356" s="21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5"/>
      <c r="B357" s="5"/>
      <c r="C357" s="5"/>
      <c r="D357" s="21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5"/>
      <c r="B358" s="5"/>
      <c r="C358" s="5"/>
      <c r="D358" s="21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5"/>
      <c r="B359" s="5"/>
      <c r="C359" s="5"/>
      <c r="D359" s="21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5"/>
      <c r="B360" s="5"/>
      <c r="C360" s="5"/>
      <c r="D360" s="21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mergeCells count="4">
    <mergeCell ref="B8:C8"/>
    <mergeCell ref="A84:C84"/>
    <mergeCell ref="A126:C126"/>
    <mergeCell ref="A147:B14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4.14"/>
    <col customWidth="1" min="3" max="3" width="9.71"/>
    <col customWidth="1" min="4" max="4" width="14.71"/>
    <col customWidth="1" min="5" max="6" width="10.71"/>
    <col customWidth="1" min="7" max="7" width="14.86"/>
    <col customWidth="1" min="8" max="8" width="17.29"/>
    <col customWidth="1" min="9" max="9" width="15.14"/>
    <col customWidth="1" min="10" max="10" width="13.29"/>
    <col customWidth="1" min="11" max="27" width="10.71"/>
  </cols>
  <sheetData>
    <row r="1">
      <c r="A1" s="3" t="s">
        <v>0</v>
      </c>
      <c r="B1" s="2" t="s">
        <v>1</v>
      </c>
      <c r="C1" s="3"/>
      <c r="D1" s="3"/>
      <c r="E1" s="3"/>
      <c r="F1" s="3"/>
      <c r="G1" s="3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7"/>
      <c r="T1" s="7"/>
      <c r="U1" s="7"/>
      <c r="V1" s="7"/>
      <c r="W1" s="7"/>
      <c r="X1" s="7"/>
      <c r="Y1" s="7"/>
      <c r="Z1" s="7"/>
      <c r="AA1" s="7"/>
    </row>
    <row r="2">
      <c r="A2" s="1" t="s">
        <v>3</v>
      </c>
      <c r="B2" s="8">
        <v>45994.0</v>
      </c>
      <c r="C2" s="3"/>
      <c r="D2" s="3"/>
      <c r="E2" s="3"/>
      <c r="F2" s="3"/>
      <c r="G2" s="3"/>
      <c r="H2" s="9" t="s">
        <v>5</v>
      </c>
      <c r="I2" s="5"/>
      <c r="J2" s="10" t="s">
        <v>6</v>
      </c>
      <c r="K2" s="11">
        <v>144.0</v>
      </c>
      <c r="L2" s="10" t="s">
        <v>7</v>
      </c>
      <c r="M2" s="12">
        <v>0.05</v>
      </c>
      <c r="N2" s="5"/>
      <c r="O2" s="5"/>
      <c r="P2" s="5"/>
      <c r="Q2" s="5"/>
      <c r="R2" s="5"/>
      <c r="S2" s="7"/>
      <c r="T2" s="7"/>
      <c r="U2" s="7"/>
      <c r="V2" s="7"/>
      <c r="W2" s="7"/>
      <c r="X2" s="7"/>
      <c r="Y2" s="7"/>
      <c r="Z2" s="7"/>
      <c r="AA2" s="7"/>
    </row>
    <row r="3" ht="15.0" customHeight="1">
      <c r="A3" s="1" t="s">
        <v>4</v>
      </c>
      <c r="B3" s="3"/>
      <c r="C3" s="3"/>
      <c r="D3" s="3"/>
      <c r="E3" s="3"/>
      <c r="F3" s="3"/>
      <c r="G3" s="3"/>
      <c r="H3" s="14" t="s">
        <v>11</v>
      </c>
      <c r="I3" s="11">
        <v>1080.0</v>
      </c>
      <c r="J3" s="5"/>
      <c r="K3" s="5"/>
      <c r="L3" s="5"/>
      <c r="M3" s="5"/>
      <c r="N3" s="5"/>
      <c r="O3" s="5"/>
      <c r="P3" s="5"/>
      <c r="Q3" s="5"/>
      <c r="R3" s="5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1" t="s">
        <v>9</v>
      </c>
      <c r="B4" s="2">
        <v>12.0</v>
      </c>
      <c r="C4" s="3" t="s">
        <v>10</v>
      </c>
      <c r="D4" s="3"/>
      <c r="E4" s="3"/>
      <c r="F4" s="3"/>
      <c r="G4" s="3"/>
      <c r="H4" s="14" t="s">
        <v>13</v>
      </c>
      <c r="I4" s="11">
        <v>500.0</v>
      </c>
      <c r="J4" s="5"/>
      <c r="K4" s="5"/>
      <c r="L4" s="5"/>
      <c r="M4" s="5"/>
      <c r="N4" s="5"/>
      <c r="O4" s="5"/>
      <c r="P4" s="5"/>
      <c r="Q4" s="5"/>
      <c r="R4" s="5"/>
      <c r="S4" s="7"/>
      <c r="T4" s="7"/>
      <c r="U4" s="7"/>
      <c r="V4" s="7"/>
      <c r="W4" s="7"/>
      <c r="X4" s="7"/>
      <c r="Y4" s="7"/>
      <c r="Z4" s="7"/>
      <c r="AA4" s="7"/>
    </row>
    <row r="5" ht="13.5" customHeight="1">
      <c r="A5" s="1" t="s">
        <v>12</v>
      </c>
      <c r="B5" s="2">
        <v>18.0</v>
      </c>
      <c r="C5" s="3" t="s">
        <v>10</v>
      </c>
      <c r="D5" s="3"/>
      <c r="E5" s="3"/>
      <c r="F5" s="3"/>
      <c r="G5" s="3"/>
      <c r="H5" s="11" t="s">
        <v>18</v>
      </c>
      <c r="I5" s="20">
        <v>350.0</v>
      </c>
      <c r="J5" s="5"/>
      <c r="K5" s="5"/>
      <c r="L5" s="5"/>
      <c r="M5" s="5"/>
      <c r="N5" s="5"/>
      <c r="O5" s="5"/>
      <c r="P5" s="5"/>
      <c r="Q5" s="5"/>
      <c r="R5" s="5"/>
      <c r="S5" s="7"/>
      <c r="T5" s="7"/>
      <c r="U5" s="7"/>
      <c r="V5" s="7"/>
      <c r="W5" s="7"/>
      <c r="X5" s="7"/>
      <c r="Y5" s="7"/>
      <c r="Z5" s="7"/>
      <c r="AA5" s="7"/>
    </row>
    <row r="6">
      <c r="A6" s="36" t="s">
        <v>14</v>
      </c>
      <c r="B6" s="36" t="s">
        <v>31</v>
      </c>
      <c r="C6" s="36"/>
      <c r="D6" s="36" t="s">
        <v>32</v>
      </c>
      <c r="E6" s="36"/>
      <c r="F6" s="38"/>
      <c r="G6" s="3"/>
      <c r="H6" s="11" t="s">
        <v>33</v>
      </c>
      <c r="I6" s="11">
        <v>180.0</v>
      </c>
      <c r="J6" s="5"/>
      <c r="K6" s="5"/>
      <c r="L6" s="5"/>
      <c r="M6" s="5"/>
      <c r="N6" s="5"/>
      <c r="O6" s="5"/>
      <c r="P6" s="5"/>
      <c r="Q6" s="5"/>
      <c r="R6" s="5"/>
      <c r="S6" s="7"/>
      <c r="T6" s="7"/>
      <c r="U6" s="7"/>
      <c r="V6" s="7"/>
      <c r="W6" s="7"/>
      <c r="X6" s="7"/>
      <c r="Y6" s="7"/>
      <c r="Z6" s="7"/>
      <c r="AA6" s="7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7"/>
      <c r="T7" s="7"/>
      <c r="U7" s="7"/>
      <c r="V7" s="7"/>
      <c r="W7" s="7"/>
      <c r="X7" s="7"/>
      <c r="Y7" s="7"/>
      <c r="Z7" s="7"/>
      <c r="AA7" s="7"/>
    </row>
    <row r="8">
      <c r="A8" s="24" t="s">
        <v>22</v>
      </c>
      <c r="B8" s="24" t="s">
        <v>20</v>
      </c>
      <c r="C8" s="24" t="s">
        <v>23</v>
      </c>
      <c r="D8" s="29" t="s">
        <v>24</v>
      </c>
      <c r="E8" s="31" t="s">
        <v>26</v>
      </c>
      <c r="F8" s="32" t="s">
        <v>40</v>
      </c>
      <c r="G8" s="29" t="s">
        <v>28</v>
      </c>
      <c r="H8" s="44" t="s">
        <v>29</v>
      </c>
      <c r="I8" s="29" t="s">
        <v>30</v>
      </c>
      <c r="J8" s="45" t="s">
        <v>43</v>
      </c>
      <c r="K8" s="5"/>
      <c r="L8" s="5"/>
      <c r="M8" s="5"/>
      <c r="N8" s="5"/>
      <c r="O8" s="5"/>
      <c r="P8" s="5"/>
      <c r="Q8" s="5"/>
      <c r="R8" s="5"/>
      <c r="S8" s="7"/>
      <c r="T8" s="7"/>
      <c r="U8" s="7"/>
      <c r="V8" s="7"/>
      <c r="W8" s="7"/>
      <c r="X8" s="7"/>
      <c r="Y8" s="7"/>
      <c r="Z8" s="7"/>
      <c r="AA8" s="7"/>
    </row>
    <row r="9">
      <c r="A9" s="41">
        <v>8.44343219E9</v>
      </c>
      <c r="B9" s="41" t="s">
        <v>45</v>
      </c>
      <c r="C9" s="43">
        <v>300.0</v>
      </c>
      <c r="D9" s="48">
        <v>112.0</v>
      </c>
      <c r="E9" s="43">
        <v>3700.0</v>
      </c>
      <c r="F9" s="43">
        <f t="shared" ref="F9:F14" si="1">(E9+$I$4)+($K$2+E9*$M$2)</f>
        <v>4529</v>
      </c>
      <c r="G9" s="50">
        <f t="shared" ref="G9:G111" si="2">F9/C9</f>
        <v>15.09666667</v>
      </c>
      <c r="H9" s="51">
        <f t="shared" ref="H9:H111" si="3">(540/D9)</f>
        <v>4.821428571</v>
      </c>
      <c r="I9" s="52">
        <v>17.0</v>
      </c>
      <c r="J9" s="41"/>
      <c r="K9" s="11"/>
      <c r="L9" s="5"/>
      <c r="M9" s="5"/>
      <c r="N9" s="5"/>
      <c r="O9" s="5"/>
      <c r="P9" s="5"/>
      <c r="Q9" s="5"/>
      <c r="R9" s="5"/>
      <c r="S9" s="7"/>
      <c r="T9" s="7"/>
      <c r="U9" s="7"/>
      <c r="V9" s="7"/>
      <c r="W9" s="7"/>
      <c r="X9" s="7"/>
      <c r="Y9" s="7"/>
      <c r="Z9" s="7"/>
      <c r="AA9" s="7"/>
    </row>
    <row r="10">
      <c r="A10" s="41">
        <v>9.00773319E9</v>
      </c>
      <c r="B10" s="41" t="s">
        <v>62</v>
      </c>
      <c r="C10" s="43">
        <v>300.0</v>
      </c>
      <c r="D10" s="50">
        <v>112.0</v>
      </c>
      <c r="E10" s="43">
        <v>2850.0</v>
      </c>
      <c r="F10" s="43">
        <f t="shared" si="1"/>
        <v>3636.5</v>
      </c>
      <c r="G10" s="50">
        <f t="shared" si="2"/>
        <v>12.12166667</v>
      </c>
      <c r="H10" s="51">
        <f t="shared" si="3"/>
        <v>4.821428571</v>
      </c>
      <c r="I10" s="52">
        <v>13.0</v>
      </c>
      <c r="J10" s="41"/>
      <c r="K10" s="11"/>
      <c r="L10" s="5"/>
      <c r="M10" s="5"/>
      <c r="N10" s="5"/>
      <c r="O10" s="5"/>
      <c r="P10" s="5"/>
      <c r="Q10" s="5"/>
      <c r="R10" s="5"/>
      <c r="S10" s="7"/>
      <c r="T10" s="7"/>
      <c r="U10" s="7"/>
      <c r="V10" s="7"/>
      <c r="W10" s="7"/>
      <c r="X10" s="7"/>
      <c r="Y10" s="7"/>
      <c r="Z10" s="7"/>
      <c r="AA10" s="7"/>
    </row>
    <row r="11">
      <c r="A11" s="41">
        <v>9.00778419E9</v>
      </c>
      <c r="B11" s="41" t="s">
        <v>67</v>
      </c>
      <c r="C11" s="43">
        <v>300.0</v>
      </c>
      <c r="D11" s="50">
        <v>112.0</v>
      </c>
      <c r="E11" s="56">
        <v>3750.0</v>
      </c>
      <c r="F11" s="43">
        <f t="shared" si="1"/>
        <v>4581.5</v>
      </c>
      <c r="G11" s="50">
        <f t="shared" si="2"/>
        <v>15.27166667</v>
      </c>
      <c r="H11" s="51">
        <f t="shared" si="3"/>
        <v>4.821428571</v>
      </c>
      <c r="I11" s="52">
        <v>16.0</v>
      </c>
      <c r="J11" s="41"/>
      <c r="K11" s="11"/>
      <c r="L11" s="5"/>
      <c r="M11" s="5"/>
      <c r="N11" s="5"/>
      <c r="O11" s="5"/>
      <c r="P11" s="5"/>
      <c r="Q11" s="5"/>
      <c r="R11" s="5"/>
      <c r="S11" s="7"/>
      <c r="T11" s="7"/>
      <c r="U11" s="7"/>
      <c r="V11" s="7"/>
      <c r="W11" s="7"/>
      <c r="X11" s="7"/>
      <c r="Y11" s="7"/>
      <c r="Z11" s="7"/>
      <c r="AA11" s="7"/>
    </row>
    <row r="12">
      <c r="A12" s="41">
        <v>9.00581119E9</v>
      </c>
      <c r="B12" s="41" t="s">
        <v>73</v>
      </c>
      <c r="C12" s="43">
        <v>300.0</v>
      </c>
      <c r="D12" s="50">
        <v>112.0</v>
      </c>
      <c r="E12" s="43">
        <v>1800.0</v>
      </c>
      <c r="F12" s="43">
        <f t="shared" si="1"/>
        <v>2534</v>
      </c>
      <c r="G12" s="50">
        <f t="shared" si="2"/>
        <v>8.446666667</v>
      </c>
      <c r="H12" s="51">
        <f t="shared" si="3"/>
        <v>4.821428571</v>
      </c>
      <c r="I12" s="52">
        <v>8.0</v>
      </c>
      <c r="J12" s="41"/>
      <c r="K12" s="60"/>
      <c r="L12" s="5"/>
      <c r="M12" s="5"/>
      <c r="N12" s="5"/>
      <c r="O12" s="5"/>
      <c r="P12" s="5"/>
      <c r="Q12" s="5"/>
      <c r="R12" s="5"/>
      <c r="S12" s="7"/>
      <c r="T12" s="7"/>
      <c r="U12" s="7"/>
      <c r="V12" s="7"/>
      <c r="W12" s="7"/>
      <c r="X12" s="7"/>
      <c r="Y12" s="7"/>
      <c r="Z12" s="7"/>
      <c r="AA12" s="7"/>
    </row>
    <row r="13">
      <c r="A13" s="41">
        <v>9.04328419E9</v>
      </c>
      <c r="B13" s="41" t="s">
        <v>77</v>
      </c>
      <c r="C13" s="43">
        <v>300.0</v>
      </c>
      <c r="D13" s="50">
        <v>112.0</v>
      </c>
      <c r="E13" s="43">
        <v>2000.0</v>
      </c>
      <c r="F13" s="43">
        <f t="shared" si="1"/>
        <v>2744</v>
      </c>
      <c r="G13" s="50">
        <f t="shared" si="2"/>
        <v>9.146666667</v>
      </c>
      <c r="H13" s="51">
        <f t="shared" si="3"/>
        <v>4.821428571</v>
      </c>
      <c r="I13" s="52">
        <v>10.0</v>
      </c>
      <c r="J13" s="41"/>
      <c r="K13" s="11"/>
      <c r="L13" s="5"/>
      <c r="M13" s="5"/>
      <c r="N13" s="5"/>
      <c r="O13" s="5"/>
      <c r="P13" s="5"/>
      <c r="Q13" s="5"/>
      <c r="R13" s="5"/>
      <c r="S13" s="7"/>
      <c r="T13" s="7"/>
      <c r="U13" s="7"/>
      <c r="V13" s="7"/>
      <c r="W13" s="7"/>
      <c r="X13" s="7"/>
      <c r="Y13" s="7"/>
      <c r="Z13" s="7"/>
      <c r="AA13" s="7"/>
    </row>
    <row r="14">
      <c r="A14" s="41">
        <v>8.90656419E9</v>
      </c>
      <c r="B14" s="41" t="s">
        <v>97</v>
      </c>
      <c r="C14" s="43">
        <v>300.0</v>
      </c>
      <c r="D14" s="50">
        <v>112.0</v>
      </c>
      <c r="E14" s="43">
        <v>375.0</v>
      </c>
      <c r="F14" s="43">
        <f t="shared" si="1"/>
        <v>1037.75</v>
      </c>
      <c r="G14" s="50">
        <f t="shared" si="2"/>
        <v>3.459166667</v>
      </c>
      <c r="H14" s="51">
        <f t="shared" si="3"/>
        <v>4.821428571</v>
      </c>
      <c r="I14" s="52">
        <v>5.0</v>
      </c>
      <c r="J14" s="62" t="s">
        <v>99</v>
      </c>
      <c r="K14" s="11"/>
      <c r="L14" s="5"/>
      <c r="M14" s="5"/>
      <c r="N14" s="5"/>
      <c r="O14" s="5"/>
      <c r="P14" s="5"/>
      <c r="Q14" s="5"/>
      <c r="R14" s="5"/>
      <c r="S14" s="7"/>
      <c r="T14" s="7"/>
      <c r="U14" s="7"/>
      <c r="V14" s="7"/>
      <c r="W14" s="7"/>
      <c r="X14" s="7"/>
      <c r="Y14" s="7"/>
      <c r="Z14" s="7"/>
      <c r="AA14" s="7"/>
    </row>
    <row r="15">
      <c r="A15" s="41">
        <v>7.02693519E9</v>
      </c>
      <c r="B15" s="41" t="s">
        <v>103</v>
      </c>
      <c r="C15" s="43">
        <v>300.0</v>
      </c>
      <c r="D15" s="50">
        <v>112.0</v>
      </c>
      <c r="E15" s="43">
        <v>375.0</v>
      </c>
      <c r="F15" s="66">
        <f t="shared" ref="F15:F16" si="4">(E15+$I$5)+($K$2+E15*$M$2)</f>
        <v>887.75</v>
      </c>
      <c r="G15" s="50">
        <f t="shared" si="2"/>
        <v>2.959166667</v>
      </c>
      <c r="H15" s="51">
        <f t="shared" si="3"/>
        <v>4.821428571</v>
      </c>
      <c r="I15" s="52">
        <v>5.0</v>
      </c>
      <c r="J15" s="62" t="s">
        <v>99</v>
      </c>
      <c r="K15" s="11"/>
      <c r="L15" s="5"/>
      <c r="M15" s="5"/>
      <c r="N15" s="5"/>
      <c r="O15" s="5"/>
      <c r="P15" s="5"/>
      <c r="Q15" s="5"/>
      <c r="R15" s="5"/>
      <c r="S15" s="7"/>
      <c r="T15" s="7"/>
      <c r="U15" s="7"/>
      <c r="V15" s="7"/>
      <c r="W15" s="7"/>
      <c r="X15" s="7"/>
      <c r="Y15" s="7"/>
      <c r="Z15" s="7"/>
      <c r="AA15" s="7"/>
    </row>
    <row r="16">
      <c r="A16" s="41">
        <v>9.00502119E9</v>
      </c>
      <c r="B16" s="41" t="s">
        <v>110</v>
      </c>
      <c r="C16" s="43">
        <v>300.0</v>
      </c>
      <c r="D16" s="50">
        <v>112.0</v>
      </c>
      <c r="E16" s="43">
        <v>375.0</v>
      </c>
      <c r="F16" s="66">
        <f t="shared" si="4"/>
        <v>887.75</v>
      </c>
      <c r="G16" s="50">
        <f t="shared" si="2"/>
        <v>2.959166667</v>
      </c>
      <c r="H16" s="51">
        <f t="shared" si="3"/>
        <v>4.821428571</v>
      </c>
      <c r="I16" s="52">
        <v>5.0</v>
      </c>
      <c r="J16" s="62" t="s">
        <v>99</v>
      </c>
      <c r="K16" s="11"/>
      <c r="L16" s="5"/>
      <c r="M16" s="5"/>
      <c r="N16" s="5"/>
      <c r="O16" s="5"/>
      <c r="P16" s="5"/>
      <c r="Q16" s="5"/>
      <c r="R16" s="5"/>
      <c r="S16" s="7"/>
      <c r="T16" s="7"/>
      <c r="U16" s="7"/>
      <c r="V16" s="7"/>
      <c r="W16" s="7"/>
      <c r="X16" s="7"/>
      <c r="Y16" s="7"/>
      <c r="Z16" s="7"/>
      <c r="AA16" s="7"/>
    </row>
    <row r="17">
      <c r="A17" s="41">
        <v>8.49663319E9</v>
      </c>
      <c r="B17" s="41" t="s">
        <v>115</v>
      </c>
      <c r="C17" s="43">
        <v>100.0</v>
      </c>
      <c r="D17" s="50">
        <v>112.0</v>
      </c>
      <c r="E17" s="43"/>
      <c r="F17" s="43"/>
      <c r="G17" s="50">
        <f t="shared" si="2"/>
        <v>0</v>
      </c>
      <c r="H17" s="51">
        <f t="shared" si="3"/>
        <v>4.821428571</v>
      </c>
      <c r="I17" s="55"/>
      <c r="J17" s="41"/>
      <c r="K17" s="5"/>
      <c r="L17" s="5"/>
      <c r="M17" s="5"/>
      <c r="N17" s="5"/>
      <c r="O17" s="5"/>
      <c r="P17" s="5"/>
      <c r="Q17" s="5"/>
      <c r="R17" s="5"/>
      <c r="S17" s="7"/>
      <c r="T17" s="7"/>
      <c r="U17" s="7"/>
      <c r="V17" s="7"/>
      <c r="W17" s="7"/>
      <c r="X17" s="7"/>
      <c r="Y17" s="7"/>
      <c r="Z17" s="7"/>
      <c r="AA17" s="7"/>
    </row>
    <row r="18">
      <c r="A18" s="41">
        <v>7.02757519E9</v>
      </c>
      <c r="B18" s="70" t="s">
        <v>118</v>
      </c>
      <c r="C18" s="43">
        <v>300.0</v>
      </c>
      <c r="D18" s="50">
        <v>112.0</v>
      </c>
      <c r="E18" s="43">
        <v>700.0</v>
      </c>
      <c r="F18" s="66">
        <f t="shared" ref="F18:F23" si="5">(E18+$I$5)+($K$2+E18*$M$2)</f>
        <v>1229</v>
      </c>
      <c r="G18" s="50">
        <f t="shared" si="2"/>
        <v>4.096666667</v>
      </c>
      <c r="H18" s="51">
        <f t="shared" si="3"/>
        <v>4.821428571</v>
      </c>
      <c r="I18" s="52">
        <v>5.0</v>
      </c>
      <c r="J18" s="41"/>
      <c r="K18" s="11"/>
      <c r="L18" s="5"/>
      <c r="M18" s="5"/>
      <c r="N18" s="5"/>
      <c r="O18" s="5"/>
      <c r="P18" s="5"/>
      <c r="Q18" s="5"/>
      <c r="R18" s="5"/>
      <c r="S18" s="7"/>
      <c r="T18" s="7"/>
      <c r="U18" s="7"/>
      <c r="V18" s="7"/>
      <c r="W18" s="7"/>
      <c r="X18" s="7"/>
      <c r="Y18" s="7"/>
      <c r="Z18" s="7"/>
      <c r="AA18" s="7"/>
    </row>
    <row r="19">
      <c r="A19" s="41">
        <v>8.93238719E9</v>
      </c>
      <c r="B19" s="70" t="s">
        <v>123</v>
      </c>
      <c r="C19" s="43">
        <v>300.0</v>
      </c>
      <c r="D19" s="50">
        <v>112.0</v>
      </c>
      <c r="E19" s="43">
        <v>500.0</v>
      </c>
      <c r="F19" s="66">
        <f t="shared" si="5"/>
        <v>1019</v>
      </c>
      <c r="G19" s="50">
        <f t="shared" si="2"/>
        <v>3.396666667</v>
      </c>
      <c r="H19" s="51">
        <f t="shared" si="3"/>
        <v>4.821428571</v>
      </c>
      <c r="I19" s="52">
        <v>5.0</v>
      </c>
      <c r="J19" s="41"/>
      <c r="K19" s="11"/>
      <c r="L19" s="5"/>
      <c r="M19" s="5"/>
      <c r="N19" s="5"/>
      <c r="O19" s="5"/>
      <c r="P19" s="5"/>
      <c r="Q19" s="5"/>
      <c r="R19" s="5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41">
        <v>7.02724919E9</v>
      </c>
      <c r="B20" s="70" t="s">
        <v>127</v>
      </c>
      <c r="C20" s="43">
        <v>300.0</v>
      </c>
      <c r="D20" s="50">
        <v>112.0</v>
      </c>
      <c r="E20" s="43">
        <v>635.0</v>
      </c>
      <c r="F20" s="66">
        <f t="shared" si="5"/>
        <v>1160.75</v>
      </c>
      <c r="G20" s="50">
        <f t="shared" si="2"/>
        <v>3.869166667</v>
      </c>
      <c r="H20" s="51">
        <f t="shared" si="3"/>
        <v>4.821428571</v>
      </c>
      <c r="I20" s="52">
        <v>5.0</v>
      </c>
      <c r="J20" s="41"/>
      <c r="K20" s="11"/>
      <c r="L20" s="5"/>
      <c r="M20" s="5"/>
      <c r="N20" s="5"/>
      <c r="O20" s="5"/>
      <c r="P20" s="5"/>
      <c r="Q20" s="5"/>
      <c r="R20" s="5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72">
        <v>9.75574819E9</v>
      </c>
      <c r="B21" s="74" t="s">
        <v>131</v>
      </c>
      <c r="C21" s="75">
        <v>100.0</v>
      </c>
      <c r="D21" s="50">
        <v>112.0</v>
      </c>
      <c r="E21" s="43">
        <v>250.0</v>
      </c>
      <c r="F21" s="66">
        <f t="shared" si="5"/>
        <v>756.5</v>
      </c>
      <c r="G21" s="50">
        <f t="shared" si="2"/>
        <v>7.565</v>
      </c>
      <c r="H21" s="51">
        <f t="shared" si="3"/>
        <v>4.821428571</v>
      </c>
      <c r="I21" s="52">
        <v>8.0</v>
      </c>
      <c r="J21" s="62"/>
      <c r="K21" s="11"/>
      <c r="L21" s="5"/>
      <c r="M21" s="5"/>
      <c r="N21" s="5"/>
      <c r="O21" s="5"/>
      <c r="P21" s="5"/>
      <c r="Q21" s="5"/>
      <c r="R21" s="5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41">
        <v>7.02773719E9</v>
      </c>
      <c r="B22" s="70" t="s">
        <v>138</v>
      </c>
      <c r="C22" s="43">
        <v>300.0</v>
      </c>
      <c r="D22" s="50">
        <v>112.0</v>
      </c>
      <c r="E22" s="43">
        <v>490.0</v>
      </c>
      <c r="F22" s="66">
        <f t="shared" si="5"/>
        <v>1008.5</v>
      </c>
      <c r="G22" s="50">
        <f t="shared" si="2"/>
        <v>3.361666667</v>
      </c>
      <c r="H22" s="51">
        <f t="shared" si="3"/>
        <v>4.821428571</v>
      </c>
      <c r="I22" s="52">
        <v>5.0</v>
      </c>
      <c r="J22" s="41"/>
      <c r="K22" s="11"/>
      <c r="L22" s="5"/>
      <c r="M22" s="5"/>
      <c r="N22" s="5"/>
      <c r="O22" s="5"/>
      <c r="P22" s="5"/>
      <c r="Q22" s="5"/>
      <c r="R22" s="5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41">
        <v>8.94637019E9</v>
      </c>
      <c r="B23" s="70" t="s">
        <v>142</v>
      </c>
      <c r="C23" s="43">
        <v>300.0</v>
      </c>
      <c r="D23" s="50">
        <v>112.0</v>
      </c>
      <c r="E23" s="43">
        <v>390.0</v>
      </c>
      <c r="F23" s="66">
        <f t="shared" si="5"/>
        <v>903.5</v>
      </c>
      <c r="G23" s="50">
        <f t="shared" si="2"/>
        <v>3.011666667</v>
      </c>
      <c r="H23" s="51">
        <f t="shared" si="3"/>
        <v>4.821428571</v>
      </c>
      <c r="I23" s="52">
        <v>5.0</v>
      </c>
      <c r="J23" s="41"/>
      <c r="K23" s="11"/>
      <c r="L23" s="5"/>
      <c r="M23" s="5"/>
      <c r="N23" s="5"/>
      <c r="O23" s="5"/>
      <c r="P23" s="5"/>
      <c r="Q23" s="5"/>
      <c r="R23" s="5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41">
        <v>7.25849619E9</v>
      </c>
      <c r="B24" s="70" t="s">
        <v>149</v>
      </c>
      <c r="C24" s="43">
        <v>300.0</v>
      </c>
      <c r="D24" s="50">
        <v>112.0</v>
      </c>
      <c r="E24" s="43"/>
      <c r="F24" s="43"/>
      <c r="G24" s="50">
        <f t="shared" si="2"/>
        <v>0</v>
      </c>
      <c r="H24" s="51">
        <f t="shared" si="3"/>
        <v>4.821428571</v>
      </c>
      <c r="I24" s="55"/>
      <c r="J24" s="41"/>
      <c r="K24" s="5"/>
      <c r="L24" s="5"/>
      <c r="M24" s="5"/>
      <c r="N24" s="5"/>
      <c r="O24" s="5"/>
      <c r="P24" s="5"/>
      <c r="Q24" s="5"/>
      <c r="R24" s="5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41">
        <v>7.02719219E9</v>
      </c>
      <c r="B25" s="70" t="s">
        <v>152</v>
      </c>
      <c r="C25" s="43">
        <v>100.0</v>
      </c>
      <c r="D25" s="50">
        <v>112.0</v>
      </c>
      <c r="E25" s="43"/>
      <c r="F25" s="43"/>
      <c r="G25" s="50">
        <f t="shared" si="2"/>
        <v>0</v>
      </c>
      <c r="H25" s="51">
        <f t="shared" si="3"/>
        <v>4.821428571</v>
      </c>
      <c r="I25" s="55"/>
      <c r="J25" s="41"/>
      <c r="K25" s="5"/>
      <c r="L25" s="5"/>
      <c r="M25" s="5"/>
      <c r="N25" s="5"/>
      <c r="O25" s="5"/>
      <c r="P25" s="5"/>
      <c r="Q25" s="5"/>
      <c r="R25" s="5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41">
        <v>7.25102519E9</v>
      </c>
      <c r="B26" s="70" t="s">
        <v>157</v>
      </c>
      <c r="C26" s="43">
        <v>300.0</v>
      </c>
      <c r="D26" s="50">
        <v>112.0</v>
      </c>
      <c r="E26" s="43">
        <v>2250.0</v>
      </c>
      <c r="F26" s="66">
        <f>(E26+$I$5)+($K$2+E26*$M$2)</f>
        <v>2856.5</v>
      </c>
      <c r="G26" s="50">
        <f t="shared" si="2"/>
        <v>9.521666667</v>
      </c>
      <c r="H26" s="51">
        <f t="shared" si="3"/>
        <v>4.821428571</v>
      </c>
      <c r="I26" s="52">
        <v>10.0</v>
      </c>
      <c r="J26" s="41"/>
      <c r="K26" s="11"/>
      <c r="L26" s="5"/>
      <c r="M26" s="5"/>
      <c r="N26" s="5"/>
      <c r="O26" s="5"/>
      <c r="P26" s="5"/>
      <c r="Q26" s="5"/>
      <c r="R26" s="5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41">
        <v>8.89059519E9</v>
      </c>
      <c r="B27" s="70" t="s">
        <v>165</v>
      </c>
      <c r="C27" s="43">
        <v>100.0</v>
      </c>
      <c r="D27" s="50">
        <v>112.0</v>
      </c>
      <c r="E27" s="43"/>
      <c r="F27" s="43"/>
      <c r="G27" s="50">
        <f t="shared" si="2"/>
        <v>0</v>
      </c>
      <c r="H27" s="51">
        <f t="shared" si="3"/>
        <v>4.821428571</v>
      </c>
      <c r="I27" s="55"/>
      <c r="J27" s="41"/>
      <c r="K27" s="5"/>
      <c r="L27" s="5"/>
      <c r="M27" s="5"/>
      <c r="N27" s="5"/>
      <c r="O27" s="5"/>
      <c r="P27" s="5"/>
      <c r="Q27" s="5"/>
      <c r="R27" s="5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41">
        <v>8.86031919E9</v>
      </c>
      <c r="B28" s="70" t="s">
        <v>166</v>
      </c>
      <c r="C28" s="43">
        <v>100.0</v>
      </c>
      <c r="D28" s="50">
        <v>112.0</v>
      </c>
      <c r="E28" s="43"/>
      <c r="F28" s="43"/>
      <c r="G28" s="50">
        <f t="shared" si="2"/>
        <v>0</v>
      </c>
      <c r="H28" s="51">
        <f t="shared" si="3"/>
        <v>4.821428571</v>
      </c>
      <c r="I28" s="55"/>
      <c r="J28" s="41"/>
      <c r="K28" s="5"/>
      <c r="L28" s="5"/>
      <c r="M28" s="5"/>
      <c r="N28" s="5"/>
      <c r="O28" s="5"/>
      <c r="P28" s="5"/>
      <c r="Q28" s="5"/>
      <c r="R28" s="5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41">
        <v>8.86018119E9</v>
      </c>
      <c r="B29" s="70" t="s">
        <v>174</v>
      </c>
      <c r="C29" s="43">
        <v>100.0</v>
      </c>
      <c r="D29" s="50">
        <v>112.0</v>
      </c>
      <c r="E29" s="43"/>
      <c r="F29" s="43"/>
      <c r="G29" s="50">
        <f t="shared" si="2"/>
        <v>0</v>
      </c>
      <c r="H29" s="51">
        <f t="shared" si="3"/>
        <v>4.821428571</v>
      </c>
      <c r="I29" s="55"/>
      <c r="J29" s="41"/>
      <c r="K29" s="5"/>
      <c r="L29" s="5"/>
      <c r="M29" s="5"/>
      <c r="N29" s="5"/>
      <c r="O29" s="5"/>
      <c r="P29" s="5"/>
      <c r="Q29" s="5"/>
      <c r="R29" s="5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41">
        <v>7.02764819E9</v>
      </c>
      <c r="B30" s="70" t="s">
        <v>180</v>
      </c>
      <c r="C30" s="43">
        <v>100.0</v>
      </c>
      <c r="D30" s="50">
        <v>112.0</v>
      </c>
      <c r="E30" s="43"/>
      <c r="F30" s="43"/>
      <c r="G30" s="50">
        <f t="shared" si="2"/>
        <v>0</v>
      </c>
      <c r="H30" s="51">
        <f t="shared" si="3"/>
        <v>4.821428571</v>
      </c>
      <c r="I30" s="55"/>
      <c r="J30" s="41"/>
      <c r="K30" s="5"/>
      <c r="L30" s="5"/>
      <c r="M30" s="5"/>
      <c r="N30" s="5"/>
      <c r="O30" s="5"/>
      <c r="P30" s="5"/>
      <c r="Q30" s="5"/>
      <c r="R30" s="5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41">
        <v>7.02781819E9</v>
      </c>
      <c r="B31" s="70" t="s">
        <v>184</v>
      </c>
      <c r="C31" s="43">
        <v>100.0</v>
      </c>
      <c r="D31" s="50">
        <v>112.0</v>
      </c>
      <c r="E31" s="43"/>
      <c r="F31" s="43"/>
      <c r="G31" s="50">
        <f t="shared" si="2"/>
        <v>0</v>
      </c>
      <c r="H31" s="51">
        <f t="shared" si="3"/>
        <v>4.821428571</v>
      </c>
      <c r="I31" s="55"/>
      <c r="J31" s="41"/>
      <c r="K31" s="5"/>
      <c r="L31" s="5"/>
      <c r="M31" s="5"/>
      <c r="N31" s="5"/>
      <c r="O31" s="5"/>
      <c r="P31" s="5"/>
      <c r="Q31" s="5"/>
      <c r="R31" s="5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41">
        <v>7.02716819E9</v>
      </c>
      <c r="B32" s="70" t="s">
        <v>188</v>
      </c>
      <c r="C32" s="43">
        <v>100.0</v>
      </c>
      <c r="D32" s="50">
        <v>112.0</v>
      </c>
      <c r="E32" s="43">
        <v>225.0</v>
      </c>
      <c r="F32" s="66">
        <f t="shared" ref="F32:F34" si="6">(E32+$I$5)+($K$2+E32*$M$2)</f>
        <v>730.25</v>
      </c>
      <c r="G32" s="50">
        <f t="shared" si="2"/>
        <v>7.3025</v>
      </c>
      <c r="H32" s="51">
        <f t="shared" si="3"/>
        <v>4.821428571</v>
      </c>
      <c r="I32" s="52">
        <v>8.0</v>
      </c>
      <c r="J32" s="41"/>
      <c r="K32" s="11"/>
      <c r="L32" s="5"/>
      <c r="M32" s="5"/>
      <c r="N32" s="5"/>
      <c r="O32" s="5"/>
      <c r="P32" s="5"/>
      <c r="Q32" s="5"/>
      <c r="R32" s="5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41">
        <v>7.02755919E9</v>
      </c>
      <c r="B33" s="70" t="s">
        <v>192</v>
      </c>
      <c r="C33" s="43">
        <v>100.0</v>
      </c>
      <c r="D33" s="50">
        <v>112.0</v>
      </c>
      <c r="E33" s="43">
        <v>1550.0</v>
      </c>
      <c r="F33" s="66">
        <f t="shared" si="6"/>
        <v>2121.5</v>
      </c>
      <c r="G33" s="50">
        <f t="shared" si="2"/>
        <v>21.215</v>
      </c>
      <c r="H33" s="51">
        <f t="shared" si="3"/>
        <v>4.821428571</v>
      </c>
      <c r="I33" s="52">
        <v>22.0</v>
      </c>
      <c r="J33" s="41"/>
      <c r="K33" s="11"/>
      <c r="L33" s="5"/>
      <c r="M33" s="5"/>
      <c r="N33" s="5"/>
      <c r="O33" s="5"/>
      <c r="P33" s="5"/>
      <c r="Q33" s="5"/>
      <c r="R33" s="5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40">
        <v>7.02715019E9</v>
      </c>
      <c r="B34" s="70" t="s">
        <v>196</v>
      </c>
      <c r="C34" s="43">
        <v>300.0</v>
      </c>
      <c r="D34" s="50">
        <v>112.0</v>
      </c>
      <c r="E34" s="43">
        <v>750.0</v>
      </c>
      <c r="F34" s="66">
        <f t="shared" si="6"/>
        <v>1281.5</v>
      </c>
      <c r="G34" s="50">
        <f t="shared" si="2"/>
        <v>4.271666667</v>
      </c>
      <c r="H34" s="51">
        <f t="shared" si="3"/>
        <v>4.821428571</v>
      </c>
      <c r="I34" s="52">
        <v>5.0</v>
      </c>
      <c r="J34" s="41"/>
      <c r="K34" s="11"/>
      <c r="L34" s="5"/>
      <c r="M34" s="5"/>
      <c r="N34" s="5"/>
      <c r="O34" s="5"/>
      <c r="P34" s="5"/>
      <c r="Q34" s="5"/>
      <c r="R34" s="5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40">
        <v>7.68280819E9</v>
      </c>
      <c r="B35" s="70" t="s">
        <v>200</v>
      </c>
      <c r="C35" s="43">
        <v>300.0</v>
      </c>
      <c r="D35" s="50">
        <v>112.0</v>
      </c>
      <c r="E35" s="43"/>
      <c r="F35" s="43"/>
      <c r="G35" s="50">
        <f t="shared" si="2"/>
        <v>0</v>
      </c>
      <c r="H35" s="51">
        <f t="shared" si="3"/>
        <v>4.821428571</v>
      </c>
      <c r="I35" s="55"/>
      <c r="J35" s="41"/>
      <c r="K35" s="5"/>
      <c r="L35" s="5"/>
      <c r="M35" s="5"/>
      <c r="N35" s="5"/>
      <c r="O35" s="5"/>
      <c r="P35" s="5"/>
      <c r="Q35" s="5"/>
      <c r="R35" s="5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40">
        <v>8.94672819E9</v>
      </c>
      <c r="B36" s="70" t="s">
        <v>203</v>
      </c>
      <c r="C36" s="43">
        <v>100.0</v>
      </c>
      <c r="D36" s="50">
        <v>112.0</v>
      </c>
      <c r="E36" s="43">
        <v>150.0</v>
      </c>
      <c r="F36" s="66">
        <f t="shared" ref="F36:F37" si="7">(E36+$I$5)+($K$2+E36*$M$2)</f>
        <v>651.5</v>
      </c>
      <c r="G36" s="50">
        <f t="shared" si="2"/>
        <v>6.515</v>
      </c>
      <c r="H36" s="51">
        <f t="shared" si="3"/>
        <v>4.821428571</v>
      </c>
      <c r="I36" s="52">
        <v>5.0</v>
      </c>
      <c r="J36" s="41"/>
      <c r="K36" s="11"/>
      <c r="L36" s="5"/>
      <c r="M36" s="5"/>
      <c r="N36" s="5"/>
      <c r="O36" s="5"/>
      <c r="P36" s="5"/>
      <c r="Q36" s="5"/>
      <c r="R36" s="5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40">
        <v>7.02748619E9</v>
      </c>
      <c r="B37" s="70" t="s">
        <v>210</v>
      </c>
      <c r="C37" s="43">
        <v>100.0</v>
      </c>
      <c r="D37" s="50">
        <v>112.0</v>
      </c>
      <c r="E37" s="43">
        <v>150.0</v>
      </c>
      <c r="F37" s="66">
        <f t="shared" si="7"/>
        <v>651.5</v>
      </c>
      <c r="G37" s="50">
        <f t="shared" si="2"/>
        <v>6.515</v>
      </c>
      <c r="H37" s="51">
        <f t="shared" si="3"/>
        <v>4.821428571</v>
      </c>
      <c r="I37" s="52">
        <v>5.0</v>
      </c>
      <c r="J37" s="41"/>
      <c r="K37" s="11"/>
      <c r="L37" s="5"/>
      <c r="M37" s="5"/>
      <c r="N37" s="5"/>
      <c r="O37" s="5"/>
      <c r="P37" s="5"/>
      <c r="Q37" s="5"/>
      <c r="R37" s="5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40">
        <v>1.005952419E10</v>
      </c>
      <c r="B38" s="70" t="s">
        <v>217</v>
      </c>
      <c r="C38" s="43">
        <v>100.0</v>
      </c>
      <c r="D38" s="50">
        <v>112.0</v>
      </c>
      <c r="E38" s="43"/>
      <c r="F38" s="43"/>
      <c r="G38" s="50">
        <f t="shared" si="2"/>
        <v>0</v>
      </c>
      <c r="H38" s="51">
        <f t="shared" si="3"/>
        <v>4.821428571</v>
      </c>
      <c r="I38" s="55"/>
      <c r="J38" s="41"/>
      <c r="K38" s="5"/>
      <c r="L38" s="5"/>
      <c r="M38" s="5"/>
      <c r="N38" s="5"/>
      <c r="O38" s="5"/>
      <c r="P38" s="5"/>
      <c r="Q38" s="5"/>
      <c r="R38" s="5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72">
        <v>9.74486019E9</v>
      </c>
      <c r="B39" s="74" t="s">
        <v>222</v>
      </c>
      <c r="C39" s="75">
        <v>100.0</v>
      </c>
      <c r="D39" s="50">
        <v>112.0</v>
      </c>
      <c r="E39" s="43">
        <v>925.0</v>
      </c>
      <c r="F39" s="100">
        <f t="shared" ref="F39:F40" si="8">(E39+$I$4)+($K$2+E39*$M$2)</f>
        <v>1615.25</v>
      </c>
      <c r="G39" s="101">
        <f t="shared" si="2"/>
        <v>16.1525</v>
      </c>
      <c r="H39" s="51">
        <f t="shared" si="3"/>
        <v>4.821428571</v>
      </c>
      <c r="I39" s="52">
        <v>17.0</v>
      </c>
      <c r="J39" s="41"/>
      <c r="K39" s="11"/>
      <c r="L39" s="5"/>
      <c r="M39" s="5"/>
      <c r="N39" s="5"/>
      <c r="O39" s="5"/>
      <c r="P39" s="5"/>
      <c r="Q39" s="5"/>
      <c r="R39" s="5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41">
        <v>8.82861019E9</v>
      </c>
      <c r="B40" s="70" t="s">
        <v>233</v>
      </c>
      <c r="C40" s="43">
        <v>300.0</v>
      </c>
      <c r="D40" s="50">
        <v>112.0</v>
      </c>
      <c r="E40" s="43">
        <v>1125.0</v>
      </c>
      <c r="F40" s="43">
        <f t="shared" si="8"/>
        <v>1825.25</v>
      </c>
      <c r="G40" s="50">
        <f t="shared" si="2"/>
        <v>6.084166667</v>
      </c>
      <c r="H40" s="51">
        <f t="shared" si="3"/>
        <v>4.821428571</v>
      </c>
      <c r="I40" s="52">
        <v>7.0</v>
      </c>
      <c r="J40" s="41"/>
      <c r="K40" s="11"/>
      <c r="L40" s="5"/>
      <c r="M40" s="5"/>
      <c r="N40" s="5"/>
      <c r="O40" s="5"/>
      <c r="P40" s="5"/>
      <c r="Q40" s="5"/>
      <c r="R40" s="5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72">
        <v>9.73138519E9</v>
      </c>
      <c r="B41" s="74" t="s">
        <v>236</v>
      </c>
      <c r="C41" s="75">
        <v>100.0</v>
      </c>
      <c r="D41" s="50">
        <v>112.0</v>
      </c>
      <c r="E41" s="43">
        <v>50.0</v>
      </c>
      <c r="F41" s="43">
        <f>(E41+$I$6)+($K$2+E41*$M$2)</f>
        <v>376.5</v>
      </c>
      <c r="G41" s="50">
        <f t="shared" si="2"/>
        <v>3.765</v>
      </c>
      <c r="H41" s="51">
        <f t="shared" si="3"/>
        <v>4.821428571</v>
      </c>
      <c r="I41" s="52">
        <v>5.0</v>
      </c>
      <c r="J41" s="62"/>
      <c r="K41" s="11"/>
      <c r="L41" s="5"/>
      <c r="M41" s="5"/>
      <c r="N41" s="5"/>
      <c r="O41" s="5"/>
      <c r="P41" s="5"/>
      <c r="Q41" s="5"/>
      <c r="R41" s="5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41">
        <v>7.02707919E9</v>
      </c>
      <c r="B42" s="70" t="s">
        <v>244</v>
      </c>
      <c r="C42" s="43">
        <v>300.0</v>
      </c>
      <c r="D42" s="50">
        <v>112.0</v>
      </c>
      <c r="E42" s="43">
        <v>175.0</v>
      </c>
      <c r="F42" s="66">
        <f t="shared" ref="F42:F43" si="9">(E42+$I$5)+($K$2+E42*$M$2)</f>
        <v>677.75</v>
      </c>
      <c r="G42" s="50">
        <f t="shared" si="2"/>
        <v>2.259166667</v>
      </c>
      <c r="H42" s="51">
        <f t="shared" si="3"/>
        <v>4.821428571</v>
      </c>
      <c r="I42" s="52">
        <v>5.0</v>
      </c>
      <c r="J42" s="62" t="s">
        <v>99</v>
      </c>
      <c r="K42" s="11"/>
      <c r="L42" s="5"/>
      <c r="M42" s="5"/>
      <c r="N42" s="5"/>
      <c r="O42" s="5"/>
      <c r="P42" s="5"/>
      <c r="Q42" s="5"/>
      <c r="R42" s="5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41">
        <v>7.02698619E9</v>
      </c>
      <c r="B43" s="70" t="s">
        <v>252</v>
      </c>
      <c r="C43" s="43">
        <v>300.0</v>
      </c>
      <c r="D43" s="50">
        <v>112.0</v>
      </c>
      <c r="E43" s="43">
        <v>300.0</v>
      </c>
      <c r="F43" s="66">
        <f t="shared" si="9"/>
        <v>809</v>
      </c>
      <c r="G43" s="50">
        <f t="shared" si="2"/>
        <v>2.696666667</v>
      </c>
      <c r="H43" s="51">
        <f t="shared" si="3"/>
        <v>4.821428571</v>
      </c>
      <c r="I43" s="52">
        <v>5.0</v>
      </c>
      <c r="J43" s="62" t="s">
        <v>99</v>
      </c>
      <c r="K43" s="11"/>
      <c r="L43" s="5"/>
      <c r="M43" s="5"/>
      <c r="N43" s="5"/>
      <c r="O43" s="5"/>
      <c r="P43" s="5"/>
      <c r="Q43" s="5"/>
      <c r="R43" s="5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72">
        <v>9.75559419E9</v>
      </c>
      <c r="B44" s="74" t="s">
        <v>257</v>
      </c>
      <c r="C44" s="75">
        <v>100.0</v>
      </c>
      <c r="D44" s="50">
        <v>112.0</v>
      </c>
      <c r="E44" s="43">
        <v>50.0</v>
      </c>
      <c r="F44" s="43">
        <f>(E44+$I$6)+($K$2+E44*$M$2)</f>
        <v>376.5</v>
      </c>
      <c r="G44" s="50">
        <f t="shared" si="2"/>
        <v>3.765</v>
      </c>
      <c r="H44" s="51">
        <f t="shared" si="3"/>
        <v>4.821428571</v>
      </c>
      <c r="I44" s="52">
        <v>5.0</v>
      </c>
      <c r="J44" s="62"/>
      <c r="K44" s="11"/>
      <c r="L44" s="5"/>
      <c r="M44" s="5"/>
      <c r="N44" s="5"/>
      <c r="O44" s="5"/>
      <c r="P44" s="5"/>
      <c r="Q44" s="5"/>
      <c r="R44" s="5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41">
        <v>7.02702819E9</v>
      </c>
      <c r="B45" s="70" t="s">
        <v>264</v>
      </c>
      <c r="C45" s="43">
        <v>300.0</v>
      </c>
      <c r="D45" s="50">
        <v>112.0</v>
      </c>
      <c r="E45" s="43">
        <v>300.0</v>
      </c>
      <c r="F45" s="66">
        <f>(E45+$I$5)+($K$2+E45*$M$2)</f>
        <v>809</v>
      </c>
      <c r="G45" s="50">
        <f t="shared" si="2"/>
        <v>2.696666667</v>
      </c>
      <c r="H45" s="51">
        <f t="shared" si="3"/>
        <v>4.821428571</v>
      </c>
      <c r="I45" s="52">
        <v>5.0</v>
      </c>
      <c r="J45" s="62" t="s">
        <v>99</v>
      </c>
      <c r="K45" s="11"/>
      <c r="L45" s="5"/>
      <c r="M45" s="5"/>
      <c r="N45" s="5"/>
      <c r="O45" s="5"/>
      <c r="P45" s="5"/>
      <c r="Q45" s="5"/>
      <c r="R45" s="5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41">
        <v>7.29996619E9</v>
      </c>
      <c r="B46" s="70" t="s">
        <v>268</v>
      </c>
      <c r="C46" s="43">
        <v>300.0</v>
      </c>
      <c r="D46" s="50">
        <v>112.0</v>
      </c>
      <c r="E46" s="43"/>
      <c r="F46" s="43"/>
      <c r="G46" s="50">
        <f t="shared" si="2"/>
        <v>0</v>
      </c>
      <c r="H46" s="51">
        <f t="shared" si="3"/>
        <v>4.821428571</v>
      </c>
      <c r="I46" s="55"/>
      <c r="J46" s="41"/>
      <c r="K46" s="5"/>
      <c r="L46" s="5"/>
      <c r="M46" s="5"/>
      <c r="N46" s="5"/>
      <c r="O46" s="5"/>
      <c r="P46" s="5"/>
      <c r="Q46" s="5"/>
      <c r="R46" s="5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41">
        <v>9.00570619E9</v>
      </c>
      <c r="B47" s="70" t="s">
        <v>271</v>
      </c>
      <c r="C47" s="43">
        <v>300.0</v>
      </c>
      <c r="D47" s="50">
        <v>112.0</v>
      </c>
      <c r="E47" s="43"/>
      <c r="F47" s="43"/>
      <c r="G47" s="50">
        <f t="shared" si="2"/>
        <v>0</v>
      </c>
      <c r="H47" s="51">
        <f t="shared" si="3"/>
        <v>4.821428571</v>
      </c>
      <c r="I47" s="55"/>
      <c r="J47" s="41"/>
      <c r="K47" s="5"/>
      <c r="L47" s="5"/>
      <c r="M47" s="5"/>
      <c r="N47" s="5"/>
      <c r="P47" s="5"/>
      <c r="Q47" s="5"/>
      <c r="R47" s="5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41">
        <v>7.29998219E9</v>
      </c>
      <c r="B48" s="70" t="s">
        <v>273</v>
      </c>
      <c r="C48" s="43">
        <v>300.0</v>
      </c>
      <c r="D48" s="50">
        <v>112.0</v>
      </c>
      <c r="E48" s="43"/>
      <c r="F48" s="43"/>
      <c r="G48" s="50">
        <f t="shared" si="2"/>
        <v>0</v>
      </c>
      <c r="H48" s="51">
        <f t="shared" si="3"/>
        <v>4.821428571</v>
      </c>
      <c r="I48" s="55"/>
      <c r="J48" s="41"/>
      <c r="K48" s="5"/>
      <c r="L48" s="5"/>
      <c r="M48" s="5"/>
      <c r="N48" s="5"/>
      <c r="O48" s="5"/>
      <c r="P48" s="5"/>
      <c r="Q48" s="5"/>
      <c r="R48" s="5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41">
        <v>8.81732419E9</v>
      </c>
      <c r="B49" s="70" t="s">
        <v>277</v>
      </c>
      <c r="C49" s="43">
        <v>100.0</v>
      </c>
      <c r="D49" s="50">
        <v>112.0</v>
      </c>
      <c r="E49" s="43"/>
      <c r="F49" s="43"/>
      <c r="G49" s="50">
        <f t="shared" si="2"/>
        <v>0</v>
      </c>
      <c r="H49" s="51">
        <f t="shared" si="3"/>
        <v>4.821428571</v>
      </c>
      <c r="I49" s="55"/>
      <c r="J49" s="41"/>
      <c r="K49" s="5"/>
      <c r="L49" s="5"/>
      <c r="M49" s="5"/>
      <c r="N49" s="5"/>
      <c r="O49" s="5"/>
      <c r="P49" s="5"/>
      <c r="Q49" s="5"/>
      <c r="R49" s="5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41">
        <v>7.02747819E9</v>
      </c>
      <c r="B50" s="70" t="s">
        <v>281</v>
      </c>
      <c r="C50" s="43">
        <v>100.0</v>
      </c>
      <c r="D50" s="50">
        <v>112.0</v>
      </c>
      <c r="E50" s="43"/>
      <c r="F50" s="43"/>
      <c r="G50" s="50">
        <f t="shared" si="2"/>
        <v>0</v>
      </c>
      <c r="H50" s="51">
        <f t="shared" si="3"/>
        <v>4.821428571</v>
      </c>
      <c r="I50" s="55"/>
      <c r="J50" s="41"/>
      <c r="K50" s="5"/>
      <c r="L50" s="5"/>
      <c r="M50" s="5"/>
      <c r="N50" s="5"/>
      <c r="O50" s="5"/>
      <c r="P50" s="5"/>
      <c r="Q50" s="5"/>
      <c r="R50" s="5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41">
        <v>9.01504319E9</v>
      </c>
      <c r="B51" s="70" t="s">
        <v>284</v>
      </c>
      <c r="C51" s="43">
        <v>300.0</v>
      </c>
      <c r="D51" s="50">
        <v>112.0</v>
      </c>
      <c r="E51" s="43"/>
      <c r="F51" s="43"/>
      <c r="G51" s="50">
        <f t="shared" si="2"/>
        <v>0</v>
      </c>
      <c r="H51" s="51">
        <f t="shared" si="3"/>
        <v>4.821428571</v>
      </c>
      <c r="I51" s="55"/>
      <c r="J51" s="41"/>
      <c r="K51" s="5"/>
      <c r="L51" s="5"/>
      <c r="M51" s="5"/>
      <c r="N51" s="5"/>
      <c r="O51" s="5"/>
      <c r="P51" s="5"/>
      <c r="Q51" s="5"/>
      <c r="R51" s="5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41">
        <v>9.00769519E9</v>
      </c>
      <c r="B52" s="70" t="s">
        <v>287</v>
      </c>
      <c r="C52" s="43">
        <v>100.0</v>
      </c>
      <c r="D52" s="50">
        <v>112.0</v>
      </c>
      <c r="E52" s="43"/>
      <c r="F52" s="43"/>
      <c r="G52" s="50">
        <f t="shared" si="2"/>
        <v>0</v>
      </c>
      <c r="H52" s="51">
        <f t="shared" si="3"/>
        <v>4.821428571</v>
      </c>
      <c r="I52" s="55"/>
      <c r="J52" s="41"/>
      <c r="K52" s="5"/>
      <c r="L52" s="5"/>
      <c r="M52" s="5"/>
      <c r="N52" s="5"/>
      <c r="O52" s="5"/>
      <c r="P52" s="5"/>
      <c r="Q52" s="5"/>
      <c r="R52" s="5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41">
        <v>7.02825319E9</v>
      </c>
      <c r="B53" s="70" t="s">
        <v>290</v>
      </c>
      <c r="C53" s="43">
        <v>100.0</v>
      </c>
      <c r="D53" s="50">
        <v>112.0</v>
      </c>
      <c r="E53" s="43"/>
      <c r="F53" s="43"/>
      <c r="G53" s="50">
        <f t="shared" si="2"/>
        <v>0</v>
      </c>
      <c r="H53" s="51">
        <f t="shared" si="3"/>
        <v>4.821428571</v>
      </c>
      <c r="I53" s="55"/>
      <c r="J53" s="41"/>
      <c r="K53" s="5"/>
      <c r="L53" s="5"/>
      <c r="M53" s="5"/>
      <c r="N53" s="5"/>
      <c r="O53" s="5"/>
      <c r="P53" s="5"/>
      <c r="Q53" s="5"/>
      <c r="R53" s="5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41">
        <v>7.02721419E9</v>
      </c>
      <c r="B54" s="70" t="s">
        <v>294</v>
      </c>
      <c r="C54" s="43">
        <v>100.0</v>
      </c>
      <c r="D54" s="50">
        <v>112.0</v>
      </c>
      <c r="E54" s="43"/>
      <c r="F54" s="43"/>
      <c r="G54" s="50">
        <f t="shared" si="2"/>
        <v>0</v>
      </c>
      <c r="H54" s="51">
        <f t="shared" si="3"/>
        <v>4.821428571</v>
      </c>
      <c r="I54" s="55"/>
      <c r="J54" s="41"/>
      <c r="K54" s="5"/>
      <c r="L54" s="5"/>
      <c r="M54" s="5"/>
      <c r="N54" s="5"/>
      <c r="O54" s="5"/>
      <c r="P54" s="5"/>
      <c r="Q54" s="5"/>
      <c r="R54" s="5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41">
        <v>7.02708719E9</v>
      </c>
      <c r="B55" s="70" t="s">
        <v>298</v>
      </c>
      <c r="C55" s="43">
        <v>100.0</v>
      </c>
      <c r="D55" s="50">
        <v>112.0</v>
      </c>
      <c r="E55" s="43"/>
      <c r="F55" s="43"/>
      <c r="G55" s="50">
        <f t="shared" si="2"/>
        <v>0</v>
      </c>
      <c r="H55" s="51">
        <f t="shared" si="3"/>
        <v>4.821428571</v>
      </c>
      <c r="I55" s="55"/>
      <c r="J55" s="41"/>
      <c r="K55" s="5"/>
      <c r="L55" s="5"/>
      <c r="M55" s="5"/>
      <c r="N55" s="5"/>
      <c r="O55" s="5"/>
      <c r="Q55" s="5"/>
      <c r="R55" s="5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41">
        <v>7.02758319E9</v>
      </c>
      <c r="B56" s="70" t="s">
        <v>303</v>
      </c>
      <c r="C56" s="43">
        <v>100.0</v>
      </c>
      <c r="D56" s="50">
        <v>112.0</v>
      </c>
      <c r="E56" s="43"/>
      <c r="F56" s="43"/>
      <c r="G56" s="50">
        <f t="shared" si="2"/>
        <v>0</v>
      </c>
      <c r="H56" s="51">
        <f t="shared" si="3"/>
        <v>4.821428571</v>
      </c>
      <c r="I56" s="55"/>
      <c r="J56" s="41"/>
      <c r="K56" s="5"/>
      <c r="L56" s="5"/>
      <c r="M56" s="5"/>
      <c r="N56" s="5"/>
      <c r="O56" s="5"/>
      <c r="P56" s="5"/>
      <c r="Q56" s="5"/>
      <c r="R56" s="5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41">
        <v>8.94680919E9</v>
      </c>
      <c r="B57" s="70" t="s">
        <v>305</v>
      </c>
      <c r="C57" s="43">
        <v>100.0</v>
      </c>
      <c r="D57" s="50">
        <v>112.0</v>
      </c>
      <c r="E57" s="43"/>
      <c r="F57" s="43"/>
      <c r="G57" s="50">
        <f t="shared" si="2"/>
        <v>0</v>
      </c>
      <c r="H57" s="51">
        <f t="shared" si="3"/>
        <v>4.821428571</v>
      </c>
      <c r="I57" s="55"/>
      <c r="J57" s="41"/>
      <c r="K57" s="5"/>
      <c r="L57" s="5"/>
      <c r="M57" s="5"/>
      <c r="N57" s="5"/>
      <c r="O57" s="5"/>
      <c r="P57" s="5"/>
      <c r="Q57" s="5"/>
      <c r="R57" s="5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41">
        <v>9.31535719E9</v>
      </c>
      <c r="B58" s="70" t="s">
        <v>307</v>
      </c>
      <c r="C58" s="43">
        <v>300.0</v>
      </c>
      <c r="D58" s="50">
        <v>112.0</v>
      </c>
      <c r="E58" s="43"/>
      <c r="F58" s="43"/>
      <c r="G58" s="50">
        <f t="shared" si="2"/>
        <v>0</v>
      </c>
      <c r="H58" s="51">
        <f t="shared" si="3"/>
        <v>4.821428571</v>
      </c>
      <c r="I58" s="55"/>
      <c r="J58" s="41"/>
      <c r="K58" s="5"/>
      <c r="L58" s="5"/>
      <c r="M58" s="5"/>
      <c r="N58" s="5"/>
      <c r="O58" s="5"/>
      <c r="P58" s="5"/>
      <c r="Q58" s="5"/>
      <c r="R58" s="5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41">
        <v>7.02805919E9</v>
      </c>
      <c r="B59" s="70" t="s">
        <v>308</v>
      </c>
      <c r="C59" s="43">
        <v>300.0</v>
      </c>
      <c r="D59" s="50">
        <v>112.0</v>
      </c>
      <c r="E59" s="43">
        <v>1050.0</v>
      </c>
      <c r="F59" s="43">
        <f>(E59+$I$4)+($K$2+E59*$M$2)</f>
        <v>1746.5</v>
      </c>
      <c r="G59" s="50">
        <f t="shared" si="2"/>
        <v>5.821666667</v>
      </c>
      <c r="H59" s="51">
        <f t="shared" si="3"/>
        <v>4.821428571</v>
      </c>
      <c r="I59" s="52">
        <v>6.0</v>
      </c>
      <c r="J59" s="41"/>
      <c r="K59" s="11"/>
      <c r="L59" s="5"/>
      <c r="M59" s="5"/>
      <c r="N59" s="5"/>
      <c r="O59" s="5"/>
      <c r="P59" s="5"/>
      <c r="Q59" s="5"/>
      <c r="R59" s="5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110" t="s">
        <v>315</v>
      </c>
      <c r="B60" s="112" t="s">
        <v>317</v>
      </c>
      <c r="C60" s="43">
        <v>300.0</v>
      </c>
      <c r="D60" s="50">
        <v>112.0</v>
      </c>
      <c r="E60" s="43"/>
      <c r="F60" s="43"/>
      <c r="G60" s="50">
        <f t="shared" si="2"/>
        <v>0</v>
      </c>
      <c r="H60" s="51">
        <f t="shared" si="3"/>
        <v>4.821428571</v>
      </c>
      <c r="I60" s="55"/>
      <c r="J60" s="41"/>
      <c r="K60" s="5"/>
      <c r="L60" s="5"/>
      <c r="M60" s="5"/>
      <c r="N60" s="5"/>
      <c r="O60" s="5"/>
      <c r="P60" s="5"/>
      <c r="Q60" s="5"/>
      <c r="R60" s="5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41">
        <v>9.00567619E9</v>
      </c>
      <c r="B61" s="70" t="s">
        <v>320</v>
      </c>
      <c r="C61" s="43">
        <v>100.0</v>
      </c>
      <c r="D61" s="50">
        <v>112.0</v>
      </c>
      <c r="E61" s="43"/>
      <c r="F61" s="43"/>
      <c r="G61" s="50">
        <f t="shared" si="2"/>
        <v>0</v>
      </c>
      <c r="H61" s="51">
        <f t="shared" si="3"/>
        <v>4.821428571</v>
      </c>
      <c r="I61" s="55"/>
      <c r="J61" s="41"/>
      <c r="K61" s="5"/>
      <c r="L61" s="5"/>
      <c r="M61" s="5"/>
      <c r="N61" s="5"/>
      <c r="O61" s="5"/>
      <c r="P61" s="5"/>
      <c r="Q61" s="5"/>
      <c r="R61" s="5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41">
        <v>9.01561219E9</v>
      </c>
      <c r="B62" s="70" t="s">
        <v>322</v>
      </c>
      <c r="C62" s="43">
        <v>100.0</v>
      </c>
      <c r="D62" s="50">
        <v>112.0</v>
      </c>
      <c r="E62" s="43"/>
      <c r="F62" s="43"/>
      <c r="G62" s="50">
        <f t="shared" si="2"/>
        <v>0</v>
      </c>
      <c r="H62" s="51">
        <f t="shared" si="3"/>
        <v>4.821428571</v>
      </c>
      <c r="I62" s="55"/>
      <c r="J62" s="41"/>
      <c r="K62" s="5"/>
      <c r="L62" s="5"/>
      <c r="M62" s="5"/>
      <c r="N62" s="5"/>
      <c r="O62" s="5"/>
      <c r="P62" s="5"/>
      <c r="Q62" s="5"/>
      <c r="R62" s="5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41">
        <v>7.02727319E9</v>
      </c>
      <c r="B63" s="41" t="s">
        <v>326</v>
      </c>
      <c r="C63" s="43">
        <v>300.0</v>
      </c>
      <c r="D63" s="50">
        <v>112.0</v>
      </c>
      <c r="E63" s="43">
        <v>350.0</v>
      </c>
      <c r="F63" s="43">
        <f>(E63+$I$4)+($K$2+E63*$M$2)</f>
        <v>1011.5</v>
      </c>
      <c r="G63" s="50">
        <f t="shared" si="2"/>
        <v>3.371666667</v>
      </c>
      <c r="H63" s="51">
        <f t="shared" si="3"/>
        <v>4.821428571</v>
      </c>
      <c r="I63" s="52">
        <v>5.0</v>
      </c>
      <c r="J63" s="41"/>
      <c r="K63" s="11"/>
      <c r="L63" s="5"/>
      <c r="M63" s="5"/>
      <c r="N63" s="5"/>
      <c r="O63" s="5"/>
      <c r="P63" s="5"/>
      <c r="Q63" s="5"/>
      <c r="R63" s="5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41">
        <v>7.02729019E9</v>
      </c>
      <c r="B64" s="41" t="s">
        <v>333</v>
      </c>
      <c r="C64" s="43">
        <v>300.0</v>
      </c>
      <c r="D64" s="50">
        <v>112.0</v>
      </c>
      <c r="E64" s="75">
        <v>150.0</v>
      </c>
      <c r="F64" s="66">
        <f t="shared" ref="F64:F65" si="10">(E64+$I$5)+($K$2+E64*$M$2)</f>
        <v>651.5</v>
      </c>
      <c r="G64" s="50">
        <f t="shared" si="2"/>
        <v>2.171666667</v>
      </c>
      <c r="H64" s="51">
        <f t="shared" si="3"/>
        <v>4.821428571</v>
      </c>
      <c r="I64" s="52">
        <v>5.0</v>
      </c>
      <c r="J64" s="62" t="s">
        <v>99</v>
      </c>
      <c r="K64" s="11"/>
      <c r="L64" s="5"/>
      <c r="M64" s="5"/>
      <c r="N64" s="5"/>
      <c r="O64" s="5"/>
      <c r="P64" s="5"/>
      <c r="Q64" s="5"/>
      <c r="R64" s="5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41">
        <v>7.02812119E9</v>
      </c>
      <c r="B65" s="41" t="s">
        <v>338</v>
      </c>
      <c r="C65" s="43">
        <v>300.0</v>
      </c>
      <c r="D65" s="50">
        <v>112.0</v>
      </c>
      <c r="E65" s="43">
        <v>450.0</v>
      </c>
      <c r="F65" s="66">
        <f t="shared" si="10"/>
        <v>966.5</v>
      </c>
      <c r="G65" s="50">
        <f t="shared" si="2"/>
        <v>3.221666667</v>
      </c>
      <c r="H65" s="51">
        <f t="shared" si="3"/>
        <v>4.821428571</v>
      </c>
      <c r="I65" s="52">
        <v>5.0</v>
      </c>
      <c r="J65" s="41"/>
      <c r="K65" s="11"/>
      <c r="L65" s="5"/>
      <c r="M65" s="5"/>
      <c r="N65" s="5"/>
      <c r="O65" s="5"/>
      <c r="P65" s="5"/>
      <c r="Q65" s="5"/>
      <c r="R65" s="5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41">
        <v>7.71325819E9</v>
      </c>
      <c r="B66" s="41" t="s">
        <v>343</v>
      </c>
      <c r="C66" s="43">
        <v>300.0</v>
      </c>
      <c r="D66" s="50">
        <v>112.0</v>
      </c>
      <c r="E66" s="43"/>
      <c r="F66" s="43"/>
      <c r="G66" s="50">
        <f t="shared" si="2"/>
        <v>0</v>
      </c>
      <c r="H66" s="51">
        <f t="shared" si="3"/>
        <v>4.821428571</v>
      </c>
      <c r="I66" s="55"/>
      <c r="J66" s="41"/>
      <c r="K66" s="5"/>
      <c r="L66" s="5"/>
      <c r="M66" s="5"/>
      <c r="N66" s="5"/>
      <c r="O66" s="5"/>
      <c r="P66" s="5"/>
      <c r="Q66" s="5"/>
      <c r="R66" s="5"/>
      <c r="S66" s="7"/>
      <c r="T66" s="7"/>
      <c r="U66" s="7"/>
      <c r="V66" s="7"/>
      <c r="Y66" s="7"/>
      <c r="Z66" s="7"/>
      <c r="AA66" s="7"/>
    </row>
    <row r="67" ht="15.75" customHeight="1">
      <c r="A67" s="33">
        <v>7.02751619E9</v>
      </c>
      <c r="B67" s="41" t="s">
        <v>347</v>
      </c>
      <c r="C67" s="43">
        <v>100.0</v>
      </c>
      <c r="D67" s="50">
        <v>112.0</v>
      </c>
      <c r="E67" s="43">
        <v>270.0</v>
      </c>
      <c r="F67" s="66">
        <f t="shared" ref="F67:F68" si="11">(E67+$I$5)+($K$2+E67*$M$2)</f>
        <v>777.5</v>
      </c>
      <c r="G67" s="50">
        <f t="shared" si="2"/>
        <v>7.775</v>
      </c>
      <c r="H67" s="51">
        <f t="shared" si="3"/>
        <v>4.821428571</v>
      </c>
      <c r="I67" s="52">
        <v>8.0</v>
      </c>
      <c r="J67" s="41"/>
      <c r="K67" s="11"/>
      <c r="L67" s="5"/>
      <c r="M67" s="5"/>
      <c r="N67" s="5"/>
      <c r="O67" s="5"/>
      <c r="P67" s="5"/>
      <c r="Q67" s="5"/>
      <c r="R67" s="5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2">
        <v>9.74443619E9</v>
      </c>
      <c r="B68" s="62" t="s">
        <v>354</v>
      </c>
      <c r="C68" s="75">
        <v>100.0</v>
      </c>
      <c r="D68" s="50">
        <v>112.0</v>
      </c>
      <c r="E68" s="43">
        <v>375.0</v>
      </c>
      <c r="F68" s="66">
        <f t="shared" si="11"/>
        <v>887.75</v>
      </c>
      <c r="G68" s="50">
        <f t="shared" si="2"/>
        <v>8.8775</v>
      </c>
      <c r="H68" s="51">
        <f t="shared" si="3"/>
        <v>4.821428571</v>
      </c>
      <c r="I68" s="52">
        <v>9.0</v>
      </c>
      <c r="J68" s="62"/>
      <c r="K68" s="11"/>
      <c r="L68" s="5"/>
      <c r="M68" s="5"/>
      <c r="N68" s="5"/>
      <c r="O68" s="5"/>
      <c r="P68" s="5"/>
      <c r="Q68" s="5"/>
      <c r="R68" s="5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33">
        <v>9.00576519E9</v>
      </c>
      <c r="B69" s="41" t="s">
        <v>361</v>
      </c>
      <c r="C69" s="43">
        <v>100.0</v>
      </c>
      <c r="D69" s="50">
        <v>112.0</v>
      </c>
      <c r="E69" s="43"/>
      <c r="F69" s="43"/>
      <c r="G69" s="50">
        <f t="shared" si="2"/>
        <v>0</v>
      </c>
      <c r="H69" s="51">
        <f t="shared" si="3"/>
        <v>4.821428571</v>
      </c>
      <c r="I69" s="55"/>
      <c r="J69" s="41"/>
      <c r="K69" s="5"/>
      <c r="L69" s="5"/>
      <c r="M69" s="5"/>
      <c r="N69" s="5"/>
      <c r="O69" s="5"/>
      <c r="P69" s="5"/>
      <c r="Q69" s="5"/>
      <c r="R69" s="5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33">
        <v>7.02794019E9</v>
      </c>
      <c r="B70" s="41" t="s">
        <v>365</v>
      </c>
      <c r="C70" s="43">
        <v>100.0</v>
      </c>
      <c r="D70" s="50">
        <v>112.0</v>
      </c>
      <c r="E70" s="43"/>
      <c r="F70" s="43"/>
      <c r="G70" s="50">
        <f t="shared" si="2"/>
        <v>0</v>
      </c>
      <c r="H70" s="51">
        <f t="shared" si="3"/>
        <v>4.821428571</v>
      </c>
      <c r="I70" s="55"/>
      <c r="J70" s="41"/>
      <c r="K70" s="5"/>
      <c r="L70" s="5"/>
      <c r="M70" s="5"/>
      <c r="N70" s="5"/>
      <c r="Q70" s="5"/>
      <c r="R70" s="5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121" t="s">
        <v>368</v>
      </c>
      <c r="B71" s="114" t="s">
        <v>372</v>
      </c>
      <c r="C71" s="43">
        <v>100.0</v>
      </c>
      <c r="D71" s="50">
        <v>112.0</v>
      </c>
      <c r="E71" s="43"/>
      <c r="F71" s="43"/>
      <c r="G71" s="50">
        <f t="shared" si="2"/>
        <v>0</v>
      </c>
      <c r="H71" s="51">
        <f t="shared" si="3"/>
        <v>4.821428571</v>
      </c>
      <c r="I71" s="55"/>
      <c r="J71" s="41"/>
      <c r="K71" s="5"/>
      <c r="L71" s="5"/>
      <c r="M71" s="5"/>
      <c r="N71" s="5"/>
      <c r="O71" s="5"/>
      <c r="P71" s="5"/>
      <c r="Q71" s="5"/>
      <c r="R71" s="5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33">
        <v>7.02759119E9</v>
      </c>
      <c r="B72" s="41" t="s">
        <v>376</v>
      </c>
      <c r="C72" s="43">
        <v>100.0</v>
      </c>
      <c r="D72" s="50">
        <v>112.0</v>
      </c>
      <c r="E72" s="43"/>
      <c r="F72" s="43"/>
      <c r="G72" s="50">
        <f t="shared" si="2"/>
        <v>0</v>
      </c>
      <c r="H72" s="51">
        <f t="shared" si="3"/>
        <v>4.821428571</v>
      </c>
      <c r="I72" s="55"/>
      <c r="J72" s="41"/>
      <c r="K72" s="5"/>
      <c r="L72" s="5"/>
      <c r="M72" s="5"/>
      <c r="N72" s="5"/>
      <c r="O72" s="5"/>
      <c r="P72" s="5"/>
      <c r="Q72" s="5"/>
      <c r="R72" s="5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121" t="s">
        <v>379</v>
      </c>
      <c r="B73" s="114" t="s">
        <v>381</v>
      </c>
      <c r="C73" s="43">
        <v>100.0</v>
      </c>
      <c r="D73" s="50">
        <v>112.0</v>
      </c>
      <c r="E73" s="43">
        <v>465.0</v>
      </c>
      <c r="F73" s="66">
        <f>(E73+$I$5)+($K$2+E73*$M$2)</f>
        <v>982.25</v>
      </c>
      <c r="G73" s="50">
        <f t="shared" si="2"/>
        <v>9.8225</v>
      </c>
      <c r="H73" s="51">
        <f t="shared" si="3"/>
        <v>4.821428571</v>
      </c>
      <c r="I73" s="52">
        <v>10.0</v>
      </c>
      <c r="J73" s="41"/>
      <c r="K73" s="11"/>
      <c r="L73" s="5"/>
      <c r="M73" s="5"/>
      <c r="N73" s="5"/>
      <c r="O73" s="5"/>
      <c r="P73" s="5"/>
      <c r="Q73" s="5"/>
      <c r="R73" s="5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121" t="s">
        <v>385</v>
      </c>
      <c r="B74" s="114" t="s">
        <v>386</v>
      </c>
      <c r="C74" s="43">
        <v>300.0</v>
      </c>
      <c r="D74" s="50">
        <v>112.0</v>
      </c>
      <c r="E74" s="43">
        <v>3000.0</v>
      </c>
      <c r="F74" s="43">
        <f>(E74+$I$4)+($K$2+E74*$M$2)</f>
        <v>3794</v>
      </c>
      <c r="G74" s="50">
        <f t="shared" si="2"/>
        <v>12.64666667</v>
      </c>
      <c r="H74" s="51">
        <f t="shared" si="3"/>
        <v>4.821428571</v>
      </c>
      <c r="I74" s="52">
        <v>13.0</v>
      </c>
      <c r="J74" s="41"/>
      <c r="K74" s="5"/>
      <c r="L74" s="5"/>
      <c r="M74" s="5"/>
      <c r="N74" s="5"/>
      <c r="O74" s="5"/>
      <c r="P74" s="5"/>
      <c r="Q74" s="5"/>
      <c r="R74" s="5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33">
        <v>9.03808619E9</v>
      </c>
      <c r="B75" s="41" t="s">
        <v>390</v>
      </c>
      <c r="C75" s="43">
        <v>300.0</v>
      </c>
      <c r="D75" s="50">
        <v>77.0</v>
      </c>
      <c r="E75" s="43">
        <v>375.0</v>
      </c>
      <c r="F75" s="66">
        <f>(E75+$I$5)+($K$2+E75*$M$2)</f>
        <v>887.75</v>
      </c>
      <c r="G75" s="50">
        <f t="shared" si="2"/>
        <v>2.959166667</v>
      </c>
      <c r="H75" s="51">
        <f t="shared" si="3"/>
        <v>7.012987013</v>
      </c>
      <c r="I75" s="52">
        <v>7.0</v>
      </c>
      <c r="J75" s="62" t="s">
        <v>99</v>
      </c>
      <c r="K75" s="11"/>
      <c r="L75" s="5"/>
      <c r="M75" s="5"/>
      <c r="N75" s="5"/>
      <c r="O75" s="5"/>
      <c r="P75" s="5"/>
      <c r="Q75" s="5"/>
      <c r="R75" s="5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33">
        <v>7.47591819E9</v>
      </c>
      <c r="B76" s="41" t="s">
        <v>398</v>
      </c>
      <c r="C76" s="43">
        <v>100.0</v>
      </c>
      <c r="D76" s="50">
        <v>112.0</v>
      </c>
      <c r="E76" s="43"/>
      <c r="F76" s="43"/>
      <c r="G76" s="50">
        <f t="shared" si="2"/>
        <v>0</v>
      </c>
      <c r="H76" s="51">
        <f t="shared" si="3"/>
        <v>4.821428571</v>
      </c>
      <c r="I76" s="55"/>
      <c r="J76" s="41"/>
      <c r="K76" s="5"/>
      <c r="L76" s="5"/>
      <c r="M76" s="5"/>
      <c r="N76" s="5"/>
      <c r="O76" s="5"/>
      <c r="P76" s="5"/>
      <c r="Q76" s="5"/>
      <c r="R76" s="5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33">
        <v>7.57472019E9</v>
      </c>
      <c r="B77" s="41" t="s">
        <v>402</v>
      </c>
      <c r="C77" s="43">
        <v>100.0</v>
      </c>
      <c r="D77" s="50">
        <v>112.0</v>
      </c>
      <c r="E77" s="43"/>
      <c r="F77" s="43"/>
      <c r="G77" s="50">
        <f t="shared" si="2"/>
        <v>0</v>
      </c>
      <c r="H77" s="51">
        <f t="shared" si="3"/>
        <v>4.821428571</v>
      </c>
      <c r="I77" s="55"/>
      <c r="J77" s="41"/>
      <c r="K77" s="5"/>
      <c r="L77" s="5"/>
      <c r="M77" s="5"/>
      <c r="N77" s="5"/>
      <c r="O77" s="5"/>
      <c r="P77" s="5"/>
      <c r="Q77" s="5"/>
      <c r="R77" s="5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33">
        <v>8.83697319E9</v>
      </c>
      <c r="B78" s="41" t="s">
        <v>403</v>
      </c>
      <c r="C78" s="43">
        <v>300.0</v>
      </c>
      <c r="D78" s="50">
        <v>112.0</v>
      </c>
      <c r="E78" s="43"/>
      <c r="F78" s="43"/>
      <c r="G78" s="50">
        <f t="shared" si="2"/>
        <v>0</v>
      </c>
      <c r="H78" s="51">
        <f t="shared" si="3"/>
        <v>4.821428571</v>
      </c>
      <c r="I78" s="55"/>
      <c r="J78" s="41"/>
      <c r="K78" s="5"/>
      <c r="L78" s="5"/>
      <c r="M78" s="5"/>
      <c r="N78" s="5"/>
      <c r="O78" s="5"/>
      <c r="P78" s="5"/>
      <c r="Q78" s="5"/>
      <c r="R78" s="5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33">
        <v>8.11069719E9</v>
      </c>
      <c r="B79" s="41" t="s">
        <v>408</v>
      </c>
      <c r="C79" s="43">
        <v>300.0</v>
      </c>
      <c r="D79" s="50">
        <v>31.0</v>
      </c>
      <c r="E79" s="43"/>
      <c r="F79" s="43"/>
      <c r="G79" s="50">
        <f t="shared" si="2"/>
        <v>0</v>
      </c>
      <c r="H79" s="51">
        <f t="shared" si="3"/>
        <v>17.41935484</v>
      </c>
      <c r="I79" s="55"/>
      <c r="J79" s="41"/>
      <c r="K79" s="5"/>
      <c r="L79" s="5"/>
      <c r="M79" s="5"/>
      <c r="N79" s="5"/>
      <c r="O79" s="5"/>
      <c r="P79" s="5"/>
      <c r="Q79" s="5"/>
      <c r="R79" s="5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33">
        <v>8.08666419E9</v>
      </c>
      <c r="B80" s="41" t="s">
        <v>413</v>
      </c>
      <c r="C80" s="43">
        <v>300.0</v>
      </c>
      <c r="D80" s="50">
        <v>112.0</v>
      </c>
      <c r="E80" s="43"/>
      <c r="F80" s="43"/>
      <c r="G80" s="50">
        <f t="shared" si="2"/>
        <v>0</v>
      </c>
      <c r="H80" s="51">
        <f t="shared" si="3"/>
        <v>4.821428571</v>
      </c>
      <c r="I80" s="55"/>
      <c r="J80" s="41"/>
      <c r="K80" s="5"/>
      <c r="L80" s="5"/>
      <c r="M80" s="5"/>
      <c r="N80" s="5"/>
      <c r="O80" s="5"/>
      <c r="P80" s="5"/>
      <c r="Q80" s="5"/>
      <c r="R80" s="5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33">
        <v>7.02677319E9</v>
      </c>
      <c r="B81" s="41" t="s">
        <v>417</v>
      </c>
      <c r="C81" s="43">
        <v>300.0</v>
      </c>
      <c r="D81" s="50">
        <v>112.0</v>
      </c>
      <c r="E81" s="43"/>
      <c r="F81" s="43"/>
      <c r="G81" s="50">
        <f t="shared" si="2"/>
        <v>0</v>
      </c>
      <c r="H81" s="51">
        <f t="shared" si="3"/>
        <v>4.821428571</v>
      </c>
      <c r="I81" s="55"/>
      <c r="J81" s="41"/>
      <c r="K81" s="5"/>
      <c r="L81" s="5"/>
      <c r="M81" s="5"/>
      <c r="N81" s="5"/>
      <c r="O81" s="5"/>
      <c r="P81" s="5"/>
      <c r="Q81" s="5"/>
      <c r="R81" s="5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33">
        <v>8.81484819E9</v>
      </c>
      <c r="B82" s="41" t="s">
        <v>421</v>
      </c>
      <c r="C82" s="43">
        <v>300.0</v>
      </c>
      <c r="D82" s="50">
        <v>112.0</v>
      </c>
      <c r="E82" s="43">
        <v>75.0</v>
      </c>
      <c r="F82" s="43">
        <f t="shared" ref="F82:F83" si="12">(E82+$I$6)+($K$2+E82*$M$2)</f>
        <v>402.75</v>
      </c>
      <c r="G82" s="50">
        <f t="shared" si="2"/>
        <v>1.3425</v>
      </c>
      <c r="H82" s="51">
        <f t="shared" si="3"/>
        <v>4.821428571</v>
      </c>
      <c r="I82" s="52">
        <v>5.0</v>
      </c>
      <c r="J82" s="62" t="s">
        <v>99</v>
      </c>
      <c r="K82" s="5"/>
      <c r="L82" s="5"/>
      <c r="M82" s="5"/>
      <c r="N82" s="5"/>
      <c r="O82" s="5"/>
      <c r="P82" s="5"/>
      <c r="Q82" s="5"/>
      <c r="R82" s="5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33">
        <v>8.49861019E9</v>
      </c>
      <c r="B83" s="41" t="s">
        <v>429</v>
      </c>
      <c r="C83" s="43">
        <v>300.0</v>
      </c>
      <c r="D83" s="50">
        <v>112.0</v>
      </c>
      <c r="E83" s="43">
        <v>45.0</v>
      </c>
      <c r="F83" s="43">
        <f t="shared" si="12"/>
        <v>371.25</v>
      </c>
      <c r="G83" s="50">
        <f t="shared" si="2"/>
        <v>1.2375</v>
      </c>
      <c r="H83" s="51">
        <f t="shared" si="3"/>
        <v>4.821428571</v>
      </c>
      <c r="I83" s="52">
        <v>5.0</v>
      </c>
      <c r="J83" s="62" t="s">
        <v>99</v>
      </c>
      <c r="K83" s="5"/>
      <c r="L83" s="5"/>
      <c r="M83" s="5"/>
      <c r="N83" s="5"/>
      <c r="O83" s="5"/>
      <c r="P83" s="5"/>
      <c r="Q83" s="5"/>
      <c r="R83" s="5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33">
        <v>7.02742719E9</v>
      </c>
      <c r="B84" s="41" t="s">
        <v>431</v>
      </c>
      <c r="C84" s="43">
        <v>300.0</v>
      </c>
      <c r="D84" s="50">
        <v>112.0</v>
      </c>
      <c r="E84" s="43">
        <v>75.0</v>
      </c>
      <c r="F84" s="66">
        <f>(E84+$I$5)+($K$2+E84*$M$2)</f>
        <v>572.75</v>
      </c>
      <c r="G84" s="50">
        <f t="shared" si="2"/>
        <v>1.909166667</v>
      </c>
      <c r="H84" s="51">
        <f t="shared" si="3"/>
        <v>4.821428571</v>
      </c>
      <c r="I84" s="52">
        <v>5.0</v>
      </c>
      <c r="J84" s="62" t="s">
        <v>99</v>
      </c>
      <c r="K84" s="5"/>
      <c r="L84" s="5"/>
      <c r="M84" s="5"/>
      <c r="N84" s="5"/>
      <c r="O84" s="5"/>
      <c r="P84" s="5"/>
      <c r="Q84" s="5"/>
      <c r="R84" s="5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33">
        <v>7.02683819E9</v>
      </c>
      <c r="B85" s="41" t="s">
        <v>434</v>
      </c>
      <c r="C85" s="43">
        <v>300.0</v>
      </c>
      <c r="D85" s="50">
        <v>112.0</v>
      </c>
      <c r="E85" s="43"/>
      <c r="F85" s="43"/>
      <c r="G85" s="50">
        <f t="shared" si="2"/>
        <v>0</v>
      </c>
      <c r="H85" s="51">
        <f t="shared" si="3"/>
        <v>4.821428571</v>
      </c>
      <c r="I85" s="52"/>
      <c r="J85" s="41"/>
      <c r="K85" s="5"/>
      <c r="L85" s="5"/>
      <c r="M85" s="5"/>
      <c r="N85" s="5"/>
      <c r="O85" s="5"/>
      <c r="P85" s="5"/>
      <c r="Q85" s="5"/>
      <c r="R85" s="5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33">
        <v>9.01492619E9</v>
      </c>
      <c r="B86" s="41" t="s">
        <v>435</v>
      </c>
      <c r="C86" s="43">
        <v>300.0</v>
      </c>
      <c r="D86" s="50">
        <v>112.0</v>
      </c>
      <c r="E86" s="43">
        <v>40.0</v>
      </c>
      <c r="F86" s="43">
        <f>(E86+$I$6)+($K$2+E86*$M$2)</f>
        <v>366</v>
      </c>
      <c r="G86" s="50">
        <f t="shared" si="2"/>
        <v>1.22</v>
      </c>
      <c r="H86" s="51">
        <f t="shared" si="3"/>
        <v>4.821428571</v>
      </c>
      <c r="I86" s="52">
        <v>5.0</v>
      </c>
      <c r="J86" s="62" t="s">
        <v>99</v>
      </c>
      <c r="K86" s="5"/>
      <c r="L86" s="5"/>
      <c r="M86" s="5"/>
      <c r="N86" s="5"/>
      <c r="O86" s="5"/>
      <c r="P86" s="5"/>
      <c r="Q86" s="5"/>
      <c r="R86" s="5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33">
        <v>7.02681119E9</v>
      </c>
      <c r="B87" s="41" t="s">
        <v>441</v>
      </c>
      <c r="C87" s="43">
        <v>300.0</v>
      </c>
      <c r="D87" s="50">
        <v>112.0</v>
      </c>
      <c r="E87" s="43"/>
      <c r="F87" s="43"/>
      <c r="G87" s="50">
        <f t="shared" si="2"/>
        <v>0</v>
      </c>
      <c r="H87" s="51">
        <f t="shared" si="3"/>
        <v>4.821428571</v>
      </c>
      <c r="I87" s="55"/>
      <c r="J87" s="41"/>
      <c r="K87" s="5"/>
      <c r="L87" s="5"/>
      <c r="M87" s="5"/>
      <c r="N87" s="5"/>
      <c r="O87" s="5"/>
      <c r="P87" s="5"/>
      <c r="Q87" s="5"/>
      <c r="R87" s="5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33">
        <v>8.83705819E9</v>
      </c>
      <c r="B88" s="41" t="s">
        <v>443</v>
      </c>
      <c r="C88" s="43">
        <v>300.0</v>
      </c>
      <c r="D88" s="50">
        <v>31.0</v>
      </c>
      <c r="E88" s="43"/>
      <c r="F88" s="43"/>
      <c r="G88" s="50">
        <f t="shared" si="2"/>
        <v>0</v>
      </c>
      <c r="H88" s="51">
        <f t="shared" si="3"/>
        <v>17.41935484</v>
      </c>
      <c r="I88" s="55"/>
      <c r="J88" s="41"/>
      <c r="K88" s="5"/>
      <c r="L88" s="5"/>
      <c r="M88" s="5"/>
      <c r="N88" s="5"/>
      <c r="O88" s="5"/>
      <c r="P88" s="5"/>
      <c r="Q88" s="5"/>
      <c r="R88" s="5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39">
        <v>7.02777019E9</v>
      </c>
      <c r="B89" s="152" t="s">
        <v>446</v>
      </c>
      <c r="C89" s="43">
        <v>300.0</v>
      </c>
      <c r="D89" s="50">
        <v>112.0</v>
      </c>
      <c r="E89" s="43">
        <v>1000.0</v>
      </c>
      <c r="F89" s="66">
        <f t="shared" ref="F89:F91" si="13">(E89+$I$5)+($K$2+E89*$M$2)</f>
        <v>1544</v>
      </c>
      <c r="G89" s="50">
        <f t="shared" si="2"/>
        <v>5.146666667</v>
      </c>
      <c r="H89" s="51">
        <f t="shared" si="3"/>
        <v>4.821428571</v>
      </c>
      <c r="I89" s="52">
        <v>6.0</v>
      </c>
      <c r="J89" s="41"/>
      <c r="K89" s="5"/>
      <c r="L89" s="5"/>
      <c r="M89" s="5"/>
      <c r="N89" s="5"/>
      <c r="O89" s="5"/>
      <c r="P89" s="5"/>
      <c r="Q89" s="5"/>
      <c r="R89" s="5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2">
        <v>9.75583719E9</v>
      </c>
      <c r="B90" s="158" t="s">
        <v>448</v>
      </c>
      <c r="C90" s="75">
        <v>100.0</v>
      </c>
      <c r="D90" s="50">
        <v>112.0</v>
      </c>
      <c r="E90" s="43">
        <v>1750.0</v>
      </c>
      <c r="F90" s="66">
        <f t="shared" si="13"/>
        <v>2331.5</v>
      </c>
      <c r="G90" s="50">
        <f t="shared" si="2"/>
        <v>23.315</v>
      </c>
      <c r="H90" s="51">
        <f t="shared" si="3"/>
        <v>4.821428571</v>
      </c>
      <c r="I90" s="52">
        <v>24.0</v>
      </c>
      <c r="J90" s="41"/>
      <c r="K90" s="5"/>
      <c r="L90" s="5"/>
      <c r="M90" s="5"/>
      <c r="N90" s="5"/>
      <c r="O90" s="5"/>
      <c r="P90" s="5"/>
      <c r="Q90" s="5"/>
      <c r="R90" s="5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39">
        <v>7.02800819E9</v>
      </c>
      <c r="B91" s="152" t="s">
        <v>451</v>
      </c>
      <c r="C91" s="43">
        <v>300.0</v>
      </c>
      <c r="D91" s="50">
        <v>112.0</v>
      </c>
      <c r="E91" s="43">
        <v>1000.0</v>
      </c>
      <c r="F91" s="66">
        <f t="shared" si="13"/>
        <v>1544</v>
      </c>
      <c r="G91" s="50">
        <f t="shared" si="2"/>
        <v>5.146666667</v>
      </c>
      <c r="H91" s="51">
        <f t="shared" si="3"/>
        <v>4.821428571</v>
      </c>
      <c r="I91" s="52">
        <v>6.0</v>
      </c>
      <c r="J91" s="41"/>
      <c r="K91" s="5"/>
      <c r="L91" s="5"/>
      <c r="M91" s="5"/>
      <c r="N91" s="5"/>
      <c r="O91" s="5"/>
      <c r="P91" s="5"/>
      <c r="Q91" s="5"/>
      <c r="R91" s="5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39">
        <v>7.02797419E9</v>
      </c>
      <c r="B92" s="152" t="s">
        <v>454</v>
      </c>
      <c r="C92" s="43">
        <v>100.0</v>
      </c>
      <c r="D92" s="50">
        <v>112.0</v>
      </c>
      <c r="E92" s="43"/>
      <c r="F92" s="43"/>
      <c r="G92" s="50">
        <f t="shared" si="2"/>
        <v>0</v>
      </c>
      <c r="H92" s="51">
        <f t="shared" si="3"/>
        <v>4.821428571</v>
      </c>
      <c r="I92" s="55"/>
      <c r="J92" s="41"/>
      <c r="K92" s="5"/>
      <c r="L92" s="5"/>
      <c r="M92" s="5"/>
      <c r="N92" s="5"/>
      <c r="O92" s="5"/>
      <c r="P92" s="5"/>
      <c r="Q92" s="5"/>
      <c r="R92" s="5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39">
        <v>7.02802419E9</v>
      </c>
      <c r="B93" s="152" t="s">
        <v>458</v>
      </c>
      <c r="C93" s="43">
        <v>300.0</v>
      </c>
      <c r="D93" s="50">
        <v>112.0</v>
      </c>
      <c r="E93" s="43">
        <v>1750.0</v>
      </c>
      <c r="F93" s="66">
        <f t="shared" ref="F93:F94" si="14">(E93+$I$5)+($K$2+E93*$M$2)</f>
        <v>2331.5</v>
      </c>
      <c r="G93" s="50">
        <f t="shared" si="2"/>
        <v>7.771666667</v>
      </c>
      <c r="H93" s="51">
        <f t="shared" si="3"/>
        <v>4.821428571</v>
      </c>
      <c r="I93" s="52">
        <v>8.0</v>
      </c>
      <c r="J93" s="41"/>
      <c r="K93" s="5"/>
      <c r="L93" s="5"/>
      <c r="M93" s="5"/>
      <c r="N93" s="5"/>
      <c r="O93" s="5"/>
      <c r="P93" s="5"/>
      <c r="Q93" s="5"/>
      <c r="R93" s="5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39">
        <v>9.11855119E9</v>
      </c>
      <c r="B94" s="152" t="s">
        <v>462</v>
      </c>
      <c r="C94" s="43">
        <v>300.0</v>
      </c>
      <c r="D94" s="50">
        <v>112.0</v>
      </c>
      <c r="E94" s="43">
        <v>1000.0</v>
      </c>
      <c r="F94" s="66">
        <f t="shared" si="14"/>
        <v>1544</v>
      </c>
      <c r="G94" s="50">
        <f t="shared" si="2"/>
        <v>5.146666667</v>
      </c>
      <c r="H94" s="51">
        <f t="shared" si="3"/>
        <v>4.821428571</v>
      </c>
      <c r="I94" s="52">
        <v>6.0</v>
      </c>
      <c r="J94" s="41"/>
      <c r="K94" s="5"/>
      <c r="L94" s="5"/>
      <c r="M94" s="5"/>
      <c r="N94" s="5"/>
      <c r="O94" s="5"/>
      <c r="P94" s="5"/>
      <c r="Q94" s="5"/>
      <c r="R94" s="5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39">
        <v>9.34238919E9</v>
      </c>
      <c r="B95" s="152" t="s">
        <v>466</v>
      </c>
      <c r="C95" s="43">
        <v>100.0</v>
      </c>
      <c r="D95" s="50">
        <v>112.0</v>
      </c>
      <c r="E95" s="43"/>
      <c r="F95" s="43"/>
      <c r="G95" s="50">
        <f t="shared" si="2"/>
        <v>0</v>
      </c>
      <c r="H95" s="51">
        <f t="shared" si="3"/>
        <v>4.821428571</v>
      </c>
      <c r="I95" s="55"/>
      <c r="J95" s="41"/>
      <c r="K95" s="5"/>
      <c r="L95" s="5"/>
      <c r="M95" s="5"/>
      <c r="N95" s="5"/>
      <c r="O95" s="5"/>
      <c r="P95" s="5"/>
      <c r="Q95" s="5"/>
      <c r="R95" s="5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39">
        <v>7.02713319E9</v>
      </c>
      <c r="B96" s="152" t="s">
        <v>468</v>
      </c>
      <c r="C96" s="43">
        <v>300.0</v>
      </c>
      <c r="D96" s="50">
        <v>112.0</v>
      </c>
      <c r="E96" s="43">
        <v>1750.0</v>
      </c>
      <c r="F96" s="66">
        <f>(E96+$I$5)+($K$2+E96*$M$2)</f>
        <v>2331.5</v>
      </c>
      <c r="G96" s="50">
        <f t="shared" si="2"/>
        <v>7.771666667</v>
      </c>
      <c r="H96" s="51">
        <f t="shared" si="3"/>
        <v>4.821428571</v>
      </c>
      <c r="I96" s="52">
        <v>8.0</v>
      </c>
      <c r="J96" s="41"/>
      <c r="K96" s="5"/>
      <c r="L96" s="5"/>
      <c r="M96" s="5"/>
      <c r="N96" s="5"/>
      <c r="O96" s="5"/>
      <c r="P96" s="5"/>
      <c r="Q96" s="5"/>
      <c r="R96" s="5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39">
        <v>8.94885219E9</v>
      </c>
      <c r="B97" s="152" t="s">
        <v>472</v>
      </c>
      <c r="C97" s="43">
        <v>100.0</v>
      </c>
      <c r="D97" s="50">
        <v>112.0</v>
      </c>
      <c r="E97" s="43"/>
      <c r="F97" s="43"/>
      <c r="G97" s="50">
        <f t="shared" si="2"/>
        <v>0</v>
      </c>
      <c r="H97" s="51">
        <f t="shared" si="3"/>
        <v>4.821428571</v>
      </c>
      <c r="I97" s="55"/>
      <c r="J97" s="41"/>
      <c r="K97" s="5"/>
      <c r="L97" s="5"/>
      <c r="M97" s="5"/>
      <c r="N97" s="5"/>
      <c r="O97" s="5"/>
      <c r="P97" s="5"/>
      <c r="Q97" s="5"/>
      <c r="R97" s="5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39">
        <v>8.94890919E9</v>
      </c>
      <c r="B98" s="152" t="s">
        <v>474</v>
      </c>
      <c r="C98" s="43">
        <v>100.0</v>
      </c>
      <c r="D98" s="50">
        <v>112.0</v>
      </c>
      <c r="E98" s="43"/>
      <c r="F98" s="43"/>
      <c r="G98" s="50">
        <f t="shared" si="2"/>
        <v>0</v>
      </c>
      <c r="H98" s="51">
        <f t="shared" si="3"/>
        <v>4.821428571</v>
      </c>
      <c r="I98" s="55"/>
      <c r="J98" s="41"/>
      <c r="K98" s="5"/>
      <c r="L98" s="5"/>
      <c r="M98" s="5"/>
      <c r="N98" s="5"/>
      <c r="O98" s="5"/>
      <c r="P98" s="5"/>
      <c r="Q98" s="5"/>
      <c r="R98" s="5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39">
        <v>8.35527419E9</v>
      </c>
      <c r="B99" s="152" t="s">
        <v>476</v>
      </c>
      <c r="C99" s="43">
        <v>300.0</v>
      </c>
      <c r="D99" s="50">
        <v>112.0</v>
      </c>
      <c r="E99" s="75">
        <v>50.0</v>
      </c>
      <c r="F99" s="43">
        <f>(E99+$I$6)+($K$2+E99*$M$2)</f>
        <v>376.5</v>
      </c>
      <c r="G99" s="50">
        <f t="shared" si="2"/>
        <v>1.255</v>
      </c>
      <c r="H99" s="51">
        <f t="shared" si="3"/>
        <v>4.821428571</v>
      </c>
      <c r="I99" s="52">
        <v>5.0</v>
      </c>
      <c r="J99" s="62" t="s">
        <v>99</v>
      </c>
      <c r="K99" s="5"/>
      <c r="L99" s="5"/>
      <c r="M99" s="5"/>
      <c r="N99" s="5"/>
      <c r="O99" s="5"/>
      <c r="P99" s="5"/>
      <c r="Q99" s="5"/>
      <c r="R99" s="5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39">
        <v>8.35535519E9</v>
      </c>
      <c r="B100" s="152" t="s">
        <v>479</v>
      </c>
      <c r="C100" s="43">
        <v>300.0</v>
      </c>
      <c r="D100" s="50">
        <v>112.0</v>
      </c>
      <c r="E100" s="43"/>
      <c r="F100" s="43"/>
      <c r="G100" s="50">
        <f t="shared" si="2"/>
        <v>0</v>
      </c>
      <c r="H100" s="51">
        <f t="shared" si="3"/>
        <v>4.821428571</v>
      </c>
      <c r="I100" s="55"/>
      <c r="J100" s="41"/>
      <c r="K100" s="5"/>
      <c r="L100" s="5"/>
      <c r="M100" s="5"/>
      <c r="N100" s="5"/>
      <c r="O100" s="5"/>
      <c r="P100" s="5"/>
      <c r="Q100" s="5"/>
      <c r="R100" s="5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39">
        <v>8.35538019E9</v>
      </c>
      <c r="B101" s="152" t="s">
        <v>482</v>
      </c>
      <c r="C101" s="43">
        <v>300.0</v>
      </c>
      <c r="D101" s="50">
        <v>112.0</v>
      </c>
      <c r="E101" s="43"/>
      <c r="F101" s="43"/>
      <c r="G101" s="50">
        <f t="shared" si="2"/>
        <v>0</v>
      </c>
      <c r="H101" s="51">
        <f t="shared" si="3"/>
        <v>4.821428571</v>
      </c>
      <c r="I101" s="55"/>
      <c r="J101" s="41"/>
      <c r="K101" s="5"/>
      <c r="L101" s="5"/>
      <c r="M101" s="5"/>
      <c r="N101" s="5"/>
      <c r="O101" s="5"/>
      <c r="P101" s="5"/>
      <c r="Q101" s="5"/>
      <c r="R101" s="5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39">
        <v>9.01527219E9</v>
      </c>
      <c r="B102" s="152" t="s">
        <v>484</v>
      </c>
      <c r="C102" s="43">
        <v>300.0</v>
      </c>
      <c r="D102" s="50">
        <v>112.0</v>
      </c>
      <c r="E102" s="43"/>
      <c r="F102" s="43"/>
      <c r="G102" s="50">
        <f t="shared" si="2"/>
        <v>0</v>
      </c>
      <c r="H102" s="51">
        <f t="shared" si="3"/>
        <v>4.821428571</v>
      </c>
      <c r="I102" s="55"/>
      <c r="J102" s="41"/>
      <c r="K102" s="5"/>
      <c r="L102" s="5"/>
      <c r="M102" s="5"/>
      <c r="N102" s="5"/>
      <c r="Q102" s="5"/>
      <c r="R102" s="5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39">
        <v>9.01505119E9</v>
      </c>
      <c r="B103" s="152" t="s">
        <v>485</v>
      </c>
      <c r="C103" s="43">
        <v>300.0</v>
      </c>
      <c r="D103" s="50">
        <v>112.0</v>
      </c>
      <c r="E103" s="75">
        <v>150.0</v>
      </c>
      <c r="F103" s="43">
        <f>(E103+$I$6)+($K$2+E103*$M$2)</f>
        <v>481.5</v>
      </c>
      <c r="G103" s="50">
        <f t="shared" si="2"/>
        <v>1.605</v>
      </c>
      <c r="H103" s="51">
        <f t="shared" si="3"/>
        <v>4.821428571</v>
      </c>
      <c r="I103" s="52">
        <v>5.0</v>
      </c>
      <c r="J103" s="62" t="s">
        <v>99</v>
      </c>
      <c r="K103" s="5"/>
      <c r="L103" s="5"/>
      <c r="M103" s="5"/>
      <c r="N103" s="5"/>
      <c r="Q103" s="5"/>
      <c r="R103" s="5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39">
        <v>9.01558219E9</v>
      </c>
      <c r="B104" s="152" t="s">
        <v>488</v>
      </c>
      <c r="C104" s="43">
        <v>300.0</v>
      </c>
      <c r="D104" s="50">
        <v>112.0</v>
      </c>
      <c r="E104" s="43"/>
      <c r="F104" s="43"/>
      <c r="G104" s="50">
        <f t="shared" si="2"/>
        <v>0</v>
      </c>
      <c r="H104" s="51">
        <f t="shared" si="3"/>
        <v>4.821428571</v>
      </c>
      <c r="I104" s="55"/>
      <c r="J104" s="41"/>
      <c r="K104" s="5"/>
      <c r="L104" s="5"/>
      <c r="M104" s="5"/>
      <c r="N104" s="5"/>
      <c r="O104" s="5"/>
      <c r="P104" s="5"/>
      <c r="Q104" s="5"/>
      <c r="R104" s="5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39">
        <v>9.20307919E9</v>
      </c>
      <c r="B105" s="152" t="s">
        <v>489</v>
      </c>
      <c r="C105" s="43">
        <v>300.0</v>
      </c>
      <c r="D105" s="50">
        <v>30.0</v>
      </c>
      <c r="E105" s="43"/>
      <c r="F105" s="43"/>
      <c r="G105" s="50">
        <f t="shared" si="2"/>
        <v>0</v>
      </c>
      <c r="H105" s="51">
        <f t="shared" si="3"/>
        <v>18</v>
      </c>
      <c r="I105" s="55"/>
      <c r="J105" s="41"/>
      <c r="K105" s="5"/>
      <c r="L105" s="5"/>
      <c r="M105" s="5"/>
      <c r="N105" s="5"/>
      <c r="O105" s="5"/>
      <c r="P105" s="5"/>
      <c r="Q105" s="5"/>
      <c r="R105" s="5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39">
        <v>9.28927519E9</v>
      </c>
      <c r="B106" s="152" t="s">
        <v>490</v>
      </c>
      <c r="C106" s="43">
        <v>300.0</v>
      </c>
      <c r="D106" s="50">
        <v>112.0</v>
      </c>
      <c r="E106" s="43"/>
      <c r="F106" s="43"/>
      <c r="G106" s="50">
        <f t="shared" si="2"/>
        <v>0</v>
      </c>
      <c r="H106" s="51">
        <f t="shared" si="3"/>
        <v>4.821428571</v>
      </c>
      <c r="I106" s="55"/>
      <c r="J106" s="41"/>
      <c r="K106" s="5"/>
      <c r="L106" s="5"/>
      <c r="M106" s="5"/>
      <c r="N106" s="5"/>
      <c r="O106" s="5"/>
      <c r="P106" s="5"/>
      <c r="Q106" s="5"/>
      <c r="R106" s="5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39">
        <v>9.34529919E9</v>
      </c>
      <c r="B107" s="152" t="s">
        <v>492</v>
      </c>
      <c r="C107" s="43">
        <v>300.0</v>
      </c>
      <c r="D107" s="50"/>
      <c r="E107" s="43"/>
      <c r="F107" s="43"/>
      <c r="G107" s="50">
        <f t="shared" si="2"/>
        <v>0</v>
      </c>
      <c r="H107" s="51" t="str">
        <f t="shared" si="3"/>
        <v>#DIV/0!</v>
      </c>
      <c r="I107" s="55"/>
      <c r="J107" s="41"/>
      <c r="K107" s="5"/>
      <c r="L107" s="5"/>
      <c r="M107" s="5"/>
      <c r="N107" s="5"/>
      <c r="O107" s="5"/>
      <c r="P107" s="5"/>
      <c r="Q107" s="5"/>
      <c r="R107" s="5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41">
        <v>7.25124619E9</v>
      </c>
      <c r="B108" s="41" t="s">
        <v>494</v>
      </c>
      <c r="C108" s="43">
        <v>300.0</v>
      </c>
      <c r="D108" s="50"/>
      <c r="E108" s="43"/>
      <c r="F108" s="43"/>
      <c r="G108" s="50">
        <f t="shared" si="2"/>
        <v>0</v>
      </c>
      <c r="H108" s="51" t="str">
        <f t="shared" si="3"/>
        <v>#DIV/0!</v>
      </c>
      <c r="I108" s="55"/>
      <c r="J108" s="41"/>
      <c r="K108" s="5"/>
      <c r="L108" s="5"/>
      <c r="M108" s="5"/>
      <c r="N108" s="5"/>
      <c r="O108" s="5"/>
      <c r="P108" s="5"/>
      <c r="Q108" s="5"/>
      <c r="R108" s="5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41">
        <v>7.02725719E9</v>
      </c>
      <c r="B109" s="41" t="s">
        <v>496</v>
      </c>
      <c r="C109" s="43">
        <v>100.0</v>
      </c>
      <c r="D109" s="50"/>
      <c r="E109" s="43"/>
      <c r="F109" s="43"/>
      <c r="G109" s="50">
        <f t="shared" si="2"/>
        <v>0</v>
      </c>
      <c r="H109" s="51" t="str">
        <f t="shared" si="3"/>
        <v>#DIV/0!</v>
      </c>
      <c r="I109" s="55"/>
      <c r="J109" s="41"/>
      <c r="K109" s="5"/>
      <c r="L109" s="5"/>
      <c r="M109" s="5"/>
      <c r="N109" s="5"/>
      <c r="O109" s="5"/>
      <c r="P109" s="5"/>
      <c r="Q109" s="5"/>
      <c r="R109" s="5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41">
        <v>7.02783419E9</v>
      </c>
      <c r="B110" s="41" t="s">
        <v>498</v>
      </c>
      <c r="C110" s="43">
        <v>100.0</v>
      </c>
      <c r="D110" s="50"/>
      <c r="E110" s="43"/>
      <c r="F110" s="43"/>
      <c r="G110" s="50">
        <f t="shared" si="2"/>
        <v>0</v>
      </c>
      <c r="H110" s="51" t="str">
        <f t="shared" si="3"/>
        <v>#DIV/0!</v>
      </c>
      <c r="I110" s="55"/>
      <c r="J110" s="41"/>
      <c r="K110" s="5"/>
      <c r="L110" s="5"/>
      <c r="M110" s="5"/>
      <c r="N110" s="5"/>
      <c r="O110" s="5"/>
      <c r="P110" s="5"/>
      <c r="Q110" s="5"/>
      <c r="R110" s="5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41">
        <v>7.25125419E9</v>
      </c>
      <c r="B111" s="41" t="s">
        <v>500</v>
      </c>
      <c r="C111" s="43">
        <v>300.0</v>
      </c>
      <c r="D111" s="50"/>
      <c r="E111" s="43"/>
      <c r="F111" s="43"/>
      <c r="G111" s="50">
        <f t="shared" si="2"/>
        <v>0</v>
      </c>
      <c r="H111" s="51" t="str">
        <f t="shared" si="3"/>
        <v>#DIV/0!</v>
      </c>
      <c r="I111" s="55"/>
      <c r="J111" s="41"/>
      <c r="K111" s="5"/>
      <c r="L111" s="5"/>
      <c r="M111" s="5"/>
      <c r="N111" s="5"/>
      <c r="O111" s="5"/>
      <c r="P111" s="5"/>
      <c r="Q111" s="5"/>
      <c r="R111" s="5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127"/>
      <c r="B112" s="127"/>
      <c r="C112" s="129"/>
      <c r="D112" s="133" t="s">
        <v>430</v>
      </c>
      <c r="E112" s="136">
        <f t="shared" ref="E112:F112" si="15">SUM(E9:E111)</f>
        <v>41360</v>
      </c>
      <c r="F112" s="136">
        <f t="shared" si="15"/>
        <v>67600</v>
      </c>
      <c r="G112" s="136"/>
      <c r="H112" s="137"/>
      <c r="I112" s="139"/>
      <c r="J112" s="41"/>
      <c r="K112" s="5"/>
      <c r="L112" s="5"/>
      <c r="M112" s="5"/>
      <c r="N112" s="5"/>
      <c r="O112" s="5"/>
      <c r="P112" s="5"/>
      <c r="Q112" s="5"/>
      <c r="R112" s="5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148" t="s">
        <v>508</v>
      </c>
      <c r="B113" s="173"/>
      <c r="C113" s="44" t="s">
        <v>511</v>
      </c>
      <c r="D113" s="29" t="s">
        <v>24</v>
      </c>
      <c r="E113" s="148"/>
      <c r="F113" s="148"/>
      <c r="G113" s="148" t="s">
        <v>28</v>
      </c>
      <c r="H113" s="151" t="s">
        <v>29</v>
      </c>
      <c r="I113" s="151" t="s">
        <v>444</v>
      </c>
      <c r="J113" s="5"/>
      <c r="K113" s="5"/>
      <c r="L113" s="5"/>
      <c r="M113" s="5"/>
      <c r="N113" s="5"/>
      <c r="O113" s="5"/>
      <c r="P113" s="5"/>
      <c r="Q113" s="5"/>
      <c r="R113" s="5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41">
        <v>8.44345919E9</v>
      </c>
      <c r="B114" s="41" t="s">
        <v>515</v>
      </c>
      <c r="C114" s="43">
        <v>2.0</v>
      </c>
      <c r="D114" s="50">
        <v>84.0</v>
      </c>
      <c r="E114" s="50"/>
      <c r="F114" s="50"/>
      <c r="G114" s="174"/>
      <c r="H114" s="51">
        <f t="shared" ref="H114:H185" si="16">(360/D114)</f>
        <v>4.285714286</v>
      </c>
      <c r="I114" s="175">
        <v>6.0</v>
      </c>
      <c r="J114" s="176"/>
      <c r="K114" s="5"/>
      <c r="L114" s="177"/>
      <c r="M114" s="5"/>
      <c r="N114" s="5"/>
      <c r="O114" s="5"/>
      <c r="P114" s="5"/>
      <c r="Q114" s="5"/>
      <c r="R114" s="5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41">
        <v>1.1731548122E10</v>
      </c>
      <c r="B115" s="41" t="s">
        <v>519</v>
      </c>
      <c r="C115" s="43">
        <v>2.0</v>
      </c>
      <c r="D115" s="50">
        <v>84.0</v>
      </c>
      <c r="E115" s="50"/>
      <c r="F115" s="50"/>
      <c r="G115" s="50"/>
      <c r="H115" s="51">
        <f t="shared" si="16"/>
        <v>4.285714286</v>
      </c>
      <c r="I115" s="175">
        <v>6.0</v>
      </c>
      <c r="J115" s="176"/>
      <c r="K115" s="5"/>
      <c r="L115" s="177"/>
      <c r="M115" s="5"/>
      <c r="N115" s="5"/>
      <c r="O115" s="5"/>
      <c r="P115" s="5"/>
      <c r="Q115" s="5"/>
      <c r="R115" s="5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41">
        <v>1.2017717122E10</v>
      </c>
      <c r="B116" s="41" t="s">
        <v>521</v>
      </c>
      <c r="C116" s="43">
        <v>2.0</v>
      </c>
      <c r="D116" s="50">
        <v>84.0</v>
      </c>
      <c r="E116" s="50"/>
      <c r="F116" s="50"/>
      <c r="G116" s="50"/>
      <c r="H116" s="51">
        <f t="shared" si="16"/>
        <v>4.285714286</v>
      </c>
      <c r="I116" s="175">
        <v>6.0</v>
      </c>
      <c r="J116" s="176"/>
      <c r="K116" s="5"/>
      <c r="L116" s="177"/>
      <c r="M116" s="5"/>
      <c r="N116" s="5"/>
      <c r="O116" s="5"/>
      <c r="Q116" s="5"/>
      <c r="R116" s="5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41">
        <v>9.07787119E9</v>
      </c>
      <c r="B117" s="41" t="s">
        <v>523</v>
      </c>
      <c r="C117" s="43">
        <v>2.0</v>
      </c>
      <c r="D117" s="50">
        <v>56.0</v>
      </c>
      <c r="E117" s="50"/>
      <c r="F117" s="50"/>
      <c r="G117" s="50"/>
      <c r="H117" s="51">
        <f t="shared" si="16"/>
        <v>6.428571429</v>
      </c>
      <c r="I117" s="175">
        <v>6.0</v>
      </c>
      <c r="J117" s="176"/>
      <c r="K117" s="5"/>
      <c r="L117" s="177"/>
      <c r="M117" s="5"/>
      <c r="N117" s="5"/>
      <c r="P117" s="5"/>
      <c r="Q117" s="5"/>
      <c r="R117" s="5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41">
        <v>9.04329219E9</v>
      </c>
      <c r="B118" s="41" t="s">
        <v>525</v>
      </c>
      <c r="C118" s="43">
        <v>2.0</v>
      </c>
      <c r="D118" s="50">
        <v>84.0</v>
      </c>
      <c r="E118" s="50"/>
      <c r="F118" s="50"/>
      <c r="G118" s="50"/>
      <c r="H118" s="51">
        <f t="shared" si="16"/>
        <v>4.285714286</v>
      </c>
      <c r="I118" s="175">
        <v>6.0</v>
      </c>
      <c r="J118" s="176"/>
      <c r="K118" s="5"/>
      <c r="L118" s="177"/>
      <c r="M118" s="5"/>
      <c r="N118" s="5"/>
      <c r="O118" s="5"/>
      <c r="P118" s="5"/>
      <c r="Q118" s="5"/>
      <c r="R118" s="5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41">
        <v>8.99140519E9</v>
      </c>
      <c r="B119" s="41" t="s">
        <v>527</v>
      </c>
      <c r="C119" s="43">
        <v>2.0</v>
      </c>
      <c r="D119" s="50">
        <v>93.0</v>
      </c>
      <c r="E119" s="50"/>
      <c r="F119" s="50"/>
      <c r="G119" s="50"/>
      <c r="H119" s="51">
        <f t="shared" si="16"/>
        <v>3.870967742</v>
      </c>
      <c r="I119" s="175">
        <v>6.0</v>
      </c>
      <c r="J119" s="176"/>
      <c r="K119" s="5"/>
      <c r="L119" s="177"/>
      <c r="M119" s="5"/>
      <c r="N119" s="5"/>
      <c r="O119" s="5"/>
      <c r="P119" s="5"/>
      <c r="Q119" s="5"/>
      <c r="R119" s="5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41">
        <v>6.47293119E9</v>
      </c>
      <c r="B120" s="41" t="s">
        <v>529</v>
      </c>
      <c r="C120" s="43">
        <v>2.0</v>
      </c>
      <c r="D120" s="50">
        <v>56.0</v>
      </c>
      <c r="E120" s="50"/>
      <c r="F120" s="50"/>
      <c r="G120" s="50"/>
      <c r="H120" s="51">
        <f t="shared" si="16"/>
        <v>6.428571429</v>
      </c>
      <c r="I120" s="175">
        <v>9.0</v>
      </c>
      <c r="J120" s="176"/>
      <c r="K120" s="5"/>
      <c r="L120" s="177"/>
      <c r="M120" s="5"/>
      <c r="N120" s="5"/>
      <c r="O120" s="5"/>
      <c r="P120" s="5"/>
      <c r="Q120" s="5"/>
      <c r="R120" s="5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41">
        <v>9.00503019E9</v>
      </c>
      <c r="B121" s="41" t="s">
        <v>530</v>
      </c>
      <c r="C121" s="43">
        <v>2.0</v>
      </c>
      <c r="D121" s="50">
        <v>42.0</v>
      </c>
      <c r="E121" s="50"/>
      <c r="F121" s="50"/>
      <c r="G121" s="50"/>
      <c r="H121" s="51">
        <f t="shared" si="16"/>
        <v>8.571428571</v>
      </c>
      <c r="I121" s="175">
        <v>9.0</v>
      </c>
      <c r="J121" s="176"/>
      <c r="K121" s="5"/>
      <c r="L121" s="177"/>
      <c r="M121" s="5"/>
      <c r="N121" s="5"/>
      <c r="O121" s="5"/>
      <c r="P121" s="5"/>
      <c r="Q121" s="5"/>
      <c r="R121" s="5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41">
        <v>8.49664119E9</v>
      </c>
      <c r="B122" s="41" t="s">
        <v>533</v>
      </c>
      <c r="C122" s="43">
        <v>2.0</v>
      </c>
      <c r="D122" s="50">
        <v>84.0</v>
      </c>
      <c r="E122" s="50"/>
      <c r="F122" s="50"/>
      <c r="G122" s="50"/>
      <c r="H122" s="51">
        <f t="shared" si="16"/>
        <v>4.285714286</v>
      </c>
      <c r="I122" s="178"/>
      <c r="J122" s="176"/>
      <c r="K122" s="5"/>
      <c r="L122" s="179"/>
      <c r="M122" s="5"/>
      <c r="N122" s="5"/>
      <c r="O122" s="5"/>
      <c r="P122" s="5"/>
      <c r="Q122" s="5"/>
      <c r="R122" s="5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41">
        <v>9.55742319E9</v>
      </c>
      <c r="B123" s="41" t="s">
        <v>534</v>
      </c>
      <c r="C123" s="43">
        <v>2.0</v>
      </c>
      <c r="D123" s="50">
        <v>84.0</v>
      </c>
      <c r="E123" s="50"/>
      <c r="F123" s="50"/>
      <c r="G123" s="50"/>
      <c r="H123" s="51">
        <f t="shared" si="16"/>
        <v>4.285714286</v>
      </c>
      <c r="I123" s="175">
        <v>5.0</v>
      </c>
      <c r="J123" s="181"/>
      <c r="K123" s="5"/>
      <c r="L123" s="177"/>
      <c r="M123" s="5"/>
      <c r="N123" s="5"/>
      <c r="O123" s="5"/>
      <c r="P123" s="5"/>
      <c r="Q123" s="5"/>
      <c r="R123" s="5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41">
        <v>9.55744019E9</v>
      </c>
      <c r="B124" s="41" t="s">
        <v>536</v>
      </c>
      <c r="C124" s="43">
        <v>2.0</v>
      </c>
      <c r="D124" s="50">
        <v>84.0</v>
      </c>
      <c r="E124" s="50"/>
      <c r="F124" s="50"/>
      <c r="G124" s="50"/>
      <c r="H124" s="51">
        <f t="shared" si="16"/>
        <v>4.285714286</v>
      </c>
      <c r="I124" s="175">
        <v>5.0</v>
      </c>
      <c r="J124" s="181"/>
      <c r="K124" s="5"/>
      <c r="L124" s="177"/>
      <c r="M124" s="5"/>
      <c r="N124" s="5"/>
      <c r="O124" s="5"/>
      <c r="P124" s="5"/>
      <c r="Q124" s="5"/>
      <c r="R124" s="5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41">
        <v>6.65604819E9</v>
      </c>
      <c r="B125" s="41" t="s">
        <v>539</v>
      </c>
      <c r="C125" s="43">
        <v>2.0</v>
      </c>
      <c r="D125" s="50">
        <v>31.0</v>
      </c>
      <c r="E125" s="50"/>
      <c r="F125" s="50"/>
      <c r="G125" s="50"/>
      <c r="H125" s="51">
        <f t="shared" si="16"/>
        <v>11.61290323</v>
      </c>
      <c r="I125" s="175">
        <v>9.0</v>
      </c>
      <c r="J125" s="181"/>
      <c r="K125" s="5"/>
      <c r="L125" s="177"/>
      <c r="M125" s="5"/>
      <c r="N125" s="5"/>
      <c r="O125" s="5"/>
      <c r="P125" s="5"/>
      <c r="Q125" s="5"/>
      <c r="R125" s="5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183">
        <v>7.09254719E9</v>
      </c>
      <c r="B126" s="41" t="s">
        <v>541</v>
      </c>
      <c r="C126" s="43">
        <v>2.0</v>
      </c>
      <c r="D126" s="50">
        <v>31.0</v>
      </c>
      <c r="E126" s="50"/>
      <c r="F126" s="50"/>
      <c r="G126" s="50"/>
      <c r="H126" s="51">
        <f t="shared" si="16"/>
        <v>11.61290323</v>
      </c>
      <c r="I126" s="175">
        <v>9.0</v>
      </c>
      <c r="J126" s="181"/>
      <c r="K126" s="5"/>
      <c r="L126" s="177"/>
      <c r="M126" s="5"/>
      <c r="N126" s="5"/>
      <c r="P126" s="5"/>
      <c r="Q126" s="5"/>
      <c r="R126" s="5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41">
        <v>3.27735619E9</v>
      </c>
      <c r="B127" s="41" t="s">
        <v>543</v>
      </c>
      <c r="C127" s="43">
        <v>2.0</v>
      </c>
      <c r="D127" s="50">
        <v>84.0</v>
      </c>
      <c r="E127" s="50"/>
      <c r="F127" s="50"/>
      <c r="G127" s="50"/>
      <c r="H127" s="51">
        <f t="shared" si="16"/>
        <v>4.285714286</v>
      </c>
      <c r="I127" s="175">
        <v>5.0</v>
      </c>
      <c r="J127" s="181"/>
      <c r="K127" s="5"/>
      <c r="L127" s="177"/>
      <c r="M127" s="5"/>
      <c r="N127" s="5"/>
      <c r="O127" s="5"/>
      <c r="P127" s="5"/>
      <c r="Q127" s="5"/>
      <c r="R127" s="5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41">
        <v>5.20223019E9</v>
      </c>
      <c r="B128" s="41" t="s">
        <v>545</v>
      </c>
      <c r="C128" s="43">
        <v>2.0</v>
      </c>
      <c r="D128" s="50">
        <v>84.0</v>
      </c>
      <c r="E128" s="50"/>
      <c r="F128" s="50"/>
      <c r="G128" s="50"/>
      <c r="H128" s="51">
        <f t="shared" si="16"/>
        <v>4.285714286</v>
      </c>
      <c r="I128" s="175">
        <v>5.0</v>
      </c>
      <c r="J128" s="181"/>
      <c r="K128" s="5"/>
      <c r="L128" s="177"/>
      <c r="M128" s="5"/>
      <c r="N128" s="5"/>
      <c r="O128" s="5"/>
      <c r="P128" s="5"/>
      <c r="Q128" s="5"/>
      <c r="R128" s="5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41">
        <v>3.05202819E9</v>
      </c>
      <c r="B129" s="41" t="s">
        <v>547</v>
      </c>
      <c r="C129" s="43">
        <v>2.0</v>
      </c>
      <c r="D129" s="50">
        <v>56.0</v>
      </c>
      <c r="E129" s="50"/>
      <c r="F129" s="50"/>
      <c r="G129" s="50"/>
      <c r="H129" s="51">
        <f t="shared" si="16"/>
        <v>6.428571429</v>
      </c>
      <c r="I129" s="178"/>
      <c r="J129" s="176"/>
      <c r="K129" s="5"/>
      <c r="L129" s="5"/>
      <c r="M129" s="5"/>
      <c r="N129" s="5"/>
      <c r="O129" s="5"/>
      <c r="P129" s="5"/>
      <c r="Q129" s="5"/>
      <c r="R129" s="5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41">
        <v>3.000095122E9</v>
      </c>
      <c r="B130" s="41" t="s">
        <v>548</v>
      </c>
      <c r="C130" s="43">
        <v>2.0</v>
      </c>
      <c r="D130" s="50">
        <v>84.0</v>
      </c>
      <c r="E130" s="50"/>
      <c r="F130" s="50"/>
      <c r="G130" s="50"/>
      <c r="H130" s="51">
        <f t="shared" si="16"/>
        <v>4.285714286</v>
      </c>
      <c r="I130" s="178"/>
      <c r="J130" s="176"/>
      <c r="K130" s="5"/>
      <c r="L130" s="5"/>
      <c r="M130" s="5"/>
      <c r="N130" s="5"/>
      <c r="O130" s="5"/>
      <c r="P130" s="5"/>
      <c r="Q130" s="5"/>
      <c r="R130" s="5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41">
        <v>3.30265219E9</v>
      </c>
      <c r="B131" s="41" t="s">
        <v>549</v>
      </c>
      <c r="C131" s="43">
        <v>2.0</v>
      </c>
      <c r="D131" s="50">
        <v>84.0</v>
      </c>
      <c r="E131" s="50"/>
      <c r="F131" s="50"/>
      <c r="G131" s="50"/>
      <c r="H131" s="51">
        <f t="shared" si="16"/>
        <v>4.285714286</v>
      </c>
      <c r="I131" s="175">
        <v>5.0</v>
      </c>
      <c r="J131" s="181"/>
      <c r="K131" s="185"/>
      <c r="L131" s="186"/>
      <c r="M131" s="185"/>
      <c r="N131" s="5"/>
      <c r="O131" s="5"/>
      <c r="P131" s="5"/>
      <c r="Q131" s="5"/>
      <c r="R131" s="5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41">
        <v>9.01329619E9</v>
      </c>
      <c r="B132" s="41" t="s">
        <v>551</v>
      </c>
      <c r="C132" s="43">
        <v>2.0</v>
      </c>
      <c r="D132" s="50">
        <v>84.0</v>
      </c>
      <c r="E132" s="50"/>
      <c r="F132" s="50"/>
      <c r="G132" s="50"/>
      <c r="H132" s="51">
        <f t="shared" si="16"/>
        <v>4.285714286</v>
      </c>
      <c r="I132" s="178"/>
      <c r="J132" s="181"/>
      <c r="K132" s="185"/>
      <c r="L132" s="186"/>
      <c r="M132" s="185"/>
      <c r="N132" s="5"/>
      <c r="O132" s="5"/>
      <c r="P132" s="5"/>
      <c r="Q132" s="5"/>
      <c r="R132" s="5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41">
        <v>4.8540802E9</v>
      </c>
      <c r="B133" s="187" t="s">
        <v>557</v>
      </c>
      <c r="C133" s="43">
        <v>2.0</v>
      </c>
      <c r="D133" s="50">
        <v>84.0</v>
      </c>
      <c r="E133" s="50"/>
      <c r="F133" s="50"/>
      <c r="G133" s="50"/>
      <c r="H133" s="51">
        <f t="shared" si="16"/>
        <v>4.285714286</v>
      </c>
      <c r="I133" s="178"/>
      <c r="J133" s="181"/>
      <c r="K133" s="185"/>
      <c r="L133" s="186"/>
      <c r="M133" s="185"/>
      <c r="N133" s="5"/>
      <c r="O133" s="5"/>
      <c r="P133" s="5"/>
      <c r="Q133" s="5"/>
      <c r="R133" s="5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41">
        <v>4.8541012E9</v>
      </c>
      <c r="B134" s="187" t="s">
        <v>559</v>
      </c>
      <c r="C134" s="43">
        <v>2.0</v>
      </c>
      <c r="D134" s="50">
        <v>84.0</v>
      </c>
      <c r="E134" s="50"/>
      <c r="F134" s="50"/>
      <c r="G134" s="50"/>
      <c r="H134" s="51">
        <f t="shared" si="16"/>
        <v>4.285714286</v>
      </c>
      <c r="I134" s="178"/>
      <c r="J134" s="181"/>
      <c r="K134" s="185"/>
      <c r="L134" s="186"/>
      <c r="M134" s="185"/>
      <c r="N134" s="5"/>
      <c r="O134" s="5"/>
      <c r="P134" s="5"/>
      <c r="Q134" s="5"/>
      <c r="R134" s="5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41">
        <v>5.14470119E9</v>
      </c>
      <c r="B135" s="41" t="s">
        <v>560</v>
      </c>
      <c r="C135" s="43">
        <v>2.0</v>
      </c>
      <c r="D135" s="50">
        <v>28.0</v>
      </c>
      <c r="E135" s="50"/>
      <c r="F135" s="50"/>
      <c r="G135" s="50"/>
      <c r="H135" s="51">
        <f t="shared" si="16"/>
        <v>12.85714286</v>
      </c>
      <c r="I135" s="178"/>
      <c r="J135" s="181"/>
      <c r="K135" s="185"/>
      <c r="L135" s="186"/>
      <c r="M135" s="185"/>
      <c r="N135" s="5"/>
      <c r="O135" s="5"/>
      <c r="P135" s="5"/>
      <c r="Q135" s="5"/>
      <c r="R135" s="5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41">
        <v>5.10953119E9</v>
      </c>
      <c r="B136" s="41" t="s">
        <v>562</v>
      </c>
      <c r="C136" s="43">
        <v>2.0</v>
      </c>
      <c r="D136" s="50">
        <v>28.0</v>
      </c>
      <c r="E136" s="50"/>
      <c r="F136" s="50"/>
      <c r="G136" s="50"/>
      <c r="H136" s="51">
        <f t="shared" si="16"/>
        <v>12.85714286</v>
      </c>
      <c r="I136" s="178"/>
      <c r="J136" s="181"/>
      <c r="K136" s="185"/>
      <c r="L136" s="186"/>
      <c r="M136" s="185"/>
      <c r="N136" s="5"/>
      <c r="O136" s="5"/>
      <c r="P136" s="5"/>
      <c r="Q136" s="5"/>
      <c r="R136" s="5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41">
        <v>3.18491919E9</v>
      </c>
      <c r="B137" s="41" t="s">
        <v>564</v>
      </c>
      <c r="C137" s="43">
        <v>2.0</v>
      </c>
      <c r="D137" s="50">
        <v>28.0</v>
      </c>
      <c r="E137" s="50"/>
      <c r="F137" s="50"/>
      <c r="G137" s="50"/>
      <c r="H137" s="51">
        <f t="shared" si="16"/>
        <v>12.85714286</v>
      </c>
      <c r="I137" s="175">
        <v>9.0</v>
      </c>
      <c r="J137" s="181"/>
      <c r="K137" s="185"/>
      <c r="L137" s="186"/>
      <c r="M137" s="185"/>
      <c r="N137" s="5"/>
      <c r="O137" s="5"/>
      <c r="P137" s="5"/>
      <c r="Q137" s="5"/>
      <c r="R137" s="5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41">
        <v>1.2017504122E10</v>
      </c>
      <c r="B138" s="41" t="s">
        <v>566</v>
      </c>
      <c r="C138" s="43">
        <v>2.0</v>
      </c>
      <c r="D138" s="50">
        <v>84.0</v>
      </c>
      <c r="E138" s="50"/>
      <c r="F138" s="50"/>
      <c r="G138" s="50"/>
      <c r="H138" s="51">
        <f t="shared" si="16"/>
        <v>4.285714286</v>
      </c>
      <c r="I138" s="175">
        <v>5.0</v>
      </c>
      <c r="J138" s="181"/>
      <c r="K138" s="185"/>
      <c r="L138" s="186"/>
      <c r="M138" s="185"/>
      <c r="N138" s="5"/>
      <c r="O138" s="5"/>
      <c r="P138" s="5"/>
      <c r="Q138" s="5"/>
      <c r="R138" s="5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41">
        <v>6.68775019E9</v>
      </c>
      <c r="B139" s="41" t="s">
        <v>569</v>
      </c>
      <c r="C139" s="43">
        <v>2.0</v>
      </c>
      <c r="D139" s="50">
        <v>84.0</v>
      </c>
      <c r="E139" s="50"/>
      <c r="F139" s="50"/>
      <c r="G139" s="50"/>
      <c r="H139" s="51">
        <f t="shared" si="16"/>
        <v>4.285714286</v>
      </c>
      <c r="I139" s="175">
        <v>5.0</v>
      </c>
      <c r="J139" s="181"/>
      <c r="K139" s="185"/>
      <c r="L139" s="186"/>
      <c r="M139" s="185"/>
      <c r="N139" s="5"/>
      <c r="O139" s="5"/>
      <c r="P139" s="5"/>
      <c r="Q139" s="5"/>
      <c r="R139" s="5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41">
        <v>9.29094019E9</v>
      </c>
      <c r="B140" s="41" t="s">
        <v>572</v>
      </c>
      <c r="C140" s="43">
        <v>2.0</v>
      </c>
      <c r="D140" s="50">
        <v>1.0</v>
      </c>
      <c r="E140" s="50"/>
      <c r="F140" s="50"/>
      <c r="G140" s="50"/>
      <c r="H140" s="51">
        <f t="shared" si="16"/>
        <v>360</v>
      </c>
      <c r="I140" s="178"/>
      <c r="J140" s="181"/>
      <c r="K140" s="185"/>
      <c r="L140" s="186"/>
      <c r="M140" s="185"/>
      <c r="N140" s="5"/>
      <c r="O140" s="5"/>
      <c r="P140" s="5"/>
      <c r="Q140" s="5"/>
      <c r="R140" s="5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41">
        <v>8.95982019E9</v>
      </c>
      <c r="B141" s="41" t="s">
        <v>575</v>
      </c>
      <c r="C141" s="43">
        <v>2.0</v>
      </c>
      <c r="D141" s="50">
        <v>28.0</v>
      </c>
      <c r="E141" s="50"/>
      <c r="F141" s="50"/>
      <c r="G141" s="50"/>
      <c r="H141" s="51">
        <f t="shared" si="16"/>
        <v>12.85714286</v>
      </c>
      <c r="I141" s="175">
        <v>9.0</v>
      </c>
      <c r="J141" s="181"/>
      <c r="K141" s="185"/>
      <c r="L141" s="186"/>
      <c r="M141" s="185"/>
      <c r="N141" s="5"/>
      <c r="O141" s="5"/>
      <c r="P141" s="5"/>
      <c r="Q141" s="5"/>
      <c r="R141" s="5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41">
        <v>5.39013319E9</v>
      </c>
      <c r="B142" s="41" t="s">
        <v>578</v>
      </c>
      <c r="C142" s="43">
        <v>2.0</v>
      </c>
      <c r="D142" s="50">
        <v>28.0</v>
      </c>
      <c r="E142" s="50"/>
      <c r="F142" s="50"/>
      <c r="G142" s="50"/>
      <c r="H142" s="51">
        <f t="shared" si="16"/>
        <v>12.85714286</v>
      </c>
      <c r="I142" s="175">
        <v>9.0</v>
      </c>
      <c r="J142" s="181"/>
      <c r="K142" s="185"/>
      <c r="L142" s="186"/>
      <c r="M142" s="185"/>
      <c r="N142" s="5"/>
      <c r="O142" s="5"/>
      <c r="P142" s="5"/>
      <c r="Q142" s="5"/>
      <c r="R142" s="5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41">
        <v>7.95720319E9</v>
      </c>
      <c r="B143" s="41" t="s">
        <v>579</v>
      </c>
      <c r="C143" s="43">
        <v>2.0</v>
      </c>
      <c r="D143" s="50">
        <v>28.0</v>
      </c>
      <c r="E143" s="50"/>
      <c r="F143" s="50"/>
      <c r="G143" s="50"/>
      <c r="H143" s="51">
        <f t="shared" si="16"/>
        <v>12.85714286</v>
      </c>
      <c r="I143" s="178"/>
      <c r="J143" s="181"/>
      <c r="K143" s="185"/>
      <c r="L143" s="186"/>
      <c r="M143" s="185"/>
      <c r="N143" s="5"/>
      <c r="O143" s="5"/>
      <c r="P143" s="5"/>
      <c r="Q143" s="5"/>
      <c r="R143" s="5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183">
        <v>8.83853419E9</v>
      </c>
      <c r="B144" s="41" t="s">
        <v>581</v>
      </c>
      <c r="C144" s="43">
        <v>2.0</v>
      </c>
      <c r="D144" s="50">
        <v>84.0</v>
      </c>
      <c r="E144" s="50"/>
      <c r="F144" s="50"/>
      <c r="G144" s="50"/>
      <c r="H144" s="51">
        <f t="shared" si="16"/>
        <v>4.285714286</v>
      </c>
      <c r="I144" s="175">
        <v>5.0</v>
      </c>
      <c r="J144" s="181"/>
      <c r="K144" s="185"/>
      <c r="L144" s="186"/>
      <c r="M144" s="185"/>
      <c r="N144" s="5"/>
      <c r="O144" s="5"/>
      <c r="P144" s="5"/>
      <c r="Q144" s="5"/>
      <c r="R144" s="5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41">
        <v>8.85196419E9</v>
      </c>
      <c r="B145" s="41" t="s">
        <v>582</v>
      </c>
      <c r="C145" s="43">
        <v>2.0</v>
      </c>
      <c r="D145" s="50">
        <v>84.0</v>
      </c>
      <c r="E145" s="50"/>
      <c r="F145" s="50"/>
      <c r="G145" s="50"/>
      <c r="H145" s="51">
        <f t="shared" si="16"/>
        <v>4.285714286</v>
      </c>
      <c r="I145" s="175">
        <v>5.0</v>
      </c>
      <c r="J145" s="181"/>
      <c r="K145" s="185"/>
      <c r="L145" s="186"/>
      <c r="M145" s="185"/>
      <c r="N145" s="5"/>
      <c r="O145" s="5"/>
      <c r="P145" s="5"/>
      <c r="Q145" s="5"/>
      <c r="R145" s="5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183">
        <v>9.22726119E9</v>
      </c>
      <c r="B146" s="41" t="s">
        <v>584</v>
      </c>
      <c r="C146" s="43">
        <v>2.0</v>
      </c>
      <c r="D146" s="50">
        <v>84.0</v>
      </c>
      <c r="E146" s="50"/>
      <c r="F146" s="50"/>
      <c r="G146" s="50"/>
      <c r="H146" s="51">
        <f t="shared" si="16"/>
        <v>4.285714286</v>
      </c>
      <c r="I146" s="175">
        <v>5.0</v>
      </c>
      <c r="J146" s="181"/>
      <c r="K146" s="185"/>
      <c r="L146" s="186"/>
      <c r="M146" s="185"/>
      <c r="N146" s="5"/>
      <c r="O146" s="5"/>
      <c r="P146" s="5"/>
      <c r="Q146" s="5"/>
      <c r="R146" s="5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41">
        <v>1.1731645322E10</v>
      </c>
      <c r="B147" s="41" t="s">
        <v>585</v>
      </c>
      <c r="C147" s="43">
        <v>2.0</v>
      </c>
      <c r="D147" s="50">
        <v>84.0</v>
      </c>
      <c r="E147" s="50"/>
      <c r="F147" s="50"/>
      <c r="G147" s="50"/>
      <c r="H147" s="51">
        <f t="shared" si="16"/>
        <v>4.285714286</v>
      </c>
      <c r="I147" s="175">
        <v>5.0</v>
      </c>
      <c r="J147" s="181"/>
      <c r="K147" s="185"/>
      <c r="L147" s="186"/>
      <c r="M147" s="185"/>
      <c r="N147" s="5"/>
      <c r="O147" s="5"/>
      <c r="P147" s="5"/>
      <c r="Q147" s="5"/>
      <c r="R147" s="5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41">
        <v>7.03020719E9</v>
      </c>
      <c r="B148" s="41" t="s">
        <v>586</v>
      </c>
      <c r="C148" s="43">
        <v>2.0</v>
      </c>
      <c r="D148" s="50">
        <v>140.0</v>
      </c>
      <c r="E148" s="50"/>
      <c r="F148" s="50"/>
      <c r="G148" s="50"/>
      <c r="H148" s="51">
        <f t="shared" si="16"/>
        <v>2.571428571</v>
      </c>
      <c r="I148" s="175">
        <v>4.0</v>
      </c>
      <c r="J148" s="181"/>
      <c r="K148" s="185"/>
      <c r="L148" s="186"/>
      <c r="M148" s="185"/>
      <c r="N148" s="5"/>
      <c r="O148" s="5"/>
      <c r="P148" s="5"/>
      <c r="Q148" s="5"/>
      <c r="R148" s="5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183">
        <v>3.045846122E9</v>
      </c>
      <c r="B149" s="41" t="s">
        <v>587</v>
      </c>
      <c r="C149" s="43">
        <v>2.0</v>
      </c>
      <c r="D149" s="50">
        <v>84.0</v>
      </c>
      <c r="E149" s="50"/>
      <c r="F149" s="50"/>
      <c r="G149" s="50"/>
      <c r="H149" s="51">
        <f t="shared" si="16"/>
        <v>4.285714286</v>
      </c>
      <c r="I149" s="175">
        <v>4.0</v>
      </c>
      <c r="J149" s="181"/>
      <c r="K149" s="185"/>
      <c r="L149" s="186"/>
      <c r="M149" s="185"/>
      <c r="N149" s="5"/>
      <c r="O149" s="5"/>
      <c r="P149" s="5"/>
      <c r="Q149" s="5"/>
      <c r="R149" s="5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41">
        <v>1.1776215122E10</v>
      </c>
      <c r="B150" s="41" t="s">
        <v>588</v>
      </c>
      <c r="C150" s="43">
        <v>2.0</v>
      </c>
      <c r="D150" s="50">
        <v>56.0</v>
      </c>
      <c r="E150" s="50"/>
      <c r="F150" s="50"/>
      <c r="G150" s="50"/>
      <c r="H150" s="51">
        <f t="shared" si="16"/>
        <v>6.428571429</v>
      </c>
      <c r="I150" s="175">
        <v>5.0</v>
      </c>
      <c r="J150" s="181"/>
      <c r="K150" s="185"/>
      <c r="L150" s="186"/>
      <c r="M150" s="185"/>
      <c r="N150" s="5"/>
      <c r="O150" s="5"/>
      <c r="P150" s="5"/>
      <c r="Q150" s="5"/>
      <c r="R150" s="5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41">
        <v>1.1820974322E10</v>
      </c>
      <c r="B151" s="41" t="s">
        <v>590</v>
      </c>
      <c r="C151" s="43">
        <v>2.0</v>
      </c>
      <c r="D151" s="50">
        <v>56.0</v>
      </c>
      <c r="E151" s="50"/>
      <c r="F151" s="50"/>
      <c r="G151" s="50"/>
      <c r="H151" s="51">
        <f t="shared" si="16"/>
        <v>6.428571429</v>
      </c>
      <c r="I151" s="178"/>
      <c r="J151" s="176"/>
      <c r="K151" s="5"/>
      <c r="L151" s="5"/>
      <c r="M151" s="5"/>
      <c r="N151" s="5"/>
      <c r="O151" s="5"/>
      <c r="P151" s="5"/>
      <c r="Q151" s="5"/>
      <c r="R151" s="5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41">
        <v>9.17513019E9</v>
      </c>
      <c r="B152" s="41" t="s">
        <v>592</v>
      </c>
      <c r="C152" s="43">
        <v>2.0</v>
      </c>
      <c r="D152" s="50">
        <v>42.0</v>
      </c>
      <c r="E152" s="50"/>
      <c r="F152" s="50"/>
      <c r="G152" s="50"/>
      <c r="H152" s="51">
        <f t="shared" si="16"/>
        <v>8.571428571</v>
      </c>
      <c r="I152" s="178"/>
      <c r="J152" s="176"/>
      <c r="K152" s="5"/>
      <c r="L152" s="5"/>
      <c r="M152" s="5"/>
      <c r="N152" s="5"/>
      <c r="O152" s="5"/>
      <c r="P152" s="5"/>
      <c r="Q152" s="5"/>
      <c r="R152" s="5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41">
        <v>1.2133121122E10</v>
      </c>
      <c r="B153" s="41" t="s">
        <v>594</v>
      </c>
      <c r="C153" s="43">
        <v>2.0</v>
      </c>
      <c r="D153" s="50">
        <v>42.0</v>
      </c>
      <c r="E153" s="50"/>
      <c r="F153" s="50"/>
      <c r="G153" s="50"/>
      <c r="H153" s="51">
        <f t="shared" si="16"/>
        <v>8.571428571</v>
      </c>
      <c r="I153" s="178"/>
      <c r="J153" s="176"/>
      <c r="K153" s="5"/>
      <c r="L153" s="5"/>
      <c r="M153" s="5"/>
      <c r="N153" s="5"/>
      <c r="O153" s="5"/>
      <c r="P153" s="5"/>
      <c r="Q153" s="5"/>
      <c r="R153" s="5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41">
        <v>3.28983419E9</v>
      </c>
      <c r="B154" s="41" t="s">
        <v>596</v>
      </c>
      <c r="C154" s="43">
        <v>2.0</v>
      </c>
      <c r="D154" s="50">
        <v>84.0</v>
      </c>
      <c r="E154" s="50"/>
      <c r="F154" s="50"/>
      <c r="G154" s="50"/>
      <c r="H154" s="51">
        <f t="shared" si="16"/>
        <v>4.285714286</v>
      </c>
      <c r="I154" s="178"/>
      <c r="J154" s="176"/>
      <c r="K154" s="5"/>
      <c r="L154" s="5"/>
      <c r="M154" s="5"/>
      <c r="N154" s="5"/>
      <c r="O154" s="5"/>
      <c r="P154" s="5"/>
      <c r="Q154" s="5"/>
      <c r="R154" s="5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41">
        <v>5.95094519E9</v>
      </c>
      <c r="B155" s="41" t="s">
        <v>598</v>
      </c>
      <c r="C155" s="43">
        <v>2.0</v>
      </c>
      <c r="D155" s="50">
        <v>56.0</v>
      </c>
      <c r="E155" s="50"/>
      <c r="F155" s="50"/>
      <c r="G155" s="50"/>
      <c r="H155" s="51">
        <f t="shared" si="16"/>
        <v>6.428571429</v>
      </c>
      <c r="I155" s="178"/>
      <c r="J155" s="176"/>
      <c r="K155" s="5"/>
      <c r="L155" s="5"/>
      <c r="M155" s="5"/>
      <c r="N155" s="5"/>
      <c r="O155" s="5"/>
      <c r="P155" s="5"/>
      <c r="Q155" s="5"/>
      <c r="R155" s="5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41">
        <v>8.33363719E9</v>
      </c>
      <c r="B156" s="41" t="s">
        <v>600</v>
      </c>
      <c r="C156" s="43">
        <v>2.0</v>
      </c>
      <c r="D156" s="50">
        <v>28.0</v>
      </c>
      <c r="E156" s="50"/>
      <c r="F156" s="50"/>
      <c r="G156" s="50"/>
      <c r="H156" s="51">
        <f t="shared" si="16"/>
        <v>12.85714286</v>
      </c>
      <c r="I156" s="178"/>
      <c r="J156" s="176"/>
      <c r="K156" s="5"/>
      <c r="L156" s="5"/>
      <c r="M156" s="5"/>
      <c r="N156" s="5"/>
      <c r="O156" s="5"/>
      <c r="P156" s="5"/>
      <c r="Q156" s="5"/>
      <c r="R156" s="5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41">
        <v>6.50597019E9</v>
      </c>
      <c r="B157" s="41" t="s">
        <v>602</v>
      </c>
      <c r="C157" s="43">
        <v>2.0</v>
      </c>
      <c r="D157" s="50">
        <v>56.0</v>
      </c>
      <c r="E157" s="50"/>
      <c r="F157" s="50"/>
      <c r="G157" s="50"/>
      <c r="H157" s="51">
        <f t="shared" si="16"/>
        <v>6.428571429</v>
      </c>
      <c r="I157" s="178"/>
      <c r="J157" s="176"/>
      <c r="K157" s="5"/>
      <c r="L157" s="5"/>
      <c r="M157" s="5"/>
      <c r="N157" s="5"/>
      <c r="O157" s="5"/>
      <c r="Q157" s="5"/>
      <c r="R157" s="5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41">
        <v>7.12699919E9</v>
      </c>
      <c r="B158" s="41" t="s">
        <v>604</v>
      </c>
      <c r="C158" s="43">
        <v>2.0</v>
      </c>
      <c r="D158" s="50">
        <v>28.0</v>
      </c>
      <c r="E158" s="50"/>
      <c r="F158" s="50"/>
      <c r="G158" s="50"/>
      <c r="H158" s="51">
        <f t="shared" si="16"/>
        <v>12.85714286</v>
      </c>
      <c r="I158" s="178"/>
      <c r="J158" s="176"/>
      <c r="K158" s="5"/>
      <c r="L158" s="5"/>
      <c r="M158" s="5"/>
      <c r="N158" s="5"/>
      <c r="O158" s="5"/>
      <c r="P158" s="5"/>
      <c r="Q158" s="5"/>
      <c r="R158" s="5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41">
        <v>1.1820907322E10</v>
      </c>
      <c r="B159" s="41" t="s">
        <v>606</v>
      </c>
      <c r="C159" s="43">
        <v>2.0</v>
      </c>
      <c r="D159" s="50">
        <v>56.0</v>
      </c>
      <c r="E159" s="50"/>
      <c r="F159" s="50"/>
      <c r="G159" s="50"/>
      <c r="H159" s="51">
        <f t="shared" si="16"/>
        <v>6.428571429</v>
      </c>
      <c r="I159" s="178"/>
      <c r="J159" s="176"/>
      <c r="K159" s="5"/>
      <c r="L159" s="5"/>
      <c r="M159" s="5"/>
      <c r="N159" s="5"/>
      <c r="O159" s="5"/>
      <c r="P159" s="5"/>
      <c r="Q159" s="5"/>
      <c r="R159" s="5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41">
        <v>7.39466719E9</v>
      </c>
      <c r="B160" s="41" t="s">
        <v>608</v>
      </c>
      <c r="C160" s="43">
        <v>2.0</v>
      </c>
      <c r="D160" s="50">
        <v>84.0</v>
      </c>
      <c r="E160" s="50"/>
      <c r="F160" s="50"/>
      <c r="G160" s="50"/>
      <c r="H160" s="51">
        <f t="shared" si="16"/>
        <v>4.285714286</v>
      </c>
      <c r="I160" s="178"/>
      <c r="J160" s="176"/>
      <c r="K160" s="5"/>
      <c r="L160" s="5"/>
      <c r="M160" s="5"/>
      <c r="N160" s="5"/>
      <c r="O160" s="5"/>
      <c r="P160" s="5"/>
      <c r="Q160" s="5"/>
      <c r="R160" s="5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41">
        <v>7.39467519E9</v>
      </c>
      <c r="B161" s="41" t="s">
        <v>611</v>
      </c>
      <c r="C161" s="43">
        <v>2.0</v>
      </c>
      <c r="D161" s="50">
        <v>84.0</v>
      </c>
      <c r="E161" s="50"/>
      <c r="F161" s="50"/>
      <c r="G161" s="50"/>
      <c r="H161" s="51">
        <f t="shared" si="16"/>
        <v>4.285714286</v>
      </c>
      <c r="I161" s="178"/>
      <c r="J161" s="176"/>
      <c r="K161" s="5"/>
      <c r="L161" s="5"/>
      <c r="M161" s="5"/>
      <c r="N161" s="5"/>
      <c r="O161" s="5"/>
      <c r="P161" s="5"/>
      <c r="Q161" s="5"/>
      <c r="R161" s="5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41">
        <v>7.12594119E9</v>
      </c>
      <c r="B162" s="41" t="s">
        <v>612</v>
      </c>
      <c r="C162" s="43">
        <v>2.0</v>
      </c>
      <c r="D162" s="50">
        <v>56.0</v>
      </c>
      <c r="E162" s="50"/>
      <c r="F162" s="50"/>
      <c r="G162" s="50"/>
      <c r="H162" s="51">
        <f t="shared" si="16"/>
        <v>6.428571429</v>
      </c>
      <c r="I162" s="178"/>
      <c r="J162" s="176"/>
      <c r="K162" s="5"/>
      <c r="L162" s="5"/>
      <c r="M162" s="5"/>
      <c r="N162" s="5"/>
      <c r="O162" s="5"/>
      <c r="P162" s="5"/>
      <c r="Q162" s="5"/>
      <c r="R162" s="5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41">
        <v>9.31537319E9</v>
      </c>
      <c r="B163" s="41" t="s">
        <v>613</v>
      </c>
      <c r="C163" s="43">
        <v>2.0</v>
      </c>
      <c r="D163" s="50">
        <v>84.0</v>
      </c>
      <c r="E163" s="50"/>
      <c r="F163" s="50"/>
      <c r="G163" s="50"/>
      <c r="H163" s="51">
        <f t="shared" si="16"/>
        <v>4.285714286</v>
      </c>
      <c r="I163" s="178"/>
      <c r="J163" s="176"/>
      <c r="K163" s="5"/>
      <c r="L163" s="5"/>
      <c r="M163" s="5"/>
      <c r="N163" s="5"/>
      <c r="O163" s="186"/>
      <c r="P163" s="196"/>
      <c r="Q163" s="5"/>
      <c r="R163" s="5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41">
        <v>7.43954719E9</v>
      </c>
      <c r="B164" s="41" t="s">
        <v>614</v>
      </c>
      <c r="C164" s="43">
        <v>2.0</v>
      </c>
      <c r="D164" s="50">
        <v>84.0</v>
      </c>
      <c r="E164" s="50"/>
      <c r="F164" s="50"/>
      <c r="G164" s="50"/>
      <c r="H164" s="51">
        <f t="shared" si="16"/>
        <v>4.285714286</v>
      </c>
      <c r="I164" s="175">
        <v>6.0</v>
      </c>
      <c r="J164" s="181"/>
      <c r="K164" s="185"/>
      <c r="L164" s="186"/>
      <c r="M164" s="185"/>
      <c r="N164" s="185"/>
      <c r="O164" s="186"/>
      <c r="P164" s="196"/>
      <c r="Q164" s="177"/>
      <c r="R164" s="5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110" t="s">
        <v>615</v>
      </c>
      <c r="B165" s="114" t="s">
        <v>616</v>
      </c>
      <c r="C165" s="43">
        <v>2.0</v>
      </c>
      <c r="D165" s="50">
        <v>84.0</v>
      </c>
      <c r="E165" s="50"/>
      <c r="F165" s="50"/>
      <c r="G165" s="50"/>
      <c r="H165" s="51">
        <f t="shared" si="16"/>
        <v>4.285714286</v>
      </c>
      <c r="I165" s="178"/>
      <c r="J165" s="197"/>
      <c r="K165" s="185"/>
      <c r="L165" s="186"/>
      <c r="M165" s="185"/>
      <c r="N165" s="185"/>
      <c r="O165" s="186"/>
      <c r="P165" s="196"/>
      <c r="Q165" s="179"/>
      <c r="R165" s="5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41">
        <v>9.00568419E9</v>
      </c>
      <c r="B166" s="41" t="s">
        <v>617</v>
      </c>
      <c r="C166" s="43">
        <v>2.0</v>
      </c>
      <c r="D166" s="50">
        <v>84.0</v>
      </c>
      <c r="E166" s="50"/>
      <c r="F166" s="50"/>
      <c r="G166" s="50"/>
      <c r="H166" s="51">
        <f t="shared" si="16"/>
        <v>4.285714286</v>
      </c>
      <c r="I166" s="178"/>
      <c r="J166" s="181"/>
      <c r="K166" s="185"/>
      <c r="L166" s="186"/>
      <c r="M166" s="185"/>
      <c r="N166" s="185"/>
      <c r="Q166" s="179"/>
      <c r="R166" s="5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41">
        <v>5.10946919E9</v>
      </c>
      <c r="B167" s="41" t="s">
        <v>618</v>
      </c>
      <c r="C167" s="43">
        <v>2.0</v>
      </c>
      <c r="D167" s="50">
        <v>84.0</v>
      </c>
      <c r="E167" s="50"/>
      <c r="F167" s="50"/>
      <c r="G167" s="50"/>
      <c r="H167" s="51">
        <f t="shared" si="16"/>
        <v>4.285714286</v>
      </c>
      <c r="I167" s="178"/>
      <c r="J167" s="181"/>
      <c r="K167" s="185"/>
      <c r="L167" s="186"/>
      <c r="M167" s="185"/>
      <c r="N167" s="185"/>
      <c r="O167" s="186"/>
      <c r="P167" s="196"/>
      <c r="Q167" s="179"/>
      <c r="R167" s="5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41">
        <v>3.73758619E9</v>
      </c>
      <c r="B168" s="41" t="s">
        <v>619</v>
      </c>
      <c r="C168" s="43">
        <v>2.0</v>
      </c>
      <c r="D168" s="50">
        <v>84.0</v>
      </c>
      <c r="E168" s="50"/>
      <c r="F168" s="50"/>
      <c r="G168" s="50"/>
      <c r="H168" s="51">
        <f t="shared" si="16"/>
        <v>4.285714286</v>
      </c>
      <c r="I168" s="175">
        <v>5.0</v>
      </c>
      <c r="J168" s="176"/>
      <c r="K168" s="185"/>
      <c r="L168" s="186"/>
      <c r="M168" s="185"/>
      <c r="N168" s="185"/>
      <c r="O168" s="186"/>
      <c r="P168" s="196"/>
      <c r="Q168" s="177"/>
      <c r="R168" s="5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41">
        <v>7.39647319E9</v>
      </c>
      <c r="B169" s="41" t="s">
        <v>620</v>
      </c>
      <c r="C169" s="43">
        <v>2.0</v>
      </c>
      <c r="D169" s="50">
        <v>84.0</v>
      </c>
      <c r="E169" s="50"/>
      <c r="F169" s="50"/>
      <c r="G169" s="50"/>
      <c r="H169" s="51">
        <f t="shared" si="16"/>
        <v>4.285714286</v>
      </c>
      <c r="I169" s="175">
        <v>4.0</v>
      </c>
      <c r="J169" s="176"/>
      <c r="K169" s="185"/>
      <c r="L169" s="186"/>
      <c r="M169" s="198"/>
      <c r="N169" s="185"/>
      <c r="O169" s="186"/>
      <c r="P169" s="196"/>
      <c r="Q169" s="177"/>
      <c r="R169" s="5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41">
        <v>7.21278019E9</v>
      </c>
      <c r="B170" s="41" t="s">
        <v>621</v>
      </c>
      <c r="C170" s="43">
        <v>2.0</v>
      </c>
      <c r="D170" s="50">
        <v>84.0</v>
      </c>
      <c r="E170" s="50"/>
      <c r="F170" s="50"/>
      <c r="G170" s="50"/>
      <c r="H170" s="51">
        <f t="shared" si="16"/>
        <v>4.285714286</v>
      </c>
      <c r="I170" s="175">
        <v>4.0</v>
      </c>
      <c r="J170" s="176"/>
      <c r="K170" s="185"/>
      <c r="L170" s="186"/>
      <c r="M170" s="185"/>
      <c r="N170" s="185"/>
      <c r="O170" s="186"/>
      <c r="P170" s="196"/>
      <c r="Q170" s="177"/>
      <c r="R170" s="5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41">
        <v>7.72635019E9</v>
      </c>
      <c r="B171" s="41" t="s">
        <v>622</v>
      </c>
      <c r="C171" s="43">
        <v>2.0</v>
      </c>
      <c r="D171" s="50">
        <v>31.0</v>
      </c>
      <c r="E171" s="50"/>
      <c r="F171" s="50"/>
      <c r="G171" s="50"/>
      <c r="H171" s="51">
        <f t="shared" si="16"/>
        <v>11.61290323</v>
      </c>
      <c r="I171" s="178"/>
      <c r="J171" s="176"/>
      <c r="K171" s="185"/>
      <c r="L171" s="186"/>
      <c r="M171" s="185"/>
      <c r="N171" s="185"/>
      <c r="O171" s="186"/>
      <c r="P171" s="196"/>
      <c r="Q171" s="179"/>
      <c r="R171" s="5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41">
        <v>1.1930427122E10</v>
      </c>
      <c r="B172" s="41" t="s">
        <v>623</v>
      </c>
      <c r="C172" s="43">
        <v>2.0</v>
      </c>
      <c r="D172" s="50">
        <v>84.0</v>
      </c>
      <c r="E172" s="50"/>
      <c r="F172" s="50"/>
      <c r="G172" s="50"/>
      <c r="H172" s="51">
        <f t="shared" si="16"/>
        <v>4.285714286</v>
      </c>
      <c r="I172" s="175">
        <v>4.0</v>
      </c>
      <c r="J172" s="176"/>
      <c r="K172" s="185"/>
      <c r="L172" s="186"/>
      <c r="M172" s="185"/>
      <c r="N172" s="185"/>
      <c r="O172" s="186"/>
      <c r="P172" s="196"/>
      <c r="Q172" s="177"/>
      <c r="R172" s="5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183">
        <v>8.92848719E9</v>
      </c>
      <c r="B173" s="41" t="s">
        <v>624</v>
      </c>
      <c r="C173" s="43">
        <v>2.0</v>
      </c>
      <c r="D173" s="50">
        <v>84.0</v>
      </c>
      <c r="E173" s="50"/>
      <c r="F173" s="50"/>
      <c r="G173" s="50"/>
      <c r="H173" s="51">
        <f t="shared" si="16"/>
        <v>4.285714286</v>
      </c>
      <c r="I173" s="175">
        <v>4.0</v>
      </c>
      <c r="J173" s="176"/>
      <c r="K173" s="185"/>
      <c r="L173" s="186"/>
      <c r="M173" s="185"/>
      <c r="N173" s="185"/>
      <c r="O173" s="186"/>
      <c r="P173" s="196"/>
      <c r="Q173" s="177"/>
      <c r="R173" s="5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41">
        <v>5.60855419E9</v>
      </c>
      <c r="B174" s="41" t="s">
        <v>625</v>
      </c>
      <c r="C174" s="43">
        <v>2.0</v>
      </c>
      <c r="D174" s="50">
        <v>90.0</v>
      </c>
      <c r="E174" s="50"/>
      <c r="F174" s="50"/>
      <c r="G174" s="50"/>
      <c r="H174" s="51">
        <f t="shared" si="16"/>
        <v>4</v>
      </c>
      <c r="I174" s="178"/>
      <c r="J174" s="176"/>
      <c r="K174" s="5"/>
      <c r="L174" s="5"/>
      <c r="M174" s="5"/>
      <c r="N174" s="5"/>
      <c r="O174" s="5"/>
      <c r="P174" s="5"/>
      <c r="Q174" s="5"/>
      <c r="R174" s="5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41">
        <v>3.14108019E9</v>
      </c>
      <c r="B175" s="41" t="s">
        <v>626</v>
      </c>
      <c r="C175" s="43">
        <v>2.0</v>
      </c>
      <c r="D175" s="50">
        <v>84.0</v>
      </c>
      <c r="E175" s="50"/>
      <c r="F175" s="50"/>
      <c r="G175" s="50"/>
      <c r="H175" s="51">
        <f t="shared" si="16"/>
        <v>4.285714286</v>
      </c>
      <c r="I175" s="178"/>
      <c r="J175" s="176"/>
      <c r="K175" s="5"/>
      <c r="L175" s="5"/>
      <c r="M175" s="5"/>
      <c r="N175" s="5"/>
      <c r="O175" s="5"/>
      <c r="P175" s="5"/>
      <c r="Q175" s="5"/>
      <c r="R175" s="5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41">
        <v>1.1972316122E10</v>
      </c>
      <c r="B176" s="41" t="s">
        <v>627</v>
      </c>
      <c r="C176" s="43">
        <v>2.0</v>
      </c>
      <c r="D176" s="50">
        <v>84.0</v>
      </c>
      <c r="E176" s="50"/>
      <c r="F176" s="50"/>
      <c r="G176" s="50"/>
      <c r="H176" s="51">
        <f t="shared" si="16"/>
        <v>4.285714286</v>
      </c>
      <c r="I176" s="178"/>
      <c r="J176" s="176"/>
      <c r="K176" s="5"/>
      <c r="L176" s="5"/>
      <c r="M176" s="5"/>
      <c r="N176" s="5"/>
      <c r="O176" s="5"/>
      <c r="P176" s="5"/>
      <c r="Q176" s="5"/>
      <c r="R176" s="5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41">
        <v>1.1972111122E10</v>
      </c>
      <c r="B177" s="41" t="s">
        <v>628</v>
      </c>
      <c r="C177" s="43">
        <v>2.0</v>
      </c>
      <c r="D177" s="50">
        <v>84.0</v>
      </c>
      <c r="E177" s="50"/>
      <c r="F177" s="50"/>
      <c r="G177" s="50"/>
      <c r="H177" s="51">
        <f t="shared" si="16"/>
        <v>4.285714286</v>
      </c>
      <c r="I177" s="178"/>
      <c r="J177" s="176"/>
      <c r="K177" s="5"/>
      <c r="L177" s="5"/>
      <c r="M177" s="5"/>
      <c r="N177" s="5"/>
      <c r="O177" s="5"/>
      <c r="P177" s="5"/>
      <c r="Q177" s="5"/>
      <c r="R177" s="5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41">
        <v>9.03811619E9</v>
      </c>
      <c r="B178" s="41" t="s">
        <v>629</v>
      </c>
      <c r="C178" s="43">
        <v>2.0</v>
      </c>
      <c r="D178" s="50">
        <v>84.0</v>
      </c>
      <c r="E178" s="50"/>
      <c r="F178" s="50"/>
      <c r="G178" s="50"/>
      <c r="H178" s="51">
        <f t="shared" si="16"/>
        <v>4.285714286</v>
      </c>
      <c r="I178" s="175">
        <v>5.0</v>
      </c>
      <c r="J178" s="176"/>
      <c r="K178" s="5"/>
      <c r="L178" s="5"/>
      <c r="M178" s="5"/>
      <c r="N178" s="5"/>
      <c r="O178" s="5"/>
      <c r="P178" s="5"/>
      <c r="Q178" s="5"/>
      <c r="R178" s="5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41">
        <v>7.47596919E9</v>
      </c>
      <c r="B179" s="41" t="s">
        <v>630</v>
      </c>
      <c r="C179" s="43">
        <v>2.0</v>
      </c>
      <c r="D179" s="50">
        <v>31.0</v>
      </c>
      <c r="E179" s="50"/>
      <c r="F179" s="50"/>
      <c r="G179" s="50"/>
      <c r="H179" s="51">
        <f t="shared" si="16"/>
        <v>11.61290323</v>
      </c>
      <c r="I179" s="55"/>
      <c r="J179" s="5"/>
      <c r="K179" s="5"/>
      <c r="L179" s="5"/>
      <c r="M179" s="5"/>
      <c r="N179" s="5"/>
      <c r="O179" s="5"/>
      <c r="P179" s="5"/>
      <c r="Q179" s="5"/>
      <c r="R179" s="5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41">
        <v>7.57476219E9</v>
      </c>
      <c r="B180" s="41" t="s">
        <v>631</v>
      </c>
      <c r="C180" s="43">
        <v>2.0</v>
      </c>
      <c r="D180" s="50">
        <v>84.0</v>
      </c>
      <c r="E180" s="50"/>
      <c r="F180" s="50"/>
      <c r="G180" s="50"/>
      <c r="H180" s="51">
        <f t="shared" si="16"/>
        <v>4.285714286</v>
      </c>
      <c r="I180" s="55"/>
      <c r="J180" s="5"/>
      <c r="K180" s="5"/>
      <c r="L180" s="5"/>
      <c r="M180" s="5"/>
      <c r="N180" s="5"/>
      <c r="O180" s="5"/>
      <c r="P180" s="5"/>
      <c r="Q180" s="5"/>
      <c r="R180" s="5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41">
        <v>9.28929119E9</v>
      </c>
      <c r="B181" s="41" t="s">
        <v>632</v>
      </c>
      <c r="C181" s="43">
        <v>2.0</v>
      </c>
      <c r="D181" s="50">
        <v>84.0</v>
      </c>
      <c r="E181" s="50"/>
      <c r="F181" s="50"/>
      <c r="G181" s="50"/>
      <c r="H181" s="51">
        <f t="shared" si="16"/>
        <v>4.285714286</v>
      </c>
      <c r="I181" s="55"/>
      <c r="J181" s="5"/>
      <c r="K181" s="5"/>
      <c r="L181" s="5"/>
      <c r="M181" s="5"/>
      <c r="N181" s="5"/>
      <c r="O181" s="5"/>
      <c r="P181" s="5"/>
      <c r="Q181" s="5"/>
      <c r="R181" s="5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41">
        <v>5.88902219E9</v>
      </c>
      <c r="B182" s="41" t="s">
        <v>633</v>
      </c>
      <c r="C182" s="43">
        <v>3.0</v>
      </c>
      <c r="D182" s="50">
        <v>28.0</v>
      </c>
      <c r="E182" s="50"/>
      <c r="F182" s="50"/>
      <c r="G182" s="50"/>
      <c r="H182" s="51">
        <f t="shared" si="16"/>
        <v>12.85714286</v>
      </c>
      <c r="I182" s="55"/>
      <c r="J182" s="5"/>
      <c r="K182" s="5"/>
      <c r="L182" s="5"/>
      <c r="M182" s="5"/>
      <c r="N182" s="5"/>
      <c r="O182" s="5"/>
      <c r="P182" s="5"/>
      <c r="Q182" s="5"/>
      <c r="R182" s="5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41">
        <v>6.63319619E9</v>
      </c>
      <c r="B183" s="41" t="s">
        <v>634</v>
      </c>
      <c r="C183" s="43">
        <v>3.0</v>
      </c>
      <c r="D183" s="50">
        <v>28.0</v>
      </c>
      <c r="E183" s="50"/>
      <c r="F183" s="50"/>
      <c r="G183" s="50"/>
      <c r="H183" s="51">
        <f t="shared" si="16"/>
        <v>12.85714286</v>
      </c>
      <c r="I183" s="55"/>
      <c r="J183" s="5"/>
      <c r="K183" s="5"/>
      <c r="L183" s="5"/>
      <c r="M183" s="5"/>
      <c r="N183" s="5"/>
      <c r="O183" s="5"/>
      <c r="P183" s="5"/>
      <c r="Q183" s="5"/>
      <c r="R183" s="5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41">
        <v>6.32798219E9</v>
      </c>
      <c r="B184" s="41" t="s">
        <v>635</v>
      </c>
      <c r="C184" s="43">
        <v>3.0</v>
      </c>
      <c r="D184" s="50">
        <v>28.0</v>
      </c>
      <c r="E184" s="50"/>
      <c r="F184" s="50"/>
      <c r="G184" s="50"/>
      <c r="H184" s="51">
        <f t="shared" si="16"/>
        <v>12.85714286</v>
      </c>
      <c r="I184" s="55"/>
      <c r="J184" s="5"/>
      <c r="K184" s="5"/>
      <c r="L184" s="5"/>
      <c r="M184" s="5"/>
      <c r="N184" s="5"/>
      <c r="O184" s="5"/>
      <c r="P184" s="5"/>
      <c r="Q184" s="5"/>
      <c r="R184" s="5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41">
        <v>5.88906519E9</v>
      </c>
      <c r="B185" s="41" t="s">
        <v>636</v>
      </c>
      <c r="C185" s="43">
        <v>3.0</v>
      </c>
      <c r="D185" s="50">
        <v>28.0</v>
      </c>
      <c r="E185" s="50"/>
      <c r="F185" s="50"/>
      <c r="G185" s="50"/>
      <c r="H185" s="51">
        <f t="shared" si="16"/>
        <v>12.85714286</v>
      </c>
      <c r="I185" s="55"/>
      <c r="J185" s="5"/>
      <c r="K185" s="5"/>
      <c r="L185" s="5"/>
      <c r="M185" s="5"/>
      <c r="N185" s="5"/>
      <c r="O185" s="5"/>
      <c r="P185" s="5"/>
      <c r="Q185" s="5"/>
      <c r="R185" s="5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148" t="s">
        <v>637</v>
      </c>
      <c r="B186" s="173"/>
      <c r="C186" s="44" t="s">
        <v>511</v>
      </c>
      <c r="D186" s="29" t="s">
        <v>24</v>
      </c>
      <c r="E186" s="148"/>
      <c r="F186" s="148"/>
      <c r="G186" s="148" t="s">
        <v>28</v>
      </c>
      <c r="H186" s="151" t="s">
        <v>29</v>
      </c>
      <c r="I186" s="151" t="s">
        <v>444</v>
      </c>
      <c r="J186" s="5"/>
      <c r="K186" s="5"/>
      <c r="L186" s="5"/>
      <c r="M186" s="5"/>
      <c r="N186" s="5"/>
      <c r="O186" s="5"/>
      <c r="P186" s="5"/>
      <c r="Q186" s="5"/>
      <c r="R186" s="5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41">
        <v>1.173141619E10</v>
      </c>
      <c r="B187" s="41" t="s">
        <v>638</v>
      </c>
      <c r="C187" s="43">
        <v>2.0</v>
      </c>
      <c r="D187" s="50">
        <v>28.0</v>
      </c>
      <c r="E187" s="50"/>
      <c r="F187" s="50"/>
      <c r="G187" s="50"/>
      <c r="H187" s="51">
        <f t="shared" ref="H187:H234" si="17">(360/D187)</f>
        <v>12.85714286</v>
      </c>
      <c r="I187" s="52">
        <v>12.0</v>
      </c>
      <c r="J187" s="5"/>
      <c r="K187" s="5"/>
      <c r="L187" s="5"/>
      <c r="M187" s="5"/>
      <c r="N187" s="5"/>
      <c r="O187" s="5"/>
      <c r="P187" s="5"/>
      <c r="Q187" s="5"/>
      <c r="R187" s="5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41">
        <v>8.74006219E9</v>
      </c>
      <c r="B188" s="41" t="s">
        <v>639</v>
      </c>
      <c r="C188" s="43">
        <v>2.0</v>
      </c>
      <c r="D188" s="50">
        <v>84.0</v>
      </c>
      <c r="E188" s="50"/>
      <c r="F188" s="50"/>
      <c r="G188" s="50"/>
      <c r="H188" s="51">
        <f t="shared" si="17"/>
        <v>4.285714286</v>
      </c>
      <c r="I188" s="55"/>
      <c r="J188" s="5"/>
      <c r="K188" s="5"/>
      <c r="L188" s="5"/>
      <c r="M188" s="5"/>
      <c r="N188" s="5"/>
      <c r="O188" s="5"/>
      <c r="P188" s="5"/>
      <c r="Q188" s="5"/>
      <c r="R188" s="5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41">
        <v>5.34178719E9</v>
      </c>
      <c r="B189" s="41" t="s">
        <v>640</v>
      </c>
      <c r="C189" s="43">
        <v>3.0</v>
      </c>
      <c r="D189" s="50">
        <v>31.0</v>
      </c>
      <c r="E189" s="50"/>
      <c r="F189" s="50"/>
      <c r="G189" s="50"/>
      <c r="H189" s="51">
        <f t="shared" si="17"/>
        <v>11.61290323</v>
      </c>
      <c r="I189" s="52">
        <v>8.0</v>
      </c>
      <c r="J189" s="5"/>
      <c r="K189" s="5"/>
      <c r="L189" s="5"/>
      <c r="M189" s="5"/>
      <c r="N189" s="5"/>
      <c r="O189" s="5"/>
      <c r="P189" s="5"/>
      <c r="Q189" s="5"/>
      <c r="R189" s="5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41">
        <v>6.68777619E9</v>
      </c>
      <c r="B190" s="41" t="s">
        <v>641</v>
      </c>
      <c r="C190" s="43">
        <v>2.0</v>
      </c>
      <c r="D190" s="50">
        <v>28.0</v>
      </c>
      <c r="E190" s="50"/>
      <c r="F190" s="50"/>
      <c r="G190" s="50"/>
      <c r="H190" s="51">
        <f t="shared" si="17"/>
        <v>12.85714286</v>
      </c>
      <c r="I190" s="55"/>
      <c r="J190" s="5"/>
      <c r="K190" s="5"/>
      <c r="L190" s="5"/>
      <c r="M190" s="5"/>
      <c r="N190" s="5"/>
      <c r="O190" s="5"/>
      <c r="P190" s="5"/>
      <c r="Q190" s="5"/>
      <c r="R190" s="5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41">
        <v>1.1776452122E10</v>
      </c>
      <c r="B191" s="41" t="s">
        <v>642</v>
      </c>
      <c r="C191" s="43">
        <v>2.0</v>
      </c>
      <c r="D191" s="50">
        <v>28.0</v>
      </c>
      <c r="E191" s="50"/>
      <c r="F191" s="50"/>
      <c r="G191" s="50"/>
      <c r="H191" s="51">
        <f t="shared" si="17"/>
        <v>12.85714286</v>
      </c>
      <c r="I191" s="52">
        <v>12.0</v>
      </c>
      <c r="J191" s="5"/>
      <c r="K191" s="5"/>
      <c r="L191" s="5"/>
      <c r="M191" s="5"/>
      <c r="N191" s="5"/>
      <c r="O191" s="5"/>
      <c r="P191" s="5"/>
      <c r="Q191" s="5"/>
      <c r="R191" s="5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41">
        <v>7.71322319E9</v>
      </c>
      <c r="B192" s="41" t="s">
        <v>643</v>
      </c>
      <c r="C192" s="43">
        <v>2.0</v>
      </c>
      <c r="D192" s="50">
        <v>31.0</v>
      </c>
      <c r="E192" s="50"/>
      <c r="F192" s="50"/>
      <c r="G192" s="50"/>
      <c r="H192" s="51">
        <f t="shared" si="17"/>
        <v>11.61290323</v>
      </c>
      <c r="I192" s="55"/>
      <c r="J192" s="5"/>
      <c r="K192" s="5"/>
      <c r="L192" s="5"/>
      <c r="M192" s="5"/>
      <c r="N192" s="5"/>
      <c r="O192" s="5"/>
      <c r="P192" s="5"/>
      <c r="Q192" s="5"/>
      <c r="R192" s="5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0">
        <v>4.91704919E9</v>
      </c>
      <c r="B193" s="70" t="s">
        <v>644</v>
      </c>
      <c r="C193" s="43">
        <v>2.0</v>
      </c>
      <c r="D193" s="50">
        <v>84.0</v>
      </c>
      <c r="E193" s="50"/>
      <c r="F193" s="50"/>
      <c r="G193" s="50"/>
      <c r="H193" s="51">
        <f t="shared" si="17"/>
        <v>4.285714286</v>
      </c>
      <c r="I193" s="55"/>
      <c r="J193" s="5"/>
      <c r="K193" s="5"/>
      <c r="L193" s="5"/>
      <c r="M193" s="5"/>
      <c r="N193" s="5"/>
      <c r="O193" s="5"/>
      <c r="P193" s="5"/>
      <c r="Q193" s="5"/>
      <c r="R193" s="5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0">
        <v>5.09510719E9</v>
      </c>
      <c r="B194" s="41" t="s">
        <v>645</v>
      </c>
      <c r="C194" s="43">
        <v>2.0</v>
      </c>
      <c r="D194" s="50">
        <v>84.0</v>
      </c>
      <c r="E194" s="50"/>
      <c r="F194" s="50"/>
      <c r="G194" s="50"/>
      <c r="H194" s="51">
        <f t="shared" si="17"/>
        <v>4.285714286</v>
      </c>
      <c r="I194" s="52">
        <v>13.0</v>
      </c>
      <c r="J194" s="5"/>
      <c r="K194" s="5"/>
      <c r="L194" s="5"/>
      <c r="M194" s="5"/>
      <c r="N194" s="5"/>
      <c r="O194" s="5"/>
      <c r="P194" s="5"/>
      <c r="Q194" s="5"/>
      <c r="R194" s="5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0">
        <v>5.042666191E9</v>
      </c>
      <c r="B195" s="41" t="s">
        <v>646</v>
      </c>
      <c r="C195" s="43">
        <v>2.0</v>
      </c>
      <c r="D195" s="50">
        <v>28.0</v>
      </c>
      <c r="E195" s="50"/>
      <c r="F195" s="50"/>
      <c r="G195" s="50"/>
      <c r="H195" s="51">
        <f t="shared" si="17"/>
        <v>12.85714286</v>
      </c>
      <c r="I195" s="52">
        <v>13.0</v>
      </c>
      <c r="J195" s="5"/>
      <c r="K195" s="5"/>
      <c r="L195" s="5"/>
      <c r="M195" s="5"/>
      <c r="N195" s="5"/>
      <c r="O195" s="5"/>
      <c r="P195" s="5"/>
      <c r="Q195" s="5"/>
      <c r="R195" s="5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0">
        <v>7.95721119E9</v>
      </c>
      <c r="B196" s="41" t="s">
        <v>647</v>
      </c>
      <c r="C196" s="43">
        <v>2.0</v>
      </c>
      <c r="D196" s="50">
        <v>28.0</v>
      </c>
      <c r="E196" s="50"/>
      <c r="F196" s="50"/>
      <c r="G196" s="50"/>
      <c r="H196" s="51">
        <f t="shared" si="17"/>
        <v>12.85714286</v>
      </c>
      <c r="I196" s="55"/>
      <c r="J196" s="5"/>
      <c r="K196" s="5"/>
      <c r="L196" s="5"/>
      <c r="M196" s="5"/>
      <c r="N196" s="5"/>
      <c r="O196" s="5"/>
      <c r="P196" s="5"/>
      <c r="Q196" s="5"/>
      <c r="R196" s="5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0">
        <v>5.95095319E9</v>
      </c>
      <c r="B197" s="41" t="s">
        <v>648</v>
      </c>
      <c r="C197" s="43">
        <v>2.0</v>
      </c>
      <c r="D197" s="50">
        <v>28.0</v>
      </c>
      <c r="E197" s="50"/>
      <c r="F197" s="50"/>
      <c r="G197" s="50"/>
      <c r="H197" s="51">
        <f t="shared" si="17"/>
        <v>12.85714286</v>
      </c>
      <c r="I197" s="55"/>
      <c r="J197" s="5"/>
      <c r="K197" s="5"/>
      <c r="L197" s="5"/>
      <c r="M197" s="5"/>
      <c r="N197" s="5"/>
      <c r="O197" s="5"/>
      <c r="P197" s="5"/>
      <c r="Q197" s="5"/>
      <c r="R197" s="5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0">
        <v>8.33364519E9</v>
      </c>
      <c r="B198" s="41" t="s">
        <v>649</v>
      </c>
      <c r="C198" s="43">
        <v>2.0</v>
      </c>
      <c r="D198" s="50">
        <v>28.0</v>
      </c>
      <c r="E198" s="50"/>
      <c r="F198" s="50"/>
      <c r="G198" s="50"/>
      <c r="H198" s="51">
        <f t="shared" si="17"/>
        <v>12.85714286</v>
      </c>
      <c r="I198" s="55"/>
      <c r="J198" s="5"/>
      <c r="K198" s="5"/>
      <c r="L198" s="5"/>
      <c r="M198" s="5"/>
      <c r="N198" s="5"/>
      <c r="O198" s="5"/>
      <c r="P198" s="5"/>
      <c r="Q198" s="5"/>
      <c r="R198" s="5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0">
        <v>6.50598819E9</v>
      </c>
      <c r="B199" s="41" t="s">
        <v>650</v>
      </c>
      <c r="C199" s="43">
        <v>2.0</v>
      </c>
      <c r="D199" s="50">
        <v>28.0</v>
      </c>
      <c r="E199" s="50"/>
      <c r="F199" s="50"/>
      <c r="G199" s="50"/>
      <c r="H199" s="51">
        <f t="shared" si="17"/>
        <v>12.85714286</v>
      </c>
      <c r="I199" s="55"/>
      <c r="J199" s="5"/>
      <c r="K199" s="5"/>
      <c r="L199" s="5"/>
      <c r="M199" s="5"/>
      <c r="N199" s="5"/>
      <c r="O199" s="5"/>
      <c r="P199" s="5"/>
      <c r="Q199" s="5"/>
      <c r="R199" s="5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0">
        <v>7.36007019E9</v>
      </c>
      <c r="B200" s="41" t="s">
        <v>651</v>
      </c>
      <c r="C200" s="43">
        <v>2.0</v>
      </c>
      <c r="D200" s="50">
        <v>28.0</v>
      </c>
      <c r="E200" s="50"/>
      <c r="F200" s="50"/>
      <c r="G200" s="50"/>
      <c r="H200" s="51">
        <f t="shared" si="17"/>
        <v>12.85714286</v>
      </c>
      <c r="I200" s="55"/>
      <c r="J200" s="5"/>
      <c r="K200" s="5"/>
      <c r="L200" s="5"/>
      <c r="M200" s="5"/>
      <c r="N200" s="5"/>
      <c r="O200" s="5"/>
      <c r="P200" s="5"/>
      <c r="Q200" s="5"/>
      <c r="R200" s="5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33">
        <v>5.61886019E9</v>
      </c>
      <c r="B201" s="41" t="s">
        <v>652</v>
      </c>
      <c r="C201" s="43">
        <v>2.0</v>
      </c>
      <c r="D201" s="50">
        <v>31.0</v>
      </c>
      <c r="E201" s="50"/>
      <c r="F201" s="50"/>
      <c r="G201" s="50"/>
      <c r="H201" s="51">
        <f t="shared" si="17"/>
        <v>11.61290323</v>
      </c>
      <c r="I201" s="52">
        <v>10.0</v>
      </c>
      <c r="J201" s="5"/>
      <c r="K201" s="5"/>
      <c r="L201" s="5"/>
      <c r="M201" s="5"/>
      <c r="N201" s="5"/>
      <c r="O201" s="5"/>
      <c r="P201" s="5"/>
      <c r="Q201" s="5"/>
      <c r="R201" s="5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0">
        <v>5.03166419E9</v>
      </c>
      <c r="B202" s="41" t="s">
        <v>653</v>
      </c>
      <c r="C202" s="43">
        <v>2.0</v>
      </c>
      <c r="D202" s="50">
        <v>28.0</v>
      </c>
      <c r="E202" s="50"/>
      <c r="F202" s="50"/>
      <c r="G202" s="50"/>
      <c r="H202" s="51">
        <f t="shared" si="17"/>
        <v>12.85714286</v>
      </c>
      <c r="I202" s="52">
        <v>10.0</v>
      </c>
      <c r="J202" s="5"/>
      <c r="K202" s="5"/>
      <c r="L202" s="5"/>
      <c r="M202" s="5"/>
      <c r="N202" s="5"/>
      <c r="O202" s="5"/>
      <c r="P202" s="5"/>
      <c r="Q202" s="5"/>
      <c r="R202" s="5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0">
        <v>9.03812419E9</v>
      </c>
      <c r="B203" s="41" t="s">
        <v>654</v>
      </c>
      <c r="C203" s="43">
        <v>3.0</v>
      </c>
      <c r="D203" s="50">
        <v>31.0</v>
      </c>
      <c r="E203" s="50"/>
      <c r="F203" s="50"/>
      <c r="G203" s="50"/>
      <c r="H203" s="51">
        <f t="shared" si="17"/>
        <v>11.61290323</v>
      </c>
      <c r="I203" s="52">
        <v>7.0</v>
      </c>
      <c r="J203" s="5"/>
      <c r="K203" s="5"/>
      <c r="L203" s="5"/>
      <c r="M203" s="5"/>
      <c r="N203" s="5"/>
      <c r="O203" s="5"/>
      <c r="P203" s="5"/>
      <c r="Q203" s="5"/>
      <c r="R203" s="5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0">
        <v>7.47610819E9</v>
      </c>
      <c r="B204" s="41" t="s">
        <v>655</v>
      </c>
      <c r="C204" s="43">
        <v>2.0</v>
      </c>
      <c r="D204" s="50">
        <v>31.0</v>
      </c>
      <c r="E204" s="50"/>
      <c r="F204" s="50"/>
      <c r="G204" s="50"/>
      <c r="H204" s="51">
        <f t="shared" si="17"/>
        <v>11.61290323</v>
      </c>
      <c r="I204" s="55"/>
      <c r="J204" s="5"/>
      <c r="K204" s="5"/>
      <c r="L204" s="5"/>
      <c r="M204" s="5"/>
      <c r="N204" s="5"/>
      <c r="O204" s="5"/>
      <c r="P204" s="5"/>
      <c r="Q204" s="5"/>
      <c r="R204" s="5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33">
        <v>6.92410719E9</v>
      </c>
      <c r="B205" s="33" t="s">
        <v>656</v>
      </c>
      <c r="C205" s="43">
        <v>2.0</v>
      </c>
      <c r="D205" s="50">
        <v>84.0</v>
      </c>
      <c r="E205" s="50"/>
      <c r="F205" s="50"/>
      <c r="G205" s="50"/>
      <c r="H205" s="51">
        <f t="shared" si="17"/>
        <v>4.285714286</v>
      </c>
      <c r="I205" s="55"/>
      <c r="J205" s="5"/>
      <c r="K205" s="5"/>
      <c r="L205" s="5"/>
      <c r="M205" s="5"/>
      <c r="N205" s="5"/>
      <c r="O205" s="5"/>
      <c r="P205" s="5"/>
      <c r="Q205" s="5"/>
      <c r="R205" s="5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33">
        <v>8.33592319E9</v>
      </c>
      <c r="B206" s="33" t="s">
        <v>657</v>
      </c>
      <c r="C206" s="43">
        <v>5.0</v>
      </c>
      <c r="D206" s="50">
        <v>56.0</v>
      </c>
      <c r="E206" s="50"/>
      <c r="F206" s="50"/>
      <c r="G206" s="50"/>
      <c r="H206" s="51">
        <f t="shared" si="17"/>
        <v>6.428571429</v>
      </c>
      <c r="I206" s="55"/>
      <c r="J206" s="5"/>
      <c r="K206" s="5"/>
      <c r="L206" s="5"/>
      <c r="M206" s="5"/>
      <c r="N206" s="5"/>
      <c r="O206" s="5"/>
      <c r="P206" s="5"/>
      <c r="Q206" s="5"/>
      <c r="R206" s="5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33">
        <v>8.08667219E9</v>
      </c>
      <c r="B207" s="33" t="s">
        <v>658</v>
      </c>
      <c r="C207" s="43">
        <v>8.0</v>
      </c>
      <c r="D207" s="50">
        <v>56.0</v>
      </c>
      <c r="E207" s="50"/>
      <c r="F207" s="50"/>
      <c r="G207" s="50"/>
      <c r="H207" s="51">
        <f t="shared" si="17"/>
        <v>6.428571429</v>
      </c>
      <c r="I207" s="55"/>
      <c r="J207" s="5"/>
      <c r="K207" s="5"/>
      <c r="L207" s="5"/>
      <c r="M207" s="5"/>
      <c r="N207" s="5"/>
      <c r="O207" s="5"/>
      <c r="P207" s="5"/>
      <c r="Q207" s="5"/>
      <c r="R207" s="5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33">
        <v>1.1876368122E10</v>
      </c>
      <c r="B208" s="33" t="s">
        <v>659</v>
      </c>
      <c r="C208" s="43">
        <v>8.0</v>
      </c>
      <c r="D208" s="50">
        <v>56.0</v>
      </c>
      <c r="E208" s="50"/>
      <c r="F208" s="50"/>
      <c r="G208" s="50"/>
      <c r="H208" s="51">
        <f t="shared" si="17"/>
        <v>6.428571429</v>
      </c>
      <c r="I208" s="55"/>
      <c r="J208" s="5"/>
      <c r="K208" s="5"/>
      <c r="L208" s="5"/>
      <c r="M208" s="5"/>
      <c r="N208" s="5"/>
      <c r="O208" s="5"/>
      <c r="P208" s="5"/>
      <c r="Q208" s="5"/>
      <c r="R208" s="5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33">
        <v>4.68787619E9</v>
      </c>
      <c r="B209" s="33" t="s">
        <v>660</v>
      </c>
      <c r="C209" s="43">
        <v>8.0</v>
      </c>
      <c r="D209" s="50">
        <v>56.0</v>
      </c>
      <c r="E209" s="50"/>
      <c r="F209" s="50"/>
      <c r="G209" s="50"/>
      <c r="H209" s="51">
        <f t="shared" si="17"/>
        <v>6.428571429</v>
      </c>
      <c r="I209" s="175">
        <v>3.0</v>
      </c>
      <c r="J209" s="199"/>
      <c r="K209" s="5"/>
      <c r="L209" s="5"/>
      <c r="M209" s="185"/>
      <c r="N209" s="5"/>
      <c r="O209" s="5"/>
      <c r="P209" s="5"/>
      <c r="Q209" s="5"/>
      <c r="R209" s="5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33">
        <v>1.1876317122E10</v>
      </c>
      <c r="B210" s="33" t="s">
        <v>661</v>
      </c>
      <c r="C210" s="43">
        <v>8.0</v>
      </c>
      <c r="D210" s="50">
        <v>56.0</v>
      </c>
      <c r="E210" s="50"/>
      <c r="F210" s="50"/>
      <c r="G210" s="50"/>
      <c r="H210" s="51">
        <f t="shared" si="17"/>
        <v>6.428571429</v>
      </c>
      <c r="I210" s="175">
        <v>3.0</v>
      </c>
      <c r="J210" s="199"/>
      <c r="K210" s="5"/>
      <c r="L210" s="5"/>
      <c r="M210" s="185"/>
      <c r="N210" s="5"/>
      <c r="O210" s="5"/>
      <c r="P210" s="5"/>
      <c r="Q210" s="5"/>
      <c r="R210" s="5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33">
        <v>1.1876376122E10</v>
      </c>
      <c r="B211" s="33" t="s">
        <v>662</v>
      </c>
      <c r="C211" s="43">
        <v>8.0</v>
      </c>
      <c r="D211" s="50">
        <v>56.0</v>
      </c>
      <c r="E211" s="50"/>
      <c r="F211" s="50"/>
      <c r="G211" s="50"/>
      <c r="H211" s="51">
        <f t="shared" si="17"/>
        <v>6.428571429</v>
      </c>
      <c r="I211" s="175">
        <v>3.0</v>
      </c>
      <c r="J211" s="199"/>
      <c r="K211" s="5"/>
      <c r="L211" s="5"/>
      <c r="M211" s="185"/>
      <c r="N211" s="5"/>
      <c r="O211" s="5"/>
      <c r="P211" s="5"/>
      <c r="Q211" s="5"/>
      <c r="R211" s="5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33">
        <v>1.1876384122E10</v>
      </c>
      <c r="B212" s="33" t="s">
        <v>663</v>
      </c>
      <c r="C212" s="43">
        <v>8.0</v>
      </c>
      <c r="D212" s="50">
        <v>56.0</v>
      </c>
      <c r="E212" s="50"/>
      <c r="F212" s="50"/>
      <c r="G212" s="50"/>
      <c r="H212" s="51">
        <f t="shared" si="17"/>
        <v>6.428571429</v>
      </c>
      <c r="I212" s="178"/>
      <c r="J212" s="199"/>
      <c r="K212" s="5"/>
      <c r="L212" s="5"/>
      <c r="M212" s="185"/>
      <c r="N212" s="5"/>
      <c r="O212" s="5"/>
      <c r="P212" s="5"/>
      <c r="Q212" s="5"/>
      <c r="R212" s="5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33">
        <v>4.92793119E9</v>
      </c>
      <c r="B213" s="33" t="s">
        <v>664</v>
      </c>
      <c r="C213" s="43">
        <v>8.0</v>
      </c>
      <c r="D213" s="50">
        <v>56.0</v>
      </c>
      <c r="E213" s="50"/>
      <c r="F213" s="50"/>
      <c r="G213" s="50"/>
      <c r="H213" s="51">
        <f t="shared" si="17"/>
        <v>6.428571429</v>
      </c>
      <c r="I213" s="175">
        <v>3.0</v>
      </c>
      <c r="J213" s="199"/>
      <c r="K213" s="5"/>
      <c r="L213" s="5"/>
      <c r="M213" s="185"/>
      <c r="N213" s="5"/>
      <c r="O213" s="5"/>
      <c r="P213" s="5"/>
      <c r="Q213" s="5"/>
      <c r="R213" s="5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33">
        <v>1.1876333122E10</v>
      </c>
      <c r="B214" s="33" t="s">
        <v>665</v>
      </c>
      <c r="C214" s="43">
        <v>8.0</v>
      </c>
      <c r="D214" s="50">
        <v>56.0</v>
      </c>
      <c r="E214" s="50"/>
      <c r="F214" s="50"/>
      <c r="G214" s="50"/>
      <c r="H214" s="51">
        <f t="shared" si="17"/>
        <v>6.428571429</v>
      </c>
      <c r="I214" s="178"/>
      <c r="J214" s="199"/>
      <c r="K214" s="5"/>
      <c r="L214" s="5"/>
      <c r="M214" s="185"/>
      <c r="N214" s="5"/>
      <c r="O214" s="5"/>
      <c r="P214" s="5"/>
      <c r="Q214" s="5"/>
      <c r="R214" s="5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33">
        <v>3.29037919E9</v>
      </c>
      <c r="B215" s="33" t="s">
        <v>666</v>
      </c>
      <c r="C215" s="43">
        <v>8.0</v>
      </c>
      <c r="D215" s="50">
        <v>56.0</v>
      </c>
      <c r="E215" s="50"/>
      <c r="F215" s="50"/>
      <c r="G215" s="50"/>
      <c r="H215" s="51">
        <f t="shared" si="17"/>
        <v>6.428571429</v>
      </c>
      <c r="I215" s="178"/>
      <c r="J215" s="199"/>
      <c r="K215" s="5"/>
      <c r="L215" s="5"/>
      <c r="M215" s="185"/>
      <c r="N215" s="5"/>
      <c r="O215" s="5"/>
      <c r="P215" s="5"/>
      <c r="Q215" s="5"/>
      <c r="R215" s="5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39">
        <v>4.61880719E9</v>
      </c>
      <c r="B216" s="152" t="s">
        <v>667</v>
      </c>
      <c r="C216" s="43">
        <v>8.0</v>
      </c>
      <c r="D216" s="50">
        <v>56.0</v>
      </c>
      <c r="E216" s="50"/>
      <c r="F216" s="50"/>
      <c r="G216" s="50"/>
      <c r="H216" s="51">
        <f t="shared" si="17"/>
        <v>6.428571429</v>
      </c>
      <c r="I216" s="175">
        <v>3.0</v>
      </c>
      <c r="J216" s="200"/>
      <c r="K216" s="201"/>
      <c r="L216" s="5"/>
      <c r="M216" s="185"/>
      <c r="N216" s="5"/>
      <c r="O216" s="5"/>
      <c r="P216" s="5"/>
      <c r="Q216" s="5"/>
      <c r="R216" s="5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39">
        <v>4.61884019E9</v>
      </c>
      <c r="B217" s="152" t="s">
        <v>668</v>
      </c>
      <c r="C217" s="43">
        <v>4.0</v>
      </c>
      <c r="D217" s="50">
        <v>56.0</v>
      </c>
      <c r="E217" s="50"/>
      <c r="F217" s="50"/>
      <c r="G217" s="50"/>
      <c r="H217" s="51">
        <f t="shared" si="17"/>
        <v>6.428571429</v>
      </c>
      <c r="I217" s="175">
        <v>5.0</v>
      </c>
      <c r="J217" s="200"/>
      <c r="K217" s="201"/>
      <c r="L217" s="5"/>
      <c r="M217" s="185"/>
      <c r="N217" s="5"/>
      <c r="O217" s="5"/>
      <c r="P217" s="5"/>
      <c r="Q217" s="5"/>
      <c r="R217" s="5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39">
        <v>4.61882319E9</v>
      </c>
      <c r="B218" s="152" t="s">
        <v>669</v>
      </c>
      <c r="C218" s="43">
        <v>8.0</v>
      </c>
      <c r="D218" s="50">
        <v>56.0</v>
      </c>
      <c r="E218" s="50"/>
      <c r="F218" s="50"/>
      <c r="G218" s="50"/>
      <c r="H218" s="51">
        <f t="shared" si="17"/>
        <v>6.428571429</v>
      </c>
      <c r="I218" s="175">
        <v>3.0</v>
      </c>
      <c r="J218" s="200"/>
      <c r="K218" s="201"/>
      <c r="L218" s="5"/>
      <c r="M218" s="185"/>
      <c r="N218" s="5"/>
      <c r="O218" s="5"/>
      <c r="P218" s="5"/>
      <c r="Q218" s="5"/>
      <c r="R218" s="5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39">
        <v>5.80258019E9</v>
      </c>
      <c r="B219" s="152" t="s">
        <v>670</v>
      </c>
      <c r="C219" s="43">
        <v>3.0</v>
      </c>
      <c r="D219" s="50">
        <v>56.0</v>
      </c>
      <c r="E219" s="50"/>
      <c r="F219" s="50"/>
      <c r="G219" s="50"/>
      <c r="H219" s="51">
        <f t="shared" si="17"/>
        <v>6.428571429</v>
      </c>
      <c r="I219" s="178"/>
      <c r="J219" s="200"/>
      <c r="K219" s="201"/>
      <c r="L219" s="5"/>
      <c r="M219" s="185"/>
      <c r="N219" s="5"/>
      <c r="O219" s="5"/>
      <c r="Q219" s="5"/>
      <c r="R219" s="5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39">
        <v>4.61886619E9</v>
      </c>
      <c r="B220" s="152" t="s">
        <v>671</v>
      </c>
      <c r="C220" s="43">
        <v>8.0</v>
      </c>
      <c r="D220" s="50">
        <v>56.0</v>
      </c>
      <c r="E220" s="50"/>
      <c r="F220" s="50"/>
      <c r="G220" s="50"/>
      <c r="H220" s="51">
        <f t="shared" si="17"/>
        <v>6.428571429</v>
      </c>
      <c r="I220" s="175">
        <v>3.0</v>
      </c>
      <c r="J220" s="200"/>
      <c r="K220" s="201"/>
      <c r="L220" s="5"/>
      <c r="M220" s="185"/>
      <c r="N220" s="5"/>
      <c r="O220" s="5"/>
      <c r="P220" s="5"/>
      <c r="Q220" s="5"/>
      <c r="R220" s="5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39">
        <v>4.78460019E9</v>
      </c>
      <c r="B221" s="152" t="s">
        <v>672</v>
      </c>
      <c r="C221" s="43">
        <v>8.0</v>
      </c>
      <c r="D221" s="50">
        <v>56.0</v>
      </c>
      <c r="E221" s="50"/>
      <c r="F221" s="50"/>
      <c r="G221" s="50"/>
      <c r="H221" s="51">
        <f t="shared" si="17"/>
        <v>6.428571429</v>
      </c>
      <c r="I221" s="175">
        <v>3.0</v>
      </c>
      <c r="J221" s="200"/>
      <c r="K221" s="201"/>
      <c r="L221" s="5"/>
      <c r="M221" s="185"/>
      <c r="N221" s="5"/>
      <c r="O221" s="5"/>
      <c r="P221" s="5"/>
      <c r="Q221" s="5"/>
      <c r="R221" s="5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39">
        <v>5.94232219E9</v>
      </c>
      <c r="B222" s="152" t="s">
        <v>673</v>
      </c>
      <c r="C222" s="43">
        <v>3.0</v>
      </c>
      <c r="D222" s="50">
        <v>84.0</v>
      </c>
      <c r="E222" s="50"/>
      <c r="F222" s="50"/>
      <c r="G222" s="50"/>
      <c r="H222" s="51">
        <f t="shared" si="17"/>
        <v>4.285714286</v>
      </c>
      <c r="I222" s="178"/>
      <c r="J222" s="200"/>
      <c r="K222" s="201"/>
      <c r="L222" s="5"/>
      <c r="M222" s="185"/>
      <c r="N222" s="5"/>
      <c r="O222" s="5"/>
      <c r="P222" s="5"/>
      <c r="Q222" s="5"/>
      <c r="R222" s="5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39">
        <v>4.78462619E9</v>
      </c>
      <c r="B223" s="152" t="s">
        <v>674</v>
      </c>
      <c r="C223" s="43">
        <v>8.0</v>
      </c>
      <c r="D223" s="50">
        <v>56.0</v>
      </c>
      <c r="E223" s="50"/>
      <c r="F223" s="50"/>
      <c r="G223" s="50"/>
      <c r="H223" s="51">
        <f t="shared" si="17"/>
        <v>6.428571429</v>
      </c>
      <c r="I223" s="175">
        <v>3.0</v>
      </c>
      <c r="J223" s="200"/>
      <c r="K223" s="201"/>
      <c r="L223" s="5"/>
      <c r="M223" s="185"/>
      <c r="N223" s="5"/>
      <c r="O223" s="5"/>
      <c r="P223" s="5"/>
      <c r="Q223" s="5"/>
      <c r="R223" s="5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39">
        <v>5.57220719E9</v>
      </c>
      <c r="B224" s="152" t="s">
        <v>675</v>
      </c>
      <c r="C224" s="43">
        <v>2.0</v>
      </c>
      <c r="D224" s="50">
        <v>28.0</v>
      </c>
      <c r="E224" s="50"/>
      <c r="F224" s="50"/>
      <c r="G224" s="50"/>
      <c r="H224" s="51">
        <f t="shared" si="17"/>
        <v>12.85714286</v>
      </c>
      <c r="I224" s="178"/>
      <c r="J224" s="200"/>
      <c r="K224" s="201"/>
      <c r="L224" s="5"/>
      <c r="M224" s="185"/>
      <c r="N224" s="5"/>
      <c r="O224" s="5"/>
      <c r="P224" s="5"/>
      <c r="Q224" s="5"/>
      <c r="R224" s="5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39">
        <v>8.35542819E9</v>
      </c>
      <c r="B225" s="152" t="s">
        <v>676</v>
      </c>
      <c r="C225" s="43">
        <v>2.0</v>
      </c>
      <c r="D225" s="50">
        <v>112.0</v>
      </c>
      <c r="E225" s="50"/>
      <c r="F225" s="50"/>
      <c r="G225" s="50"/>
      <c r="H225" s="51">
        <f t="shared" si="17"/>
        <v>3.214285714</v>
      </c>
      <c r="I225" s="175">
        <v>5.0</v>
      </c>
      <c r="J225" s="200"/>
      <c r="K225" s="201"/>
      <c r="L225" s="5"/>
      <c r="M225" s="185"/>
      <c r="N225" s="5"/>
      <c r="O225" s="5"/>
      <c r="P225" s="5"/>
      <c r="Q225" s="5"/>
      <c r="R225" s="5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39">
        <v>8.35543619E9</v>
      </c>
      <c r="B226" s="152" t="s">
        <v>677</v>
      </c>
      <c r="C226" s="43">
        <v>4.0</v>
      </c>
      <c r="D226" s="50">
        <v>112.0</v>
      </c>
      <c r="E226" s="50"/>
      <c r="F226" s="50"/>
      <c r="G226" s="50"/>
      <c r="H226" s="51">
        <f t="shared" si="17"/>
        <v>3.214285714</v>
      </c>
      <c r="I226" s="175"/>
      <c r="J226" s="200"/>
      <c r="K226" s="201"/>
      <c r="L226" s="5"/>
      <c r="M226" s="198"/>
      <c r="N226" s="5"/>
      <c r="O226" s="5"/>
      <c r="P226" s="5"/>
      <c r="Q226" s="5"/>
      <c r="R226" s="5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39">
        <v>7.10813319E9</v>
      </c>
      <c r="B227" s="152" t="s">
        <v>678</v>
      </c>
      <c r="C227" s="43">
        <v>2.0</v>
      </c>
      <c r="D227" s="50">
        <v>84.0</v>
      </c>
      <c r="E227" s="50"/>
      <c r="F227" s="50"/>
      <c r="G227" s="50"/>
      <c r="H227" s="51">
        <f t="shared" si="17"/>
        <v>4.285714286</v>
      </c>
      <c r="I227" s="178"/>
      <c r="J227" s="200"/>
      <c r="K227" s="201"/>
      <c r="L227" s="5"/>
      <c r="M227" s="185"/>
      <c r="N227" s="5"/>
      <c r="O227" s="5"/>
      <c r="P227" s="5"/>
      <c r="Q227" s="5"/>
      <c r="R227" s="5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39">
        <v>6.92336419E9</v>
      </c>
      <c r="B228" s="152" t="s">
        <v>679</v>
      </c>
      <c r="C228" s="43">
        <v>2.0</v>
      </c>
      <c r="D228" s="50">
        <v>168.0</v>
      </c>
      <c r="E228" s="50"/>
      <c r="F228" s="50"/>
      <c r="G228" s="50"/>
      <c r="H228" s="51">
        <f t="shared" si="17"/>
        <v>2.142857143</v>
      </c>
      <c r="I228" s="175">
        <v>5.0</v>
      </c>
      <c r="J228" s="200"/>
      <c r="K228" s="201"/>
      <c r="L228" s="5"/>
      <c r="M228" s="185"/>
      <c r="N228" s="5"/>
      <c r="O228" s="5"/>
      <c r="P228" s="5"/>
      <c r="Q228" s="5"/>
      <c r="R228" s="5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39">
        <v>7.09257119E9</v>
      </c>
      <c r="B229" s="152" t="s">
        <v>680</v>
      </c>
      <c r="C229" s="43">
        <v>8.0</v>
      </c>
      <c r="D229" s="50">
        <v>28.0</v>
      </c>
      <c r="E229" s="50"/>
      <c r="F229" s="50"/>
      <c r="G229" s="50"/>
      <c r="H229" s="51">
        <f t="shared" si="17"/>
        <v>12.85714286</v>
      </c>
      <c r="I229" s="175"/>
      <c r="J229" s="200"/>
      <c r="K229" s="201"/>
      <c r="L229" s="5"/>
      <c r="M229" s="185"/>
      <c r="N229" s="5"/>
      <c r="O229" s="5"/>
      <c r="P229" s="5"/>
      <c r="Q229" s="5"/>
      <c r="R229" s="5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39">
        <v>9.21692819E9</v>
      </c>
      <c r="B230" s="152" t="s">
        <v>681</v>
      </c>
      <c r="C230" s="43">
        <v>2.0</v>
      </c>
      <c r="D230" s="50">
        <v>28.0</v>
      </c>
      <c r="E230" s="50"/>
      <c r="F230" s="50"/>
      <c r="G230" s="50"/>
      <c r="H230" s="51">
        <f t="shared" si="17"/>
        <v>12.85714286</v>
      </c>
      <c r="I230" s="178"/>
      <c r="J230" s="200"/>
      <c r="K230" s="201"/>
      <c r="L230" s="5"/>
      <c r="M230" s="198"/>
      <c r="N230" s="5"/>
      <c r="O230" s="5"/>
      <c r="P230" s="5"/>
      <c r="Q230" s="5"/>
      <c r="R230" s="5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39">
        <v>9.28931319E9</v>
      </c>
      <c r="B231" s="152" t="s">
        <v>681</v>
      </c>
      <c r="C231" s="43">
        <v>2.0</v>
      </c>
      <c r="D231" s="50">
        <v>84.0</v>
      </c>
      <c r="E231" s="50"/>
      <c r="F231" s="50"/>
      <c r="G231" s="50"/>
      <c r="H231" s="51">
        <f t="shared" si="17"/>
        <v>4.285714286</v>
      </c>
      <c r="I231" s="178"/>
      <c r="J231" s="200"/>
      <c r="K231" s="201"/>
      <c r="L231" s="5"/>
      <c r="M231" s="185"/>
      <c r="N231" s="5"/>
      <c r="O231" s="5"/>
      <c r="P231" s="5"/>
      <c r="Q231" s="5"/>
      <c r="R231" s="5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39">
        <v>9.34530219E9</v>
      </c>
      <c r="B232" s="152" t="s">
        <v>682</v>
      </c>
      <c r="C232" s="43">
        <v>3.0</v>
      </c>
      <c r="D232" s="50">
        <v>21.0</v>
      </c>
      <c r="E232" s="50"/>
      <c r="F232" s="50"/>
      <c r="G232" s="50"/>
      <c r="H232" s="51">
        <f t="shared" si="17"/>
        <v>17.14285714</v>
      </c>
      <c r="I232" s="178"/>
      <c r="J232" s="200"/>
      <c r="K232" s="201"/>
      <c r="L232" s="5"/>
      <c r="M232" s="185"/>
      <c r="N232" s="5"/>
      <c r="O232" s="5"/>
      <c r="P232" s="5"/>
      <c r="Q232" s="5"/>
      <c r="R232" s="5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39">
        <v>5.88908119E9</v>
      </c>
      <c r="B233" s="152" t="s">
        <v>683</v>
      </c>
      <c r="C233" s="43">
        <v>1.0</v>
      </c>
      <c r="D233" s="50">
        <v>28.0</v>
      </c>
      <c r="E233" s="50"/>
      <c r="F233" s="50"/>
      <c r="G233" s="50"/>
      <c r="H233" s="51">
        <f t="shared" si="17"/>
        <v>12.85714286</v>
      </c>
      <c r="I233" s="178"/>
      <c r="J233" s="200"/>
      <c r="K233" s="201"/>
      <c r="L233" s="5"/>
      <c r="M233" s="185"/>
      <c r="N233" s="5"/>
      <c r="O233" s="5"/>
      <c r="P233" s="5"/>
      <c r="Q233" s="5"/>
      <c r="R233" s="5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39">
        <v>7.29413119E9</v>
      </c>
      <c r="B234" s="152" t="s">
        <v>684</v>
      </c>
      <c r="C234" s="43">
        <v>1.0</v>
      </c>
      <c r="D234" s="50">
        <v>28.0</v>
      </c>
      <c r="E234" s="50"/>
      <c r="F234" s="50"/>
      <c r="G234" s="50"/>
      <c r="H234" s="51">
        <f t="shared" si="17"/>
        <v>12.85714286</v>
      </c>
      <c r="I234" s="178"/>
      <c r="J234" s="200"/>
      <c r="K234" s="201"/>
      <c r="L234" s="5"/>
      <c r="M234" s="185"/>
      <c r="N234" s="5"/>
      <c r="O234" s="5"/>
      <c r="P234" s="5"/>
      <c r="Q234" s="5"/>
      <c r="R234" s="5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148" t="s">
        <v>528</v>
      </c>
      <c r="B235" s="173"/>
      <c r="C235" s="44" t="s">
        <v>511</v>
      </c>
      <c r="D235" s="29" t="s">
        <v>24</v>
      </c>
      <c r="E235" s="202">
        <v>68891.0</v>
      </c>
      <c r="F235" s="148"/>
      <c r="G235" s="148" t="s">
        <v>28</v>
      </c>
      <c r="H235" s="151" t="s">
        <v>29</v>
      </c>
      <c r="I235" s="203" t="s">
        <v>444</v>
      </c>
      <c r="J235" s="176"/>
      <c r="K235" s="5"/>
      <c r="L235" s="5"/>
      <c r="M235" s="185"/>
      <c r="N235" s="5"/>
      <c r="O235" s="5"/>
      <c r="P235" s="5"/>
      <c r="Q235" s="5"/>
      <c r="R235" s="5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41">
        <v>5.694302001E9</v>
      </c>
      <c r="B236" s="41" t="s">
        <v>685</v>
      </c>
      <c r="C236" s="108">
        <v>3780.0</v>
      </c>
      <c r="D236" s="50">
        <v>365.0</v>
      </c>
      <c r="E236" s="50"/>
      <c r="F236" s="50"/>
      <c r="G236" s="50">
        <f>E235/C236</f>
        <v>18.22513228</v>
      </c>
      <c r="H236" s="51">
        <f t="shared" ref="H236:H261" si="18">(360/D236)</f>
        <v>0.9863013699</v>
      </c>
      <c r="I236" s="175">
        <v>19.0</v>
      </c>
      <c r="J236" s="176"/>
      <c r="K236" s="5"/>
      <c r="L236" s="5"/>
      <c r="M236" s="185"/>
      <c r="N236" s="5"/>
      <c r="O236" s="5"/>
      <c r="P236" s="5"/>
      <c r="Q236" s="5"/>
      <c r="R236" s="5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41">
        <v>7.29901019E9</v>
      </c>
      <c r="B237" s="41" t="s">
        <v>686</v>
      </c>
      <c r="C237" s="43">
        <v>1.0</v>
      </c>
      <c r="D237" s="50">
        <v>112.0</v>
      </c>
      <c r="E237" s="50"/>
      <c r="F237" s="50"/>
      <c r="G237" s="50"/>
      <c r="H237" s="51">
        <f t="shared" si="18"/>
        <v>3.214285714</v>
      </c>
      <c r="I237" s="175">
        <v>6.0</v>
      </c>
      <c r="J237" s="176"/>
      <c r="K237" s="5"/>
      <c r="L237" s="5"/>
      <c r="M237" s="185"/>
      <c r="N237" s="5"/>
      <c r="O237" s="5"/>
      <c r="P237" s="5"/>
      <c r="Q237" s="5"/>
      <c r="R237" s="5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41">
        <v>7.29900119E9</v>
      </c>
      <c r="B238" s="41" t="s">
        <v>687</v>
      </c>
      <c r="C238" s="43">
        <v>1.0</v>
      </c>
      <c r="D238" s="50">
        <v>112.0</v>
      </c>
      <c r="E238" s="50"/>
      <c r="F238" s="50"/>
      <c r="G238" s="50"/>
      <c r="H238" s="51">
        <f t="shared" si="18"/>
        <v>3.214285714</v>
      </c>
      <c r="I238" s="175">
        <v>11.0</v>
      </c>
      <c r="J238" s="176"/>
      <c r="K238" s="5"/>
      <c r="L238" s="5"/>
      <c r="M238" s="185"/>
      <c r="N238" s="5"/>
      <c r="O238" s="5"/>
      <c r="P238" s="5"/>
      <c r="Q238" s="5"/>
      <c r="R238" s="5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33">
        <v>9.76258219E9</v>
      </c>
      <c r="B239" s="41" t="s">
        <v>688</v>
      </c>
      <c r="C239" s="43">
        <v>1.0</v>
      </c>
      <c r="D239" s="50">
        <v>28.0</v>
      </c>
      <c r="E239" s="50"/>
      <c r="F239" s="50"/>
      <c r="G239" s="50"/>
      <c r="H239" s="51">
        <f t="shared" si="18"/>
        <v>12.85714286</v>
      </c>
      <c r="I239" s="55">
        <f>IF(H239&gt;G239,H239,G239)</f>
        <v>12.85714286</v>
      </c>
      <c r="J239" s="5"/>
      <c r="K239" s="5"/>
      <c r="L239" s="5"/>
      <c r="M239" s="5"/>
      <c r="N239" s="5"/>
      <c r="O239" s="5"/>
      <c r="P239" s="5"/>
      <c r="Q239" s="5"/>
      <c r="R239" s="5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41">
        <v>6.90885319E9</v>
      </c>
      <c r="B240" s="41" t="s">
        <v>689</v>
      </c>
      <c r="C240" s="43">
        <v>2.0</v>
      </c>
      <c r="D240" s="50">
        <v>28.0</v>
      </c>
      <c r="E240" s="50"/>
      <c r="F240" s="50"/>
      <c r="G240" s="50"/>
      <c r="H240" s="51">
        <f t="shared" si="18"/>
        <v>12.85714286</v>
      </c>
      <c r="I240" s="52">
        <v>72.0</v>
      </c>
      <c r="J240" s="5"/>
      <c r="K240" s="5"/>
      <c r="L240" s="5"/>
      <c r="M240" s="5"/>
      <c r="N240" s="5"/>
      <c r="O240" s="5"/>
      <c r="P240" s="5"/>
      <c r="Q240" s="5"/>
      <c r="R240" s="5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41">
        <v>6.90885319E9</v>
      </c>
      <c r="B241" s="41" t="s">
        <v>690</v>
      </c>
      <c r="C241" s="43">
        <v>2.0</v>
      </c>
      <c r="D241" s="50">
        <v>28.0</v>
      </c>
      <c r="E241" s="50"/>
      <c r="F241" s="50"/>
      <c r="G241" s="50"/>
      <c r="H241" s="51">
        <f t="shared" si="18"/>
        <v>12.85714286</v>
      </c>
      <c r="I241" s="52">
        <v>0.0</v>
      </c>
      <c r="J241" s="5"/>
      <c r="K241" s="5"/>
      <c r="L241" s="5"/>
      <c r="M241" s="5"/>
      <c r="N241" s="5"/>
      <c r="O241" s="5"/>
      <c r="P241" s="5"/>
      <c r="Q241" s="5"/>
      <c r="R241" s="5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41">
        <v>4.88029319E9</v>
      </c>
      <c r="B242" s="41" t="s">
        <v>691</v>
      </c>
      <c r="C242" s="43">
        <v>2.0</v>
      </c>
      <c r="D242" s="50">
        <v>21.0</v>
      </c>
      <c r="E242" s="50"/>
      <c r="F242" s="50"/>
      <c r="G242" s="50"/>
      <c r="H242" s="51">
        <f t="shared" si="18"/>
        <v>17.14285714</v>
      </c>
      <c r="I242" s="52">
        <v>78.0</v>
      </c>
      <c r="J242" s="5"/>
      <c r="K242" s="5"/>
      <c r="L242" s="5"/>
      <c r="M242" s="5"/>
      <c r="N242" s="5"/>
      <c r="O242" s="5"/>
      <c r="P242" s="5"/>
      <c r="Q242" s="5"/>
      <c r="R242" s="5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41">
        <v>4.88029319E9</v>
      </c>
      <c r="B243" s="41" t="s">
        <v>692</v>
      </c>
      <c r="C243" s="43">
        <v>2.0</v>
      </c>
      <c r="D243" s="50">
        <v>21.0</v>
      </c>
      <c r="E243" s="50"/>
      <c r="F243" s="50"/>
      <c r="G243" s="50"/>
      <c r="H243" s="51">
        <f t="shared" si="18"/>
        <v>17.14285714</v>
      </c>
      <c r="I243" s="52">
        <v>0.0</v>
      </c>
      <c r="J243" s="5"/>
      <c r="K243" s="5"/>
      <c r="L243" s="5"/>
      <c r="M243" s="5"/>
      <c r="N243" s="5"/>
      <c r="O243" s="5"/>
      <c r="P243" s="5"/>
      <c r="Q243" s="5"/>
      <c r="R243" s="5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41">
        <v>6.90879919E9</v>
      </c>
      <c r="B244" s="41" t="s">
        <v>693</v>
      </c>
      <c r="C244" s="43">
        <v>2.0</v>
      </c>
      <c r="D244" s="50">
        <v>21.0</v>
      </c>
      <c r="E244" s="50"/>
      <c r="F244" s="50"/>
      <c r="G244" s="50"/>
      <c r="H244" s="51">
        <f t="shared" si="18"/>
        <v>17.14285714</v>
      </c>
      <c r="I244" s="52">
        <v>78.0</v>
      </c>
      <c r="J244" s="5"/>
      <c r="K244" s="5"/>
      <c r="L244" s="5"/>
      <c r="M244" s="5"/>
      <c r="N244" s="5"/>
      <c r="O244" s="5"/>
      <c r="P244" s="5"/>
      <c r="Q244" s="5"/>
      <c r="R244" s="5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41">
        <v>6.90879919E9</v>
      </c>
      <c r="B245" s="41" t="s">
        <v>694</v>
      </c>
      <c r="C245" s="43">
        <v>2.0</v>
      </c>
      <c r="D245" s="50">
        <v>21.0</v>
      </c>
      <c r="E245" s="50"/>
      <c r="F245" s="50"/>
      <c r="G245" s="50"/>
      <c r="H245" s="51">
        <f t="shared" si="18"/>
        <v>17.14285714</v>
      </c>
      <c r="I245" s="52">
        <v>0.0</v>
      </c>
      <c r="J245" s="5"/>
      <c r="K245" s="5"/>
      <c r="L245" s="5"/>
      <c r="M245" s="5"/>
      <c r="N245" s="5"/>
      <c r="O245" s="5"/>
      <c r="P245" s="5"/>
      <c r="Q245" s="5"/>
      <c r="R245" s="5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41">
        <v>7.37306619E9</v>
      </c>
      <c r="B246" s="41" t="s">
        <v>695</v>
      </c>
      <c r="C246" s="43">
        <v>1.0</v>
      </c>
      <c r="D246" s="50">
        <v>112.0</v>
      </c>
      <c r="E246" s="50"/>
      <c r="F246" s="50"/>
      <c r="G246" s="50"/>
      <c r="H246" s="51">
        <f t="shared" si="18"/>
        <v>3.214285714</v>
      </c>
      <c r="I246" s="52"/>
      <c r="J246" s="5"/>
      <c r="K246" s="5"/>
      <c r="L246" s="5"/>
      <c r="M246" s="5"/>
      <c r="N246" s="5"/>
      <c r="O246" s="5"/>
      <c r="P246" s="5"/>
      <c r="Q246" s="5"/>
      <c r="R246" s="5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41">
        <v>7.37299019E9</v>
      </c>
      <c r="B247" s="41" t="s">
        <v>696</v>
      </c>
      <c r="C247" s="43">
        <v>1.0</v>
      </c>
      <c r="D247" s="50">
        <v>112.0</v>
      </c>
      <c r="E247" s="50"/>
      <c r="F247" s="50"/>
      <c r="G247" s="50"/>
      <c r="H247" s="51">
        <f t="shared" si="18"/>
        <v>3.214285714</v>
      </c>
      <c r="I247" s="52"/>
      <c r="J247" s="5"/>
      <c r="K247" s="5"/>
      <c r="L247" s="5"/>
      <c r="M247" s="5"/>
      <c r="N247" s="5"/>
      <c r="O247" s="5"/>
      <c r="P247" s="5"/>
      <c r="Q247" s="5"/>
      <c r="R247" s="5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41">
        <v>5.11850619E9</v>
      </c>
      <c r="B248" s="41" t="s">
        <v>697</v>
      </c>
      <c r="C248" s="43">
        <v>2.0</v>
      </c>
      <c r="D248" s="50">
        <v>5.0</v>
      </c>
      <c r="E248" s="50"/>
      <c r="F248" s="50"/>
      <c r="G248" s="50"/>
      <c r="H248" s="51">
        <f t="shared" si="18"/>
        <v>72</v>
      </c>
      <c r="I248" s="52"/>
      <c r="J248" s="5"/>
      <c r="K248" s="5"/>
      <c r="L248" s="5"/>
      <c r="M248" s="5"/>
      <c r="N248" s="5"/>
      <c r="O248" s="5"/>
      <c r="P248" s="5"/>
      <c r="Q248" s="5"/>
      <c r="R248" s="5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41">
        <v>4.444191001E9</v>
      </c>
      <c r="B249" s="41" t="s">
        <v>561</v>
      </c>
      <c r="C249" s="50">
        <v>1.0</v>
      </c>
      <c r="D249" s="50">
        <v>365.0</v>
      </c>
      <c r="E249" s="50"/>
      <c r="F249" s="50"/>
      <c r="G249" s="50"/>
      <c r="H249" s="51">
        <f t="shared" si="18"/>
        <v>0.9863013699</v>
      </c>
      <c r="I249" s="52">
        <v>18.0</v>
      </c>
      <c r="J249" s="5"/>
      <c r="K249" s="5"/>
      <c r="L249" s="5"/>
      <c r="M249" s="5"/>
      <c r="N249" s="5"/>
      <c r="O249" s="5"/>
      <c r="P249" s="5"/>
      <c r="Q249" s="5"/>
      <c r="R249" s="5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41">
        <v>1.0394246001E10</v>
      </c>
      <c r="B250" s="41" t="s">
        <v>698</v>
      </c>
      <c r="C250" s="50">
        <v>20.0</v>
      </c>
      <c r="D250" s="50">
        <v>365.0</v>
      </c>
      <c r="E250" s="50"/>
      <c r="F250" s="50"/>
      <c r="G250" s="50"/>
      <c r="H250" s="51">
        <f t="shared" si="18"/>
        <v>0.9863013699</v>
      </c>
      <c r="I250" s="52">
        <v>0.0</v>
      </c>
      <c r="J250" s="5"/>
      <c r="K250" s="5"/>
      <c r="L250" s="5"/>
      <c r="M250" s="5"/>
      <c r="N250" s="5"/>
      <c r="O250" s="5"/>
      <c r="P250" s="5"/>
      <c r="Q250" s="5"/>
      <c r="R250" s="5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39">
        <v>3.142949122E9</v>
      </c>
      <c r="B251" s="152" t="s">
        <v>699</v>
      </c>
      <c r="C251" s="43">
        <v>365.0</v>
      </c>
      <c r="D251" s="50">
        <v>1.0</v>
      </c>
      <c r="E251" s="50"/>
      <c r="F251" s="50"/>
      <c r="G251" s="50"/>
      <c r="H251" s="51">
        <f t="shared" si="18"/>
        <v>360</v>
      </c>
      <c r="I251" s="52">
        <v>0.0</v>
      </c>
      <c r="J251" s="5"/>
      <c r="K251" s="5"/>
      <c r="L251" s="5"/>
      <c r="M251" s="5"/>
      <c r="N251" s="5"/>
      <c r="O251" s="5"/>
      <c r="P251" s="5"/>
      <c r="Q251" s="5"/>
      <c r="R251" s="5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39">
        <v>5.88907319E9</v>
      </c>
      <c r="B252" s="152" t="s">
        <v>700</v>
      </c>
      <c r="C252" s="43">
        <v>100.0</v>
      </c>
      <c r="D252" s="50">
        <v>84.0</v>
      </c>
      <c r="E252" s="50"/>
      <c r="F252" s="50"/>
      <c r="G252" s="50"/>
      <c r="H252" s="51">
        <f t="shared" si="18"/>
        <v>4.285714286</v>
      </c>
      <c r="I252" s="52">
        <v>0.0</v>
      </c>
      <c r="J252" s="5"/>
      <c r="K252" s="5"/>
      <c r="L252" s="5"/>
      <c r="M252" s="5"/>
      <c r="N252" s="5"/>
      <c r="O252" s="5"/>
      <c r="P252" s="5"/>
      <c r="Q252" s="5"/>
      <c r="R252" s="5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39">
        <v>5.94431719E9</v>
      </c>
      <c r="B253" s="152" t="s">
        <v>701</v>
      </c>
      <c r="C253" s="43">
        <v>4.0</v>
      </c>
      <c r="D253" s="50">
        <v>14.0</v>
      </c>
      <c r="E253" s="50"/>
      <c r="F253" s="50"/>
      <c r="G253" s="50"/>
      <c r="H253" s="51">
        <f t="shared" si="18"/>
        <v>25.71428571</v>
      </c>
      <c r="I253" s="55"/>
      <c r="J253" s="5"/>
      <c r="K253" s="5"/>
      <c r="L253" s="5"/>
      <c r="M253" s="5"/>
      <c r="N253" s="5"/>
      <c r="O253" s="5"/>
      <c r="P253" s="5"/>
      <c r="Q253" s="5"/>
      <c r="R253" s="5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39">
        <v>9.37006419E9</v>
      </c>
      <c r="B254" s="152" t="s">
        <v>702</v>
      </c>
      <c r="C254" s="43">
        <v>1.0</v>
      </c>
      <c r="D254" s="50">
        <v>28.0</v>
      </c>
      <c r="E254" s="50"/>
      <c r="F254" s="50"/>
      <c r="G254" s="50"/>
      <c r="H254" s="51">
        <f t="shared" si="18"/>
        <v>12.85714286</v>
      </c>
      <c r="I254" s="52">
        <v>0.0</v>
      </c>
      <c r="J254" s="5"/>
      <c r="K254" s="5"/>
      <c r="L254" s="5"/>
      <c r="M254" s="5"/>
      <c r="N254" s="5"/>
      <c r="O254" s="5"/>
      <c r="P254" s="5"/>
      <c r="Q254" s="5"/>
      <c r="R254" s="5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39">
        <v>9.37009919E9</v>
      </c>
      <c r="B255" s="152" t="s">
        <v>703</v>
      </c>
      <c r="C255" s="43">
        <v>1.0</v>
      </c>
      <c r="D255" s="50">
        <v>28.0</v>
      </c>
      <c r="E255" s="50"/>
      <c r="F255" s="50"/>
      <c r="G255" s="50"/>
      <c r="H255" s="51">
        <f t="shared" si="18"/>
        <v>12.85714286</v>
      </c>
      <c r="I255" s="52">
        <v>0.0</v>
      </c>
      <c r="J255" s="5"/>
      <c r="K255" s="5"/>
      <c r="L255" s="5"/>
      <c r="M255" s="5"/>
      <c r="N255" s="5"/>
      <c r="O255" s="5"/>
      <c r="P255" s="5"/>
      <c r="Q255" s="5"/>
      <c r="R255" s="5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39">
        <v>9.12712719E9</v>
      </c>
      <c r="B256" s="152" t="s">
        <v>704</v>
      </c>
      <c r="C256" s="43">
        <v>2.0</v>
      </c>
      <c r="D256" s="50">
        <v>56.0</v>
      </c>
      <c r="E256" s="50"/>
      <c r="F256" s="50"/>
      <c r="G256" s="50"/>
      <c r="H256" s="51">
        <f t="shared" si="18"/>
        <v>6.428571429</v>
      </c>
      <c r="I256" s="52">
        <v>2.0</v>
      </c>
      <c r="J256" s="5"/>
      <c r="K256" s="5"/>
      <c r="L256" s="5"/>
      <c r="M256" s="5"/>
      <c r="N256" s="5"/>
      <c r="O256" s="5"/>
      <c r="P256" s="5"/>
      <c r="Q256" s="5"/>
      <c r="R256" s="5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41">
        <v>5.870020001E9</v>
      </c>
      <c r="B257" s="41" t="s">
        <v>570</v>
      </c>
      <c r="C257" s="50">
        <v>1.0</v>
      </c>
      <c r="D257" s="50">
        <v>365.0</v>
      </c>
      <c r="E257" s="50"/>
      <c r="F257" s="50"/>
      <c r="G257" s="50"/>
      <c r="H257" s="51">
        <f t="shared" si="18"/>
        <v>0.9863013699</v>
      </c>
      <c r="I257" s="52">
        <v>0.0</v>
      </c>
      <c r="J257" s="5"/>
      <c r="K257" s="5"/>
      <c r="L257" s="5"/>
      <c r="M257" s="5"/>
      <c r="N257" s="5"/>
      <c r="O257" s="5"/>
      <c r="P257" s="5"/>
      <c r="Q257" s="5"/>
      <c r="R257" s="5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41">
        <v>4.419987001E9</v>
      </c>
      <c r="B258" s="41" t="s">
        <v>573</v>
      </c>
      <c r="C258" s="50">
        <v>1.0</v>
      </c>
      <c r="D258" s="50">
        <v>365.0</v>
      </c>
      <c r="E258" s="50"/>
      <c r="F258" s="50"/>
      <c r="G258" s="50"/>
      <c r="H258" s="51">
        <f t="shared" si="18"/>
        <v>0.9863013699</v>
      </c>
      <c r="I258" s="52">
        <v>0.0</v>
      </c>
      <c r="J258" s="5"/>
      <c r="K258" s="5"/>
      <c r="L258" s="5"/>
      <c r="M258" s="5"/>
      <c r="N258" s="5"/>
      <c r="O258" s="5"/>
      <c r="P258" s="5"/>
      <c r="Q258" s="5"/>
      <c r="R258" s="5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41">
        <v>7.485409001E9</v>
      </c>
      <c r="B259" s="41" t="s">
        <v>705</v>
      </c>
      <c r="C259" s="50">
        <v>1.0</v>
      </c>
      <c r="D259" s="50">
        <v>365.0</v>
      </c>
      <c r="E259" s="50"/>
      <c r="F259" s="50"/>
      <c r="G259" s="50"/>
      <c r="H259" s="51">
        <f t="shared" si="18"/>
        <v>0.9863013699</v>
      </c>
      <c r="I259" s="52">
        <v>9.0</v>
      </c>
      <c r="J259" s="5"/>
      <c r="K259" s="5"/>
      <c r="L259" s="5"/>
      <c r="M259" s="5"/>
      <c r="N259" s="5"/>
      <c r="O259" s="5"/>
      <c r="P259" s="5"/>
      <c r="Q259" s="5"/>
      <c r="R259" s="5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41">
        <v>7.485433001E9</v>
      </c>
      <c r="B260" s="41" t="s">
        <v>706</v>
      </c>
      <c r="C260" s="50">
        <v>1.0</v>
      </c>
      <c r="D260" s="50">
        <v>365.0</v>
      </c>
      <c r="E260" s="50"/>
      <c r="F260" s="50"/>
      <c r="G260" s="50"/>
      <c r="H260" s="51">
        <f t="shared" si="18"/>
        <v>0.9863013699</v>
      </c>
      <c r="I260" s="52">
        <v>0.0</v>
      </c>
      <c r="J260" s="11" t="s">
        <v>707</v>
      </c>
      <c r="K260" s="5"/>
      <c r="L260" s="5"/>
      <c r="M260" s="5"/>
      <c r="N260" s="5"/>
      <c r="O260" s="5"/>
      <c r="P260" s="5"/>
      <c r="Q260" s="5"/>
      <c r="R260" s="5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41">
        <v>1.1298500316E10</v>
      </c>
      <c r="B261" s="41" t="s">
        <v>708</v>
      </c>
      <c r="C261" s="50">
        <v>5.0</v>
      </c>
      <c r="D261" s="50">
        <v>73.0</v>
      </c>
      <c r="E261" s="50"/>
      <c r="F261" s="50"/>
      <c r="G261" s="50"/>
      <c r="H261" s="51">
        <f t="shared" si="18"/>
        <v>4.931506849</v>
      </c>
      <c r="I261" s="52">
        <v>2.0</v>
      </c>
      <c r="J261" s="5"/>
      <c r="K261" s="5"/>
      <c r="L261" s="5"/>
      <c r="M261" s="5"/>
      <c r="N261" s="5"/>
      <c r="O261" s="5"/>
      <c r="P261" s="5"/>
      <c r="Q261" s="5"/>
      <c r="R261" s="5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204">
        <v>5.151643001E9</v>
      </c>
      <c r="B262" s="62" t="s">
        <v>709</v>
      </c>
      <c r="C262" s="43"/>
      <c r="D262" s="41"/>
      <c r="E262" s="41"/>
      <c r="F262" s="41"/>
      <c r="G262" s="41"/>
      <c r="H262" s="41"/>
      <c r="I262" s="62">
        <v>2.0</v>
      </c>
      <c r="J262" s="5"/>
      <c r="K262" s="5"/>
      <c r="L262" s="5"/>
      <c r="M262" s="5"/>
      <c r="N262" s="5"/>
      <c r="O262" s="5"/>
      <c r="P262" s="5"/>
      <c r="Q262" s="5"/>
      <c r="R262" s="5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5"/>
      <c r="C263" s="18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5"/>
      <c r="B264" s="5"/>
      <c r="C264" s="18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5"/>
      <c r="B265" s="5"/>
      <c r="C265" s="18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5"/>
      <c r="B266" s="5"/>
      <c r="C266" s="18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5"/>
      <c r="B267" s="5"/>
      <c r="C267" s="18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5"/>
      <c r="B268" s="5"/>
      <c r="C268" s="18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5"/>
      <c r="B269" s="5"/>
      <c r="C269" s="18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5"/>
      <c r="B270" s="5"/>
      <c r="C270" s="18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5"/>
      <c r="B271" s="5"/>
      <c r="C271" s="18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5"/>
      <c r="B272" s="5"/>
      <c r="C272" s="18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5"/>
      <c r="B273" s="5"/>
      <c r="C273" s="18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5"/>
      <c r="B274" s="5"/>
      <c r="C274" s="18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5"/>
      <c r="B275" s="5"/>
      <c r="C275" s="18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5"/>
      <c r="B276" s="5"/>
      <c r="C276" s="18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5"/>
      <c r="B277" s="5"/>
      <c r="C277" s="18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5"/>
      <c r="B278" s="5"/>
      <c r="C278" s="18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5"/>
      <c r="B279" s="5"/>
      <c r="C279" s="18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5"/>
      <c r="B280" s="5"/>
      <c r="C280" s="18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5"/>
      <c r="B281" s="5"/>
      <c r="C281" s="18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5"/>
      <c r="B282" s="5"/>
      <c r="C282" s="18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5"/>
      <c r="B283" s="5"/>
      <c r="C283" s="18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5"/>
      <c r="B284" s="5"/>
      <c r="C284" s="18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5"/>
      <c r="B285" s="5"/>
      <c r="C285" s="18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5"/>
      <c r="B286" s="5"/>
      <c r="C286" s="18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5"/>
      <c r="B287" s="5"/>
      <c r="C287" s="18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5"/>
      <c r="B288" s="5"/>
      <c r="C288" s="18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5"/>
      <c r="B289" s="5"/>
      <c r="C289" s="18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5"/>
      <c r="B290" s="5"/>
      <c r="C290" s="18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5"/>
      <c r="B291" s="5"/>
      <c r="C291" s="18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5"/>
      <c r="B292" s="5"/>
      <c r="C292" s="18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5"/>
      <c r="B293" s="5"/>
      <c r="C293" s="18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5"/>
      <c r="B294" s="5"/>
      <c r="C294" s="18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5"/>
      <c r="B295" s="5"/>
      <c r="C295" s="18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5"/>
      <c r="B296" s="5"/>
      <c r="C296" s="18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5"/>
      <c r="B297" s="5"/>
      <c r="C297" s="18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5"/>
      <c r="B298" s="5"/>
      <c r="C298" s="18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5"/>
      <c r="B299" s="5"/>
      <c r="C299" s="18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5"/>
      <c r="B300" s="5"/>
      <c r="C300" s="18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5"/>
      <c r="B301" s="5"/>
      <c r="C301" s="18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5"/>
      <c r="B302" s="5"/>
      <c r="C302" s="18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5"/>
      <c r="B303" s="5"/>
      <c r="C303" s="18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5"/>
      <c r="B304" s="5"/>
      <c r="C304" s="18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5"/>
      <c r="B305" s="5"/>
      <c r="C305" s="18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5"/>
      <c r="B306" s="5"/>
      <c r="C306" s="18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5"/>
      <c r="B307" s="5"/>
      <c r="C307" s="18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5"/>
      <c r="B308" s="5"/>
      <c r="C308" s="18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5"/>
      <c r="B309" s="5"/>
      <c r="C309" s="18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5"/>
      <c r="B310" s="5"/>
      <c r="C310" s="18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5"/>
      <c r="B311" s="5"/>
      <c r="C311" s="18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5"/>
      <c r="B312" s="5"/>
      <c r="C312" s="18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5"/>
      <c r="B313" s="5"/>
      <c r="C313" s="18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5"/>
      <c r="B314" s="5"/>
      <c r="C314" s="18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5"/>
      <c r="B315" s="5"/>
      <c r="C315" s="18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5"/>
      <c r="B316" s="5"/>
      <c r="C316" s="18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5"/>
      <c r="B317" s="5"/>
      <c r="C317" s="18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5"/>
      <c r="B318" s="5"/>
      <c r="C318" s="18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5"/>
      <c r="B319" s="5"/>
      <c r="C319" s="18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5"/>
      <c r="B320" s="5"/>
      <c r="C320" s="18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5"/>
      <c r="B321" s="5"/>
      <c r="C321" s="18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5"/>
      <c r="B322" s="5"/>
      <c r="C322" s="18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5"/>
      <c r="B323" s="5"/>
      <c r="C323" s="18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5"/>
      <c r="B324" s="5"/>
      <c r="C324" s="18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5"/>
      <c r="B325" s="5"/>
      <c r="C325" s="18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5"/>
      <c r="B326" s="5"/>
      <c r="C326" s="18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5"/>
      <c r="B327" s="5"/>
      <c r="C327" s="18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5"/>
      <c r="B328" s="5"/>
      <c r="C328" s="18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5"/>
      <c r="B329" s="5"/>
      <c r="C329" s="18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5"/>
      <c r="B330" s="5"/>
      <c r="C330" s="18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5"/>
      <c r="B331" s="5"/>
      <c r="C331" s="18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5"/>
      <c r="B332" s="5"/>
      <c r="C332" s="18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5"/>
      <c r="B333" s="5"/>
      <c r="C333" s="18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5"/>
      <c r="B334" s="5"/>
      <c r="C334" s="18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5"/>
      <c r="B335" s="5"/>
      <c r="C335" s="18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5"/>
      <c r="B336" s="5"/>
      <c r="C336" s="18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5"/>
      <c r="B337" s="5"/>
      <c r="C337" s="18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5"/>
      <c r="B338" s="5"/>
      <c r="C338" s="18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5"/>
      <c r="B339" s="5"/>
      <c r="C339" s="18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5"/>
      <c r="B340" s="5"/>
      <c r="C340" s="18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5"/>
      <c r="B341" s="5"/>
      <c r="C341" s="18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5"/>
      <c r="B342" s="5"/>
      <c r="C342" s="18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5"/>
      <c r="B343" s="5"/>
      <c r="C343" s="18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5"/>
      <c r="B344" s="5"/>
      <c r="C344" s="18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5"/>
      <c r="B345" s="5"/>
      <c r="C345" s="18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5"/>
      <c r="B346" s="5"/>
      <c r="C346" s="18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5"/>
      <c r="B347" s="5"/>
      <c r="C347" s="18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5"/>
      <c r="B348" s="5"/>
      <c r="C348" s="18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5"/>
      <c r="B349" s="5"/>
      <c r="C349" s="18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5"/>
      <c r="B350" s="5"/>
      <c r="C350" s="18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5"/>
      <c r="B351" s="5"/>
      <c r="C351" s="18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5"/>
      <c r="B352" s="5"/>
      <c r="C352" s="18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5"/>
      <c r="B353" s="5"/>
      <c r="C353" s="18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5"/>
      <c r="B354" s="5"/>
      <c r="C354" s="18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5"/>
      <c r="B355" s="5"/>
      <c r="C355" s="18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5"/>
      <c r="B356" s="5"/>
      <c r="C356" s="18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5"/>
      <c r="B357" s="5"/>
      <c r="C357" s="18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5"/>
      <c r="B358" s="5"/>
      <c r="C358" s="18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5"/>
      <c r="B359" s="5"/>
      <c r="C359" s="18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5"/>
      <c r="B360" s="5"/>
      <c r="C360" s="18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5"/>
      <c r="B361" s="5"/>
      <c r="C361" s="18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5"/>
      <c r="B362" s="5"/>
      <c r="C362" s="18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5"/>
      <c r="B363" s="5"/>
      <c r="C363" s="18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5"/>
      <c r="B364" s="5"/>
      <c r="C364" s="18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5"/>
      <c r="B365" s="5"/>
      <c r="C365" s="18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5"/>
      <c r="B366" s="5"/>
      <c r="C366" s="18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5"/>
      <c r="B367" s="5"/>
      <c r="C367" s="18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5"/>
      <c r="B368" s="5"/>
      <c r="C368" s="18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5"/>
      <c r="B369" s="5"/>
      <c r="C369" s="18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5"/>
      <c r="B370" s="5"/>
      <c r="C370" s="18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5"/>
      <c r="B371" s="5"/>
      <c r="C371" s="18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5"/>
      <c r="B372" s="5"/>
      <c r="C372" s="18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5"/>
      <c r="B373" s="5"/>
      <c r="C373" s="18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5"/>
      <c r="B374" s="5"/>
      <c r="C374" s="18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5"/>
      <c r="B375" s="5"/>
      <c r="C375" s="18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5"/>
      <c r="B376" s="5"/>
      <c r="C376" s="18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5"/>
      <c r="B377" s="5"/>
      <c r="C377" s="18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5"/>
      <c r="B378" s="5"/>
      <c r="C378" s="18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5"/>
      <c r="B379" s="5"/>
      <c r="C379" s="18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5"/>
      <c r="B380" s="5"/>
      <c r="C380" s="18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5"/>
      <c r="B381" s="5"/>
      <c r="C381" s="18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5"/>
      <c r="B382" s="5"/>
      <c r="C382" s="18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5"/>
      <c r="B383" s="5"/>
      <c r="C383" s="18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5"/>
      <c r="B384" s="5"/>
      <c r="C384" s="18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5"/>
      <c r="B385" s="5"/>
      <c r="C385" s="18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5"/>
      <c r="B386" s="5"/>
      <c r="C386" s="18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5"/>
      <c r="B387" s="5"/>
      <c r="C387" s="18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5"/>
      <c r="B388" s="5"/>
      <c r="C388" s="18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5"/>
      <c r="B389" s="5"/>
      <c r="C389" s="18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5"/>
      <c r="B390" s="5"/>
      <c r="C390" s="18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5"/>
      <c r="B391" s="5"/>
      <c r="C391" s="18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5"/>
      <c r="B392" s="5"/>
      <c r="C392" s="18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5"/>
      <c r="B393" s="5"/>
      <c r="C393" s="18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5"/>
      <c r="B394" s="5"/>
      <c r="C394" s="18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5"/>
      <c r="B395" s="5"/>
      <c r="C395" s="18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5"/>
      <c r="B396" s="5"/>
      <c r="C396" s="18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5"/>
      <c r="B397" s="5"/>
      <c r="C397" s="18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5"/>
      <c r="B398" s="5"/>
      <c r="C398" s="18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5"/>
      <c r="B399" s="5"/>
      <c r="C399" s="18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5"/>
      <c r="B400" s="5"/>
      <c r="C400" s="18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5"/>
      <c r="B401" s="5"/>
      <c r="C401" s="18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5"/>
      <c r="B402" s="5"/>
      <c r="C402" s="18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5"/>
      <c r="B403" s="5"/>
      <c r="C403" s="18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5"/>
      <c r="B404" s="5"/>
      <c r="C404" s="18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5"/>
      <c r="B405" s="5"/>
      <c r="C405" s="18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5"/>
      <c r="B406" s="5"/>
      <c r="C406" s="18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5"/>
      <c r="B407" s="5"/>
      <c r="C407" s="18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5"/>
      <c r="B408" s="5"/>
      <c r="C408" s="18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5"/>
      <c r="B409" s="5"/>
      <c r="C409" s="18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5"/>
      <c r="B410" s="5"/>
      <c r="C410" s="18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5"/>
      <c r="B411" s="5"/>
      <c r="C411" s="18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5"/>
      <c r="B412" s="5"/>
      <c r="C412" s="18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5"/>
      <c r="B413" s="5"/>
      <c r="C413" s="18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5"/>
      <c r="B414" s="5"/>
      <c r="C414" s="18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5"/>
      <c r="B415" s="5"/>
      <c r="C415" s="18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5"/>
      <c r="B416" s="5"/>
      <c r="C416" s="18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5"/>
      <c r="B417" s="5"/>
      <c r="C417" s="18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5"/>
      <c r="B418" s="5"/>
      <c r="C418" s="18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5"/>
      <c r="B419" s="5"/>
      <c r="C419" s="18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5"/>
      <c r="B420" s="5"/>
      <c r="C420" s="18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5"/>
      <c r="B421" s="5"/>
      <c r="C421" s="18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5"/>
      <c r="B422" s="5"/>
      <c r="C422" s="18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5"/>
      <c r="B423" s="5"/>
      <c r="C423" s="18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5"/>
      <c r="B424" s="5"/>
      <c r="C424" s="18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5"/>
      <c r="B425" s="5"/>
      <c r="C425" s="18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5"/>
      <c r="B426" s="5"/>
      <c r="C426" s="18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5"/>
      <c r="B427" s="5"/>
      <c r="C427" s="18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5"/>
      <c r="B428" s="5"/>
      <c r="C428" s="18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5"/>
      <c r="B429" s="5"/>
      <c r="C429" s="18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5"/>
      <c r="B430" s="5"/>
      <c r="C430" s="18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5"/>
      <c r="B431" s="5"/>
      <c r="C431" s="18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5"/>
      <c r="B432" s="5"/>
      <c r="C432" s="18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5"/>
      <c r="B433" s="5"/>
      <c r="C433" s="18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5"/>
      <c r="B434" s="5"/>
      <c r="C434" s="18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5"/>
      <c r="B435" s="5"/>
      <c r="C435" s="18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5"/>
      <c r="B436" s="5"/>
      <c r="C436" s="18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5"/>
      <c r="B437" s="5"/>
      <c r="C437" s="18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5"/>
      <c r="B438" s="5"/>
      <c r="C438" s="18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5"/>
      <c r="B439" s="5"/>
      <c r="C439" s="18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5"/>
      <c r="B440" s="5"/>
      <c r="C440" s="18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5"/>
      <c r="B441" s="5"/>
      <c r="C441" s="18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5"/>
      <c r="B442" s="5"/>
      <c r="C442" s="18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5"/>
      <c r="B443" s="5"/>
      <c r="C443" s="18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5"/>
      <c r="B444" s="5"/>
      <c r="C444" s="18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5"/>
      <c r="B445" s="5"/>
      <c r="C445" s="18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5"/>
      <c r="B446" s="5"/>
      <c r="C446" s="18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5"/>
      <c r="B447" s="5"/>
      <c r="C447" s="18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5"/>
      <c r="B448" s="5"/>
      <c r="C448" s="18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5"/>
      <c r="B449" s="5"/>
      <c r="C449" s="18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5"/>
      <c r="B450" s="5"/>
      <c r="C450" s="18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5"/>
      <c r="B451" s="5"/>
      <c r="C451" s="18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5"/>
      <c r="B452" s="5"/>
      <c r="C452" s="18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5"/>
      <c r="B453" s="5"/>
      <c r="C453" s="18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5"/>
      <c r="B454" s="5"/>
      <c r="C454" s="18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5"/>
      <c r="B455" s="5"/>
      <c r="C455" s="18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5"/>
      <c r="B456" s="5"/>
      <c r="C456" s="18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5"/>
      <c r="B457" s="5"/>
      <c r="C457" s="18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5"/>
      <c r="B458" s="5"/>
      <c r="C458" s="18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5"/>
      <c r="B459" s="5"/>
      <c r="C459" s="18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5"/>
      <c r="B460" s="5"/>
      <c r="C460" s="18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5"/>
      <c r="B461" s="5"/>
      <c r="C461" s="18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2024-07-17T17:27:37Z</dcterms:created>
  <dc:creator>pamealtamirano0481@gmail.com</dc:creator>
</cp:coreProperties>
</file>