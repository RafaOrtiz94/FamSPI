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C" sheetId="1" r:id="rId5"/>
    <sheet state="visible" name="XP 300" sheetId="2" r:id="rId6"/>
    <sheet state="visible" name="XN-L" sheetId="3" r:id="rId7"/>
    <sheet state="visible" name="XN 1000" sheetId="4" r:id="rId8"/>
    <sheet state="visible" name="c111" sheetId="5" r:id="rId9"/>
    <sheet state="visible" name="c311" sheetId="6" r:id="rId10"/>
    <sheet state="visible" name="e411" sheetId="7" r:id="rId11"/>
    <sheet state="visible" name="c303 c503" sheetId="8" r:id="rId12"/>
    <sheet state="visible" name=" e402 e801" sheetId="9" r:id="rId13"/>
    <sheet state="visible" name="t411 h232" sheetId="10" r:id="rId14"/>
    <sheet state="visible" name="AVL 9180" sheetId="11" r:id="rId15"/>
    <sheet state="visible" name="b123" sheetId="12" r:id="rId16"/>
    <sheet state="visible" name="b101" sheetId="13" r:id="rId17"/>
    <sheet state="visible" name="u6500" sheetId="14" r:id="rId18"/>
  </sheets>
  <definedNames/>
  <calcPr/>
</workbook>
</file>

<file path=xl/sharedStrings.xml><?xml version="1.0" encoding="utf-8"?>
<sst xmlns="http://schemas.openxmlformats.org/spreadsheetml/2006/main" count="1766" uniqueCount="1156">
  <si>
    <t>INFORMACIÓN GENERAL PARA CASO DE NEGOCIO (BC)</t>
  </si>
  <si>
    <t>Actualización: 15 enero 2026 17:05</t>
  </si>
  <si>
    <t>FECHA MAXIMA PARA CALCULO DE CONSUMIBLES (NO MENOR A 48 HORAS)</t>
  </si>
  <si>
    <t>TIPO DE CLIENTE</t>
  </si>
  <si>
    <t>ENTIDAD CONTRATANTE</t>
  </si>
  <si>
    <t>CLIENTE</t>
  </si>
  <si>
    <t>Código del Proceso</t>
  </si>
  <si>
    <t>Objeto de contratación</t>
  </si>
  <si>
    <t>Provincia /Ciudad</t>
  </si>
  <si>
    <t>* Ambiente de Laboratorio :</t>
  </si>
  <si>
    <t>Número de días por semana que trabaja el laboratorio</t>
  </si>
  <si>
    <t>Turnos por dia</t>
  </si>
  <si>
    <t>Horas por turno</t>
  </si>
  <si>
    <t>Controles de calidad por turno</t>
  </si>
  <si>
    <t>Niveles de Control</t>
  </si>
  <si>
    <t>Frecuencia de controles de calidad  (Rutina)</t>
  </si>
  <si>
    <t>Pruebas Especiales</t>
  </si>
  <si>
    <t>Frecuencia de controles de calidad pruebas especiales</t>
  </si>
  <si>
    <t>*Equipamiento</t>
  </si>
  <si>
    <t>Nombre de Equipo Principal</t>
  </si>
  <si>
    <t>Estado de equipo principal (nuevo / usado/ año de fabricación) TDR</t>
  </si>
  <si>
    <t>Estado de equipo: Propio / Alquilado /Nuevo /Reservado/ Serie (FAM)</t>
  </si>
  <si>
    <t>Imagen reserva de equipo</t>
  </si>
  <si>
    <t>Nombre de Equipo Back up</t>
  </si>
  <si>
    <t>Estado de equipo back up (nuevo / usado/ año de fabricación)</t>
  </si>
  <si>
    <t>Se debe instalar a la par del equipo principal? SI/NO</t>
  </si>
  <si>
    <t>Ubicación de los equipos a instalar</t>
  </si>
  <si>
    <t>Permite equipo provisional</t>
  </si>
  <si>
    <t>Requiere equipo complementario) SI/NO</t>
  </si>
  <si>
    <t>Equipo complementario, para que prueba</t>
  </si>
  <si>
    <t>*LIS</t>
  </si>
  <si>
    <t>Incluye LIS : Si / No</t>
  </si>
  <si>
    <t>Proveedor del sistema a trabajar</t>
  </si>
  <si>
    <t>Incluye Hadware: Si/No</t>
  </si>
  <si>
    <r>
      <rPr>
        <rFont val="Calibri"/>
        <color rgb="FF000000"/>
        <sz val="8.0"/>
      </rPr>
      <t xml:space="preserve">Número de pacientes </t>
    </r>
    <r>
      <rPr>
        <rFont val="Calibri"/>
        <b/>
        <color rgb="FF000000"/>
        <sz val="8.0"/>
      </rPr>
      <t>MENSUAL</t>
    </r>
  </si>
  <si>
    <t>Interfaz a sistema actual</t>
  </si>
  <si>
    <t>Nombre del sistema</t>
  </si>
  <si>
    <t>Proveedor</t>
  </si>
  <si>
    <t>Interfaz de equipos</t>
  </si>
  <si>
    <t>Modelo / Proveedor</t>
  </si>
  <si>
    <t>* Requerimiento del BC:</t>
  </si>
  <si>
    <t>Cobro de arriendo del equipamiento: Si / NO (GERENCIA)</t>
  </si>
  <si>
    <t>Plazo</t>
  </si>
  <si>
    <t>Proyección de plazo</t>
  </si>
  <si>
    <t>*Compra</t>
  </si>
  <si>
    <t>Presupuesto Referencial del proceso</t>
  </si>
  <si>
    <t>Porcentaje máximo de canje</t>
  </si>
  <si>
    <t>Compromiso de compra (GERENCIA)</t>
  </si>
  <si>
    <t>*Entregas</t>
  </si>
  <si>
    <t>Total/Parcial - tiempo/Parcial a necesidad del laboratorio</t>
  </si>
  <si>
    <t>Determinacion Efectiva Si/No</t>
  </si>
  <si>
    <t>Observaciones</t>
  </si>
  <si>
    <t>*Inversiones adicionales</t>
  </si>
  <si>
    <t>Características</t>
  </si>
  <si>
    <t>Estado</t>
  </si>
  <si>
    <t>Cantidad</t>
  </si>
  <si>
    <t>Precio</t>
  </si>
  <si>
    <t>Total</t>
  </si>
  <si>
    <t>Control externo de tercera opinión</t>
  </si>
  <si>
    <t>$ -</t>
  </si>
  <si>
    <t>Control interno interlaboratorial</t>
  </si>
  <si>
    <t>Póliza de Fiel Cumplimiento del Contrato</t>
  </si>
  <si>
    <t>Póliza de seguro de equipos</t>
  </si>
  <si>
    <t>Ups equipo</t>
  </si>
  <si>
    <t>Ups servidor</t>
  </si>
  <si>
    <t>LIS</t>
  </si>
  <si>
    <t>Interfaz</t>
  </si>
  <si>
    <t>Lantronix</t>
  </si>
  <si>
    <t>IP publica</t>
  </si>
  <si>
    <t>Punto de consulta web</t>
  </si>
  <si>
    <t>Internet</t>
  </si>
  <si>
    <t>Router para Internet</t>
  </si>
  <si>
    <t>Servidor</t>
  </si>
  <si>
    <t>Computadores</t>
  </si>
  <si>
    <t>Mantenimiento Computador</t>
  </si>
  <si>
    <t>Impresora</t>
  </si>
  <si>
    <t>Man</t>
  </si>
  <si>
    <t>Tinta</t>
  </si>
  <si>
    <t>Toner para impresora de equipos (en caso de dejar las impresoras)</t>
  </si>
  <si>
    <t>Impresora Zebra Termica ZD230 ETHERNET Y USB</t>
  </si>
  <si>
    <t>Lector inalambrico de codigo de barra</t>
  </si>
  <si>
    <t>Sistema de destilación de agua pequeño</t>
  </si>
  <si>
    <t>Sistema de osmosis</t>
  </si>
  <si>
    <t>Mantenimiento sistema de osmosis</t>
  </si>
  <si>
    <t>Sistema de prefiltracion</t>
  </si>
  <si>
    <t>Mantenimiento sistema pre filtración</t>
  </si>
  <si>
    <t>Tanque para resina mixta (muerta)</t>
  </si>
  <si>
    <t>Estructura de proteccion para sistema de agua</t>
  </si>
  <si>
    <t>MEMBRANE EQ.OSMOSIS, AG2521TF  2.5 diam</t>
  </si>
  <si>
    <t>FILTER NOM. P/SEDIMENTS PX10-20XX  PURTR (CARBON - AZUL)</t>
  </si>
  <si>
    <t>FILTER NOM.P/SEDIMENTS GX05-20XX  HYTREX (FIBRA - PAPEL - PAPEL)</t>
  </si>
  <si>
    <t>RESINA IONICA REGENERADA 20 "</t>
  </si>
  <si>
    <t>RESINA MUERTA 16kilos</t>
  </si>
  <si>
    <t>Sal en grano x quintal</t>
  </si>
  <si>
    <t>Modificaciones de espacio fisico - estructura</t>
  </si>
  <si>
    <t>Modificaciones de espacio fisico - mobiliario</t>
  </si>
  <si>
    <t>Climatizacion del area</t>
  </si>
  <si>
    <t>Rollo de cable UTP CAT5e x 100m</t>
  </si>
  <si>
    <t>Conector RJ45 Delta CAT5E x 50 unds</t>
  </si>
  <si>
    <t>Rack Cerrado POWEST 5UR</t>
  </si>
  <si>
    <t>Switch HP Aruba Ion 5 puertos</t>
  </si>
  <si>
    <t>Switch HP Aruba Ion 1430 24 puertos</t>
  </si>
  <si>
    <t>Extensiones y cortapicos</t>
  </si>
  <si>
    <t>Extras (tairas, canaletas, espiral plastico)</t>
  </si>
  <si>
    <t>Etiquetas</t>
  </si>
  <si>
    <t>A4 printer paper</t>
  </si>
  <si>
    <t>Refrigerador panorámico</t>
  </si>
  <si>
    <t>Refrigerador médico</t>
  </si>
  <si>
    <t>Termometro para refrigerador</t>
  </si>
  <si>
    <t>Termohigrometros</t>
  </si>
  <si>
    <t>Cronometros digitales</t>
  </si>
  <si>
    <t>Centrifuga</t>
  </si>
  <si>
    <t>Servicio Logisticos Proveedores</t>
  </si>
  <si>
    <t>Servicio Logisticos Clientes</t>
  </si>
  <si>
    <t>Ampolla de agua bidestilada</t>
  </si>
  <si>
    <t>Agua destilada por galón</t>
  </si>
  <si>
    <t>Hisopos x 100 uds</t>
  </si>
  <si>
    <t>Gasas x 100 uds</t>
  </si>
  <si>
    <t>Alcohol prepad 10 x 100 uds</t>
  </si>
  <si>
    <t>Tubos eppendorf X 500 UDS</t>
  </si>
  <si>
    <t xml:space="preserve">Otros </t>
  </si>
  <si>
    <t>Sub total</t>
  </si>
  <si>
    <t>¿Porque es importante ganar este proceso ?</t>
  </si>
  <si>
    <t>OBJETIVO SMART +  ESTRATEGIA</t>
  </si>
  <si>
    <t>FECHA</t>
  </si>
  <si>
    <t>MODALIDAD</t>
  </si>
  <si>
    <t>DETERMINACIÓN/ DETERMINACIÓN EFECTIVA/COMODATO TODO COBRADO/COMODATO POR DETERMINACIÓN/EQUIPO ALQUILADO</t>
  </si>
  <si>
    <t>PLAZO</t>
  </si>
  <si>
    <t>MESES</t>
  </si>
  <si>
    <t>PROYECCIÓN</t>
  </si>
  <si>
    <t>EQUIPO</t>
  </si>
  <si>
    <t>XP 300</t>
  </si>
  <si>
    <t>Parámetro</t>
  </si>
  <si>
    <t>ID</t>
  </si>
  <si>
    <t>PRODUCTO</t>
  </si>
  <si>
    <t>DET/KIT</t>
  </si>
  <si>
    <t>DIAS ESTABILIDAD</t>
  </si>
  <si>
    <t>DET/AÑO PROCESO</t>
  </si>
  <si>
    <t>PRODUCTO CALCULADO</t>
  </si>
  <si>
    <t>MINIMOS POR ESTABILIDAD</t>
  </si>
  <si>
    <t>PRODUCTO A ENTREGAR</t>
  </si>
  <si>
    <t>REGISTROS SANITARIOS</t>
  </si>
  <si>
    <t>VIGENCIA</t>
  </si>
  <si>
    <t>Biometria básica</t>
  </si>
  <si>
    <t>CELLPACK 20L</t>
  </si>
  <si>
    <t>AD-102-03-10</t>
  </si>
  <si>
    <t>STROMA WH KX21 x 500ML</t>
  </si>
  <si>
    <t>EIGHT CHECK-3WP XTRA ( 4 X 2 ML)</t>
  </si>
  <si>
    <t>AD-485-11-12</t>
  </si>
  <si>
    <t>PAPER ROLL F.PRINTER STP211-144 (10PCS.)</t>
  </si>
  <si>
    <t>No Aplica</t>
  </si>
  <si>
    <t>XN 550</t>
  </si>
  <si>
    <t>(350/450/550)</t>
  </si>
  <si>
    <t>CELLPACK DCL</t>
  </si>
  <si>
    <t>AD-565-06-13</t>
  </si>
  <si>
    <t>SULFOLYSER REAGENT X 5L</t>
  </si>
  <si>
    <t>SULFOLYSER REAGENT 500 ml</t>
  </si>
  <si>
    <t>WDF Lysercell WDF</t>
  </si>
  <si>
    <t>657-RBE-1015</t>
  </si>
  <si>
    <t>WDF Fluorocell WDF 2X42 ML</t>
  </si>
  <si>
    <t>AD-546-04-13</t>
  </si>
  <si>
    <t>CELLCLEAN AUTO 4 ML X 20  </t>
  </si>
  <si>
    <t>XN Check 12x3.0ml Level 1,2,3</t>
  </si>
  <si>
    <t>Reticulocitos</t>
  </si>
  <si>
    <t>FLUOROCELL RET 2 X 12ML</t>
  </si>
  <si>
    <t>CELLPACK DFL 1 L</t>
  </si>
  <si>
    <t>180-RBE-1014</t>
  </si>
  <si>
    <t>Líquidos</t>
  </si>
  <si>
    <t>XN-Check BF 6x3.0ml Level 1,2</t>
  </si>
  <si>
    <t>XN</t>
  </si>
  <si>
    <t xml:space="preserve">AD-102-03-10
</t>
  </si>
  <si>
    <t xml:space="preserve">657-RBE-1015
</t>
  </si>
  <si>
    <t xml:space="preserve">AD-546-04-13
</t>
  </si>
  <si>
    <t>FLUOROCELL WNR 2 X 82ML</t>
  </si>
  <si>
    <t>LYSERCELL-WNR WNR-210A</t>
  </si>
  <si>
    <t>Plaquetas Fluorescentes</t>
  </si>
  <si>
    <t>FLUOROCELL PLT 2 X 12ML</t>
  </si>
  <si>
    <t>c 111</t>
  </si>
  <si>
    <t>REACTIVO</t>
  </si>
  <si>
    <t>CANTIDAD PROCESO/AÑO</t>
  </si>
  <si>
    <t xml:space="preserve">Glucosa </t>
  </si>
  <si>
    <t>Urea</t>
  </si>
  <si>
    <t>Creatinina</t>
  </si>
  <si>
    <t>Acido Úrico</t>
  </si>
  <si>
    <t>Colesterol</t>
  </si>
  <si>
    <t>Triglicéridos</t>
  </si>
  <si>
    <t>ALT - TGP</t>
  </si>
  <si>
    <t>AST - TGO</t>
  </si>
  <si>
    <t>Fosfatasa alcalina</t>
  </si>
  <si>
    <t>Bilirrubina Total</t>
  </si>
  <si>
    <t>Bilirrubina Directa</t>
  </si>
  <si>
    <t>HDL Colesterol</t>
  </si>
  <si>
    <t>AMILASA</t>
  </si>
  <si>
    <t>LIPASA</t>
  </si>
  <si>
    <t>GGT</t>
  </si>
  <si>
    <t>Albumina</t>
  </si>
  <si>
    <t>LDL Colesterol</t>
  </si>
  <si>
    <t>Calcio</t>
  </si>
  <si>
    <t>CK</t>
  </si>
  <si>
    <t>LDH</t>
  </si>
  <si>
    <t xml:space="preserve">HbA1c </t>
  </si>
  <si>
    <t>Hierro</t>
  </si>
  <si>
    <t>Proteinas totales</t>
  </si>
  <si>
    <t>PCR latex</t>
  </si>
  <si>
    <t xml:space="preserve">D-Dimer </t>
  </si>
  <si>
    <t>Phosforo</t>
  </si>
  <si>
    <t>NH3L Ammonia</t>
  </si>
  <si>
    <t>CK-MB</t>
  </si>
  <si>
    <t>TOTAL DET</t>
  </si>
  <si>
    <t>CALIBRADOR</t>
  </si>
  <si>
    <t>Calibrator f.a.s. 12x3 ml</t>
  </si>
  <si>
    <t xml:space="preserve">Cfas Lipids 3x1ML </t>
  </si>
  <si>
    <t>Cfas Proteins</t>
  </si>
  <si>
    <t>Cfas HbA1c, 3x2ml</t>
  </si>
  <si>
    <t>Ammonia/Ethanol/CO2 Calibrator</t>
  </si>
  <si>
    <t>Cfas D- Dimer</t>
  </si>
  <si>
    <t>Calibrator f.a.s. CK‑MB</t>
  </si>
  <si>
    <t>CONTROL</t>
  </si>
  <si>
    <t>PreciControl ClinChem Multi 1 4x5ml</t>
  </si>
  <si>
    <t>PreciControl ClinChem Multi 2 4x5ml</t>
  </si>
  <si>
    <t>PreciControl HBA1c Norm</t>
  </si>
  <si>
    <t>PRECICONTROL HBA1C PATH</t>
  </si>
  <si>
    <t>Ammonia/Ethanol/CO2 Control Normal</t>
  </si>
  <si>
    <t>PreciControl D- Dimer</t>
  </si>
  <si>
    <t>CONSUMIBLES</t>
  </si>
  <si>
    <t>NaCL 9% cobas c 111</t>
  </si>
  <si>
    <t>HAEMOLYSE REAGENT 800T COBAS C111</t>
  </si>
  <si>
    <t>Activator for cobas c,Integra,c111</t>
  </si>
  <si>
    <t>ISE CLEANING SOLUTION  5x100ml</t>
  </si>
  <si>
    <t>Cobas Integra Cleaner</t>
  </si>
  <si>
    <t>Micro Cuvette Segment</t>
  </si>
  <si>
    <t>Sample cup    250 St</t>
  </si>
  <si>
    <t>URISYS Thermo-printer paper 5</t>
  </si>
  <si>
    <t>LAMP HALOGEN 12V/20W ASSY</t>
  </si>
  <si>
    <t>C311</t>
  </si>
  <si>
    <t>I.D</t>
  </si>
  <si>
    <t>DESCRIPCION</t>
  </si>
  <si>
    <t>DET/AÑO/PROCESO</t>
  </si>
  <si>
    <t>A-1MG TQ GEN.2, 100TEST, COBAS C/INT</t>
  </si>
  <si>
    <t>AAT GEN.2, 100TESTS, COBAS C, INTEGRA</t>
  </si>
  <si>
    <t>ACP HIT 917 LARGE</t>
  </si>
  <si>
    <t>ALB2, 300T, COBAS C, INTEGRA</t>
  </si>
  <si>
    <t>ALB-T TQ GEN.2, 100TESTS, COBAS C, INT</t>
  </si>
  <si>
    <t>ALP2, 200T, COBAS C, INTEGRA</t>
  </si>
  <si>
    <t>ALTL, 500TESTS, COBAS C, INTEGRA</t>
  </si>
  <si>
    <t>AMYL GEN.2, 300TESTS, COBAS C, INTEGRA</t>
  </si>
  <si>
    <t xml:space="preserve">APOAT, 100TESTS, COBAS C, INTEGRA </t>
  </si>
  <si>
    <t>APOBT, 100TESTS, COBAS C, INTEGRA</t>
  </si>
  <si>
    <t>ASLO TQ, 150TESTS, COBAS C</t>
  </si>
  <si>
    <t>ASTL, 500TESTS, COBAS C, INTEGRA</t>
  </si>
  <si>
    <t>B2MG, 140T, COBAS C 311, COBAS C 501/502</t>
  </si>
  <si>
    <t>BIL-D GEN.2, 350TESTS COBAS C, INTEGRA</t>
  </si>
  <si>
    <t>BIL-T GEN.3, 250TESTS COBAS C,INTEGRA</t>
  </si>
  <si>
    <t>C3C, 100TESTS, COBAS C, INTEGRA</t>
  </si>
  <si>
    <t>C4, 100TESTS, COBAS C, INTEGRA</t>
  </si>
  <si>
    <t>CA, GEN.2, 300TESTS, COBAS C,INTEGRA</t>
  </si>
  <si>
    <t>CERU, 100TESTS, COBAS C, INTEGRA</t>
  </si>
  <si>
    <t>CHE GEN.2, 200TESTS, COBAS C, INTEGRA</t>
  </si>
  <si>
    <t>CHOL HICO GEN.2, 400TESTS, COBAS C, INT.</t>
  </si>
  <si>
    <t>CK 200 TESTS, COBAS C/INTEGRA</t>
  </si>
  <si>
    <t>CK-MB 100TESTS, COBAS C/INTEGRA</t>
  </si>
  <si>
    <t>COBAS INTEGRA CO2-L GEN.2 250 TEST</t>
  </si>
  <si>
    <t>COC2, 200T, COBAS C</t>
  </si>
  <si>
    <t>CREAJ2, 700T, COBAS C, INTEGRA</t>
  </si>
  <si>
    <t>CRP LX HS, 300TESTS, COBAS C, INTEGRA</t>
  </si>
  <si>
    <t>CRP4, 250T, COBAS C 311/501/502,INTEGRA</t>
  </si>
  <si>
    <t>CYSC2, 225T, COBAS INTEGRA</t>
  </si>
  <si>
    <t>D-DIMER GEN.2, 100TEST, COBAS C, INTEGRA</t>
  </si>
  <si>
    <t>ETOH2 , 100T, COBAS INTEGRA</t>
  </si>
  <si>
    <t>FRUC, 150TESTS, COBAS C, INTEGRA</t>
  </si>
  <si>
    <t>GGT-2, 400T, COBAS C, INTEGRA</t>
  </si>
  <si>
    <t>GLUC HK GEN.3, 800TESTS, COBAS C, INT.</t>
  </si>
  <si>
    <t>HAPT GEN.2, 100TESTS, COBAS C, INTEGRA</t>
  </si>
  <si>
    <t>HBA1C TQ GEN.3, 150TESTS,COBAS C501/INT</t>
  </si>
  <si>
    <t>HBDH GEN.2, 100TESTS, COBAS C/INT</t>
  </si>
  <si>
    <t>HCYS, 100T COBAS INTEGRA</t>
  </si>
  <si>
    <t>HDLC4, 350T, COBAS C, INTEGRA</t>
  </si>
  <si>
    <t>IGA GEN.2, 150TESTS, COBAS C</t>
  </si>
  <si>
    <t>IGA-C,150T, COBAS C 501/502, COBAS C 311</t>
  </si>
  <si>
    <t>IGG GEN.2, 150TESTS, COBAS C</t>
  </si>
  <si>
    <t>IGM GEN.2, 150TESTS, COBAS C</t>
  </si>
  <si>
    <t>IRON GEN.2, 200TESTS, COBAS C, INTEGRA</t>
  </si>
  <si>
    <t>KAPPA TQ GEN.2, 100TESTS, COBAS C/INT</t>
  </si>
  <si>
    <t>LACT2, 100T, COBAS C, INTEGRA</t>
  </si>
  <si>
    <t>LAMB TQ GEN.2, 100TESTS, COBAS C/INT</t>
  </si>
  <si>
    <t>LDHI GEN.2 ACC.IFCC, 300T, COBAS C, INT</t>
  </si>
  <si>
    <t>LDL-C GEN.3, 200TESTS, COBAS C,INT</t>
  </si>
  <si>
    <t>LIPC, 200TESTS, COBAS C, INTEGRA</t>
  </si>
  <si>
    <t>LPA GEN.2, 150TESTS COBAS C/INT</t>
  </si>
  <si>
    <t>MG2, 250T, COBAS C,INTEGRA</t>
  </si>
  <si>
    <t>7229593190</t>
  </si>
  <si>
    <t>NH3L2, 150T, cobas c 311,cobas c 5</t>
  </si>
  <si>
    <t>PHOS GEN.2, 250TESTS, COBAS C, INTEGRA</t>
  </si>
  <si>
    <t>PREA, 100TESTS, COBAS C, INTEGRA</t>
  </si>
  <si>
    <t>RFII, 100TESTS, COBAS C, INTEGRA</t>
  </si>
  <si>
    <t>STFR2, 100T,COBAS C, INTEGRA</t>
  </si>
  <si>
    <t>THC2, 200T, COBAS C</t>
  </si>
  <si>
    <t>TP GEN.2, 300TESTS, COBAS C, INTEGRA</t>
  </si>
  <si>
    <t>TPUC3, 150T, COBAS C, INTEGRA</t>
  </si>
  <si>
    <t>TRIGL, 250TESTS, COBAS C, INTEGRA</t>
  </si>
  <si>
    <t>TRSF GEN.2, 100TESTS, COBAS C, INTEGRA</t>
  </si>
  <si>
    <t>UA GEN.2, 400TESTS, COBAS C, INTEGRA</t>
  </si>
  <si>
    <t>UIBC, 100TESTS, COBAS C, INTEGRA</t>
  </si>
  <si>
    <t>UREAL, 500T, COBAS C, INTEGRA</t>
  </si>
  <si>
    <t>CALIBRADORES</t>
  </si>
  <si>
    <t>C.f.a.s. Cystatin C</t>
  </si>
  <si>
    <t>C.f.a.s. PAC</t>
  </si>
  <si>
    <t>Calibrator f.a.s.</t>
  </si>
  <si>
    <t xml:space="preserve">Calibrator f.a.s. CK-MB </t>
  </si>
  <si>
    <t>Calibrator f.a.s. IgA/IgM CSF</t>
  </si>
  <si>
    <t xml:space="preserve">Calibrator f.a.s. Lipids </t>
  </si>
  <si>
    <t>Calibrator f.a.s.proteins</t>
  </si>
  <si>
    <t>CALIBRATOR STFR GEN.2</t>
  </si>
  <si>
    <t>Calibrator β2‑Microglobulin</t>
  </si>
  <si>
    <t>Cfas HbA1c</t>
  </si>
  <si>
    <t>Cfas Proteins U</t>
  </si>
  <si>
    <t>D-Dimer Gen.2 Calibrator Set</t>
  </si>
  <si>
    <t>Fe Standard</t>
  </si>
  <si>
    <t>HCYS Calibrator Kit</t>
  </si>
  <si>
    <t>Precimat Fructosamina</t>
  </si>
  <si>
    <t>PRECISET DAT PLUS I</t>
  </si>
  <si>
    <t>Preciset Lp(a) Gen.2</t>
  </si>
  <si>
    <t>Preciset RF</t>
  </si>
  <si>
    <t>CONTROLES</t>
  </si>
  <si>
    <t>PRESENTACION</t>
  </si>
  <si>
    <t xml:space="preserve">Ammonia/Ethanol/CO2 Control  Normal </t>
  </si>
  <si>
    <t>Ammonia/Ethanol/CO2 Control Abnormal</t>
  </si>
  <si>
    <t>Control Set  β2‑Microglobulin (Nivel 1-2)</t>
  </si>
  <si>
    <t xml:space="preserve">CONTROL-SET STFR </t>
  </si>
  <si>
    <t>Cystatin C  Control  Set  Gen.2 (1,2,3)</t>
  </si>
  <si>
    <t>D-Dimer Gen.2 Control I/II</t>
  </si>
  <si>
    <t>HCYS Control Kit Control 1 y 2</t>
  </si>
  <si>
    <t>PreciControl ClinChem Multi 1, 4x5 ml</t>
  </si>
  <si>
    <t>PreciControl ClinChem Multi 2, 4x5 ml</t>
  </si>
  <si>
    <t>PreciControl HbA1c norm</t>
  </si>
  <si>
    <t>PreciControl HbA1c path</t>
  </si>
  <si>
    <t>PreciControl Lp(a) Gen.2</t>
  </si>
  <si>
    <t>PRECINORM FRUC</t>
  </si>
  <si>
    <t>PRECINORM PUC</t>
  </si>
  <si>
    <t>PRECIPATH FRUC</t>
  </si>
  <si>
    <t>PRECIPATH PUC</t>
  </si>
  <si>
    <t>RF Control Set</t>
  </si>
  <si>
    <t>Cell Wash Solution I / NaOH-D</t>
  </si>
  <si>
    <t>Cell Wash Solution II / Acid Wash</t>
  </si>
  <si>
    <t>cobas sample cups</t>
  </si>
  <si>
    <t>Cuvettes – reaction cell sets</t>
  </si>
  <si>
    <t>Ecotergent</t>
  </si>
  <si>
    <t>FILTRO DE RESINA IONICA REGENERADA 20"</t>
  </si>
  <si>
    <t>FILTRO NOM. P/SEDIMENTS GX05-20XX (BLANCO)</t>
  </si>
  <si>
    <t>FILTRO NOM. P/SEDIMENTS PX5-20 PURTR (AZUL)</t>
  </si>
  <si>
    <t>HBA1C TQ HAEMOLYZING RGT, COBAS C</t>
  </si>
  <si>
    <t>Lamp, Halogen</t>
  </si>
  <si>
    <t>MEMBRANE EQ.OSMOSIS, AG2521TF 2.5 diam</t>
  </si>
  <si>
    <t>Multiclean, Sample Cleaner 1</t>
  </si>
  <si>
    <t>NaCl 9% Diluent</t>
  </si>
  <si>
    <t>NaOH-D c pack</t>
  </si>
  <si>
    <t>SMS</t>
  </si>
  <si>
    <t>SISTEMA PARA ELECTROLITOS</t>
  </si>
  <si>
    <t>ISE Standard low 10x3ML</t>
  </si>
  <si>
    <t>ISE Standard high 10x3ML</t>
  </si>
  <si>
    <t>ISE cleaning solution Sys Clean</t>
  </si>
  <si>
    <t>Activator</t>
  </si>
  <si>
    <t>ISE Diluent Gen.2 (5 × 300 mL)</t>
  </si>
  <si>
    <t>ISE Internal Standard Gen.2 (5 × 600 mL)</t>
  </si>
  <si>
    <t>ISE Reference Electrolyte (5 × 300 mL)</t>
  </si>
  <si>
    <t>REFERENCE ELECTRODE</t>
  </si>
  <si>
    <t>Electrodo sodio</t>
  </si>
  <si>
    <t>Electrodo potasio</t>
  </si>
  <si>
    <t>Electrodo cloro</t>
  </si>
  <si>
    <t>E411 DISK</t>
  </si>
  <si>
    <t>NOMBRE</t>
  </si>
  <si>
    <t>ACTH ELECSYS COBAS E 100 V2</t>
  </si>
  <si>
    <t>Hormona Adrenocorticotrópica</t>
  </si>
  <si>
    <t>AFP ELECSYS COBAS E 100 V2</t>
  </si>
  <si>
    <t>Alfa1 - Fetoproteína</t>
  </si>
  <si>
    <t>AMH plus Elecsys cobas e 100 V3</t>
  </si>
  <si>
    <t xml:space="preserve">Hormona Antimülleriana </t>
  </si>
  <si>
    <t>ANTI TPO</t>
  </si>
  <si>
    <t>Anti-Peroxidasa Tiroidea</t>
  </si>
  <si>
    <t>ANTI-CCP ELECSYS COBAS E 100</t>
  </si>
  <si>
    <t>Anticuerpos Antipéptido Cíclico Citrulinado</t>
  </si>
  <si>
    <t>ANTI-HAV G2 ELECSYS,COBAS E100 (COI)</t>
  </si>
  <si>
    <t>Anticuerpos Hepatitis A</t>
  </si>
  <si>
    <t xml:space="preserve">ANTI-HAV IGM ELECSYS COBAS E 100 </t>
  </si>
  <si>
    <t>Anticuerpos IGM Hepatitis A</t>
  </si>
  <si>
    <t>ANTI-HBC IGM ELECSYS COBAS E 100</t>
  </si>
  <si>
    <t>Anticuerpos IGM Hepatitis B</t>
  </si>
  <si>
    <t>Anti-HBc II ELECSYS COBAS E100</t>
  </si>
  <si>
    <t>Anticuerpos IgG e IgM Hepatitis B</t>
  </si>
  <si>
    <t>ANTI-HBE ELECSYS COBAS E 100</t>
  </si>
  <si>
    <t>Anticuerpo contra antigeno de HBE</t>
  </si>
  <si>
    <t>Anti-HBs G2 Elecsys cobas e 100 V2</t>
  </si>
  <si>
    <t>Anticuerpo contra antigeno de HBs</t>
  </si>
  <si>
    <t>ANTI-HCV G2 ELECSYS COBAS E 100 V2</t>
  </si>
  <si>
    <t>Anticuerpos contra el virus de la hepatitis C</t>
  </si>
  <si>
    <t xml:space="preserve">ANTI-SARS-COV-2 ELECSYS COBAS E 200 </t>
  </si>
  <si>
    <t xml:space="preserve">Antígeno de la nucleocápside del coronavirus 2 </t>
  </si>
  <si>
    <t>ANTI-SARS-COV-2 S ELECSYS COBAS E 200</t>
  </si>
  <si>
    <t>Anticuerpos de proteina espícula S contra el corona virus 2</t>
  </si>
  <si>
    <t>ANTI-TG ELECSYS COBAS E 100 V5</t>
  </si>
  <si>
    <t>Anticuerpos anti-tiroglobulina</t>
  </si>
  <si>
    <t>ANTI-TSHR ELECSYS COBAS E 100 V2</t>
  </si>
  <si>
    <t>Autoanticuerpos antirreceptor del hipertiroidismo</t>
  </si>
  <si>
    <t>B -CROSSLAPS/SERUM ELECSYS COBAS E 100 V2</t>
  </si>
  <si>
    <t xml:space="preserve">Productos de degradación del colágeno tipo </t>
  </si>
  <si>
    <t>CA 125 G2 ELECSYS COBAS E 100</t>
  </si>
  <si>
    <t>Marcador Tumoral 125 cancer de ovario</t>
  </si>
  <si>
    <t>CA 15-3 G2 ELECSYS COBAS E 100</t>
  </si>
  <si>
    <t>Marcador Tumoral 15-3 cancer de mama</t>
  </si>
  <si>
    <t xml:space="preserve">CA 19-9 ELECSYS COBAS E 100 </t>
  </si>
  <si>
    <t>Marcador Tumoral 19-9 cancer de pancreas</t>
  </si>
  <si>
    <t>CA 72-4 ELECSYS COBAS E 100 V2</t>
  </si>
  <si>
    <t>Marcador Tumoral Glicoproteína 72-4</t>
  </si>
  <si>
    <t>CEA ELECSYS COBAS E 100</t>
  </si>
  <si>
    <t>Antígeno carcinoembrionario</t>
  </si>
  <si>
    <t>CHAGAS ELECSYS COBAS E 100 V2</t>
  </si>
  <si>
    <t>Anticuerpos contra Trypanosoma cruzi</t>
  </si>
  <si>
    <t>CK-MB STAT ELECSYS COBAS E 100 V4</t>
  </si>
  <si>
    <t>Isoenzima MB de la creatina quinasa</t>
  </si>
  <si>
    <t>CMV IGG AVIDITY ELECSYS COBAS E 100 V2</t>
  </si>
  <si>
    <t>Avidez de anticuerpos IgG contra citomegalovirus</t>
  </si>
  <si>
    <t>CMV IGG ELECSYS COBAS E 100 V2</t>
  </si>
  <si>
    <t xml:space="preserve">Anticuerpos Inmunoglobinas G contra citomegalovirus  </t>
  </si>
  <si>
    <t>CMV IGM ELECSYS COBAS E 100</t>
  </si>
  <si>
    <t xml:space="preserve">Anticuerpos Inmunoglobinas M contra citomegalovirus  </t>
  </si>
  <si>
    <t>CORTISOL G2 ELECSYS COBAS E 100</t>
  </si>
  <si>
    <t>Cortisol</t>
  </si>
  <si>
    <t>C-PEPTIDE ELECSYS COBAS E 100</t>
  </si>
  <si>
    <t>Péptido C</t>
  </si>
  <si>
    <t>CYFRA 21-1 ELECSYS COBAS E 100</t>
  </si>
  <si>
    <t>Fragmentos de citoqueratina 19</t>
  </si>
  <si>
    <t>DHEA-S ELECSYS COBAS E 100</t>
  </si>
  <si>
    <t>Sulfato de dehidroepiandrosterona</t>
  </si>
  <si>
    <t xml:space="preserve">DIGOXIN ELECSYS COBAS E 100 V2 </t>
  </si>
  <si>
    <t>Digoxina</t>
  </si>
  <si>
    <t>EBV EBNA IGG ELECSYS COBAS E 100</t>
  </si>
  <si>
    <t>Anticuerpos IgG contra el antígeno nuclear 1</t>
  </si>
  <si>
    <t xml:space="preserve">EBV IGM ELECSYS COBAS E 100 </t>
  </si>
  <si>
    <t>Anticuerpos IgM contra el virus de Epstein-Bar</t>
  </si>
  <si>
    <t>EBV VCA IGG ELECSYS COBAS E 100</t>
  </si>
  <si>
    <t>Anticuerpos IgG contra el virus de Epstein-Barr</t>
  </si>
  <si>
    <t>ESTRADIOL G3 ELECSYS COBAS E100</t>
  </si>
  <si>
    <t>Estradiol</t>
  </si>
  <si>
    <t>FERRITIN ELECSYS COBAS E 100 V2</t>
  </si>
  <si>
    <t>Ferritina</t>
  </si>
  <si>
    <t xml:space="preserve">FOLATE G3 ELECSYS COBAS E 100 V2 </t>
  </si>
  <si>
    <t>Ácido Fólico</t>
  </si>
  <si>
    <t xml:space="preserve">FREE HCGBETA ELECSYS COBAS E 100 V2 </t>
  </si>
  <si>
    <t>Subunidad β libre de la gonadotropina coriónica humana</t>
  </si>
  <si>
    <t>FREE PSA ELECSYS COBAS E 100 V3</t>
  </si>
  <si>
    <t>Antigeno Prostatico Especifico Libre</t>
  </si>
  <si>
    <t>FSH ELECSYS COBAS E 100 V2</t>
  </si>
  <si>
    <t>Hormona Folículoestimulant</t>
  </si>
  <si>
    <t>FT3 G3 ELECSYS COBAS E 200 V2</t>
  </si>
  <si>
    <t>Triyodotironina libre</t>
  </si>
  <si>
    <t>FT4 G4 ELECSYS COBAS E 200</t>
  </si>
  <si>
    <t xml:space="preserve">Tiroxina libre </t>
  </si>
  <si>
    <t>GDF-15 ELECSYS COBAS E 100 V2</t>
  </si>
  <si>
    <t xml:space="preserve">Factor de diferenciación de crecimiento </t>
  </si>
  <si>
    <t xml:space="preserve">HBEAG ELECSYS COBAS E 100 </t>
  </si>
  <si>
    <t>Antigeno E Hepatitis B</t>
  </si>
  <si>
    <t>HBSAG G2 ELECSYS COBAS E 100 V2</t>
  </si>
  <si>
    <t>Antigeno de Superficie Hepatitis B</t>
  </si>
  <si>
    <t xml:space="preserve">HCG STAT ELECSYS COBAS E 100 V3 </t>
  </si>
  <si>
    <t>Gonadotropina Coriónica Humana</t>
  </si>
  <si>
    <t>HCG+BETA ELECSYS COBAS E 100 V2</t>
  </si>
  <si>
    <t>Subunidad β Gonadotropina Coriónica Humana</t>
  </si>
  <si>
    <t xml:space="preserve">HE4 ELECSYS COBAS E 100 </t>
  </si>
  <si>
    <t>Proteína Epididimaria Humana</t>
  </si>
  <si>
    <t>HGH ELECSYS COBAS E 100</t>
  </si>
  <si>
    <t>Hormona de Crecimiento Humana</t>
  </si>
  <si>
    <t>HIV COMBI PT ELECSYS COBAS E 100 V2</t>
  </si>
  <si>
    <t>Antigeno y anticuerpo contra VIH</t>
  </si>
  <si>
    <t>HSV-1 IgG Elecsys cobas e 100 V2</t>
  </si>
  <si>
    <t>Anticuerpos IGG contra virus de herpes 1</t>
  </si>
  <si>
    <t>HSV-2 IgG Elecsys cobas e 100 V2</t>
  </si>
  <si>
    <t>Anticuerpos IGG contra virus de herpes 2</t>
  </si>
  <si>
    <t>HTLV I/II ELECSYS COBAS E100 V2</t>
  </si>
  <si>
    <t>Anticuerpos contra virus linfotrópico humano de células T</t>
  </si>
  <si>
    <t>IGE G2 ELECSYS COBAS E 100</t>
  </si>
  <si>
    <t>Inmunoglobulina E</t>
  </si>
  <si>
    <t>IGF-1 ELECSYS COBAS E 100</t>
  </si>
  <si>
    <t xml:space="preserve">Factor de crecimiento </t>
  </si>
  <si>
    <t>IGFBP-3 ELECSYS COBAS E 100</t>
  </si>
  <si>
    <t>Proteína transportadora de factor crecimiento</t>
  </si>
  <si>
    <t>IL 6 ELECSYS COBAS E 100 V2</t>
  </si>
  <si>
    <t>Interleucina-6</t>
  </si>
  <si>
    <t>INSULIN ELECSYS COBAS E 100</t>
  </si>
  <si>
    <t>Insulina</t>
  </si>
  <si>
    <t>LH ELECSYS COBAS E 100</t>
  </si>
  <si>
    <t>Hormona luteinizante</t>
  </si>
  <si>
    <t>MYOGLOBIN STAT ELECSYS COBAS E 100</t>
  </si>
  <si>
    <t xml:space="preserve">Mioglobina </t>
  </si>
  <si>
    <t>N-MID OSTEOCALCIN ELECSYS COBAS E 100</t>
  </si>
  <si>
    <t>Osteocalcina N-MID</t>
  </si>
  <si>
    <t xml:space="preserve">NSE ELECSYS COBAS E 100 </t>
  </si>
  <si>
    <t>Enolasa neuronal específica</t>
  </si>
  <si>
    <t xml:space="preserve">PAPP-A ELECSYS COBAS E 100 V2 </t>
  </si>
  <si>
    <t>Proteina Plasmatica A</t>
  </si>
  <si>
    <t>PCT BRAHMS-ROCHE ELECSYS COBAS E100 V2.1</t>
  </si>
  <si>
    <t>Procalcitonina</t>
  </si>
  <si>
    <t>PIGF ELECSYS COBAS E 100</t>
  </si>
  <si>
    <t>Preeclampsia</t>
  </si>
  <si>
    <t>PROBNP G2 ELECSYS COBAS E 100 V2</t>
  </si>
  <si>
    <t>Péptidos natriuréticos</t>
  </si>
  <si>
    <t>PROBNP G2 STAT ELECSYS COBAS E 100 V2</t>
  </si>
  <si>
    <t>Péptidos natriuréticos STAT</t>
  </si>
  <si>
    <t>PROGESTERONE G3 ELECSYS COBAS E 100</t>
  </si>
  <si>
    <t>Progesterona</t>
  </si>
  <si>
    <t>PROGRP ELECSYS COBAS E 100 V2</t>
  </si>
  <si>
    <t>Péptido liberador de gastrina</t>
  </si>
  <si>
    <t>PROLACTIN G2 ELECSYS COBAS E 100 V2.1</t>
  </si>
  <si>
    <t>Prolactina</t>
  </si>
  <si>
    <t xml:space="preserve">PTH (1-84) ELECSYS COBAS E 100 V2 </t>
  </si>
  <si>
    <t>Parathormona 1-84</t>
  </si>
  <si>
    <t>PTH ELECSYS COBAS E 100</t>
  </si>
  <si>
    <t>Parathormona</t>
  </si>
  <si>
    <t>RUBELLA IGG ELECSYS COBAS E 100</t>
  </si>
  <si>
    <t>Rubéola Inmunoglobina G</t>
  </si>
  <si>
    <t>RUBELLA IGM ELECSYS COBAS E100</t>
  </si>
  <si>
    <t>Rubéola Inmunoglobina M</t>
  </si>
  <si>
    <t>SARS-COV-2 AG ELECSYS COBAS E 200</t>
  </si>
  <si>
    <t>Antigeno corona virus 2</t>
  </si>
  <si>
    <t>SCC ELECSYS COBAS E 100</t>
  </si>
  <si>
    <t>Antígeno del Carcinoma de Células Escamosas</t>
  </si>
  <si>
    <t>SFLT1 ELECSYS COBAS E 100</t>
  </si>
  <si>
    <t>Tirosina quinasa -1</t>
  </si>
  <si>
    <t xml:space="preserve">SHBG ELECSYS COBAS E 100 </t>
  </si>
  <si>
    <t>Globulina Fijadora de Hormonas Sexuales</t>
  </si>
  <si>
    <t>SYPHILIS ELECSYS COBAS E 100 V2</t>
  </si>
  <si>
    <t>Anticuerpos Treponema Pallidum</t>
  </si>
  <si>
    <t>T3 ELECSYS COBAS E 200 V2</t>
  </si>
  <si>
    <t>Triyodotironina</t>
  </si>
  <si>
    <t>T4 ELECSYS COBAS E 200 V3</t>
  </si>
  <si>
    <t xml:space="preserve"> Tiroxina</t>
  </si>
  <si>
    <t>Testosterone</t>
  </si>
  <si>
    <t>Testosterona</t>
  </si>
  <si>
    <t>TG G2 ELECSYS COBAS E 100 V2</t>
  </si>
  <si>
    <t>Tiroglobulina</t>
  </si>
  <si>
    <t>TOTAL PSA ELECSYS COBAS E 100 V3</t>
  </si>
  <si>
    <t>Antigeno Prostatico Especifico Total</t>
  </si>
  <si>
    <t xml:space="preserve">TOXO IGG AVIDITY ELECSYS COBAS E 100 </t>
  </si>
  <si>
    <t>Toxoplasma Inmunoglobinas G Avidity</t>
  </si>
  <si>
    <t>TOXO IGG ELECSYS COBAS E 100</t>
  </si>
  <si>
    <t>Toxoplasma Inmunoglobinas G</t>
  </si>
  <si>
    <t>TOXO IGM ELECSYS COBAS E 100</t>
  </si>
  <si>
    <t>Toxoplasma Inmunoglobinas M</t>
  </si>
  <si>
    <t>TROPONIN I STAT ELECSYS COBAS E 100</t>
  </si>
  <si>
    <t xml:space="preserve">Troponina I Cardiaca </t>
  </si>
  <si>
    <t>TROPONIN T HS ELECSYS COBAS E 200 V2.1</t>
  </si>
  <si>
    <t>Troponina T Cardiaca High Sensitive</t>
  </si>
  <si>
    <t>TROPONIN T HS STAT ELECSYS COBAS E100 V2</t>
  </si>
  <si>
    <t>Troponina T Cardiaca High Sensitive STAT</t>
  </si>
  <si>
    <t>TSH ELECSYS COBAS E 200 V2</t>
  </si>
  <si>
    <t>Hormona Estimulante de Tiroides</t>
  </si>
  <si>
    <t>VITAMIN B12 G2 ELECSYS COBAS E 100</t>
  </si>
  <si>
    <t>Vitamina B12</t>
  </si>
  <si>
    <t>VITAMIN D TOTAL G3 ELECSYS COBAS E 100</t>
  </si>
  <si>
    <t>Vitamina D</t>
  </si>
  <si>
    <t>DIAS ESTABILDAD</t>
  </si>
  <si>
    <t>ACTH CS ELECSYS V2</t>
  </si>
  <si>
    <t>-</t>
  </si>
  <si>
    <t>AFP G2 CS ELECSYS V3</t>
  </si>
  <si>
    <t>AMH PLUS CS ELECSYS</t>
  </si>
  <si>
    <t>Anti SARS-COV-2-S CS</t>
  </si>
  <si>
    <t>ANTI-TG CS ELECSYS</t>
  </si>
  <si>
    <t>ANTI-TPO CS ELECSYS</t>
  </si>
  <si>
    <t>ANTI-TSHR CS</t>
  </si>
  <si>
    <t>B-CrossLaps CS</t>
  </si>
  <si>
    <t>CA 125 CS</t>
  </si>
  <si>
    <t>CA 15-3 G2 CS ELECSYS</t>
  </si>
  <si>
    <t>CA 19-9 CS</t>
  </si>
  <si>
    <t>CA 72-4 CS ELECSYS V2</t>
  </si>
  <si>
    <t>CEA CS</t>
  </si>
  <si>
    <t> 5957656190</t>
  </si>
  <si>
    <t>CK-MB STAT CS</t>
  </si>
  <si>
    <t>Cortisol CS</t>
  </si>
  <si>
    <t>C-PEPTIDE CS ELECSYS</t>
  </si>
  <si>
    <t>CYFRA 21-1 CS</t>
  </si>
  <si>
    <t>DHEA-S CS ELECSYS</t>
  </si>
  <si>
    <t>DIGOXIN CS</t>
  </si>
  <si>
    <t>ESTRADIOL G3 CS ELECYSS</t>
  </si>
  <si>
    <t>Ferritina CS</t>
  </si>
  <si>
    <t>Folate G3 CS</t>
  </si>
  <si>
    <t>FREE B HCG CS</t>
  </si>
  <si>
    <t>Free PSA Calset</t>
  </si>
  <si>
    <t>FSH CS Elecsys V3.1</t>
  </si>
  <si>
    <t>FT3 Calset</t>
  </si>
  <si>
    <t>FT4 Calset</t>
  </si>
  <si>
    <t> 7125941190</t>
  </si>
  <si>
    <t>GDF-15 CS</t>
  </si>
  <si>
    <t>HCG STAT CS</t>
  </si>
  <si>
    <t>HCG+B CalSet</t>
  </si>
  <si>
    <t> 5950945190</t>
  </si>
  <si>
    <t>HE4 CS</t>
  </si>
  <si>
    <t> 5390133190</t>
  </si>
  <si>
    <t>HGH CS</t>
  </si>
  <si>
    <t>IgE CS</t>
  </si>
  <si>
    <t>IGF-1 CS</t>
  </si>
  <si>
    <t>IGFBP-3 CS</t>
  </si>
  <si>
    <t>IL 6 CS ELECSYS</t>
  </si>
  <si>
    <t>Insulina CS</t>
  </si>
  <si>
    <t>LH Calset</t>
  </si>
  <si>
    <t>MYOGLOBIN STAT CS</t>
  </si>
  <si>
    <t>N-MID OSTEOCALCIN CS</t>
  </si>
  <si>
    <t>NSE CS</t>
  </si>
  <si>
    <t>PAPP-A CS</t>
  </si>
  <si>
    <t>PIGF CS</t>
  </si>
  <si>
    <t>proBNP CS</t>
  </si>
  <si>
    <t>proBNP STAT CS</t>
  </si>
  <si>
    <t>Progesterona Calset</t>
  </si>
  <si>
    <t>ProGRP CS</t>
  </si>
  <si>
    <t>Prolactin CalSet</t>
  </si>
  <si>
    <t>PTH (1-84) CS</t>
  </si>
  <si>
    <t>PTH CS ELECSYS V2</t>
  </si>
  <si>
    <t>SCC CS</t>
  </si>
  <si>
    <t> 5109531190</t>
  </si>
  <si>
    <t>sFLT-1 CS</t>
  </si>
  <si>
    <t>SHBG CS</t>
  </si>
  <si>
    <t>T3 Calset</t>
  </si>
  <si>
    <t>T4 Calset</t>
  </si>
  <si>
    <t>Testosterone Calset</t>
  </si>
  <si>
    <t>TG G2 CS ELECSYS V2</t>
  </si>
  <si>
    <t>Total PSA CalSet</t>
  </si>
  <si>
    <t> 5094801190</t>
  </si>
  <si>
    <t>TROPONIN I STAT CS</t>
  </si>
  <si>
    <t>TROPONIN T HS CS ELECSYS V1.1</t>
  </si>
  <si>
    <t>TROPONIN T HS STAT CS ELECSYS V1.1</t>
  </si>
  <si>
    <t>TSH CalSet</t>
  </si>
  <si>
    <t>VITAMIN B12 G2 CS ELECSYS V2</t>
  </si>
  <si>
    <t>Vitamina D CS</t>
  </si>
  <si>
    <t> 9216928190</t>
  </si>
  <si>
    <t>ANTI-SARS-COV-2 PC ELECSYS</t>
  </si>
  <si>
    <t>CMV IgG Avidity PC Elecsys</t>
  </si>
  <si>
    <t>HCV Duo PC Elecsys</t>
  </si>
  <si>
    <t>Maternal Care Gen.2 PC Elecsys</t>
  </si>
  <si>
    <t>PreciControl AMH</t>
  </si>
  <si>
    <t>PreciControl AMH Plus</t>
  </si>
  <si>
    <t xml:space="preserve">PreciControl Anti‑CCP  </t>
  </si>
  <si>
    <t>PreciControl Anti‑HAV IgM</t>
  </si>
  <si>
    <t xml:space="preserve">PreciControl Anti‑HAV II  </t>
  </si>
  <si>
    <t>PreciControl Anti‑HBc IgM</t>
  </si>
  <si>
    <t xml:space="preserve">PreciControl Anti‑HBc II  </t>
  </si>
  <si>
    <t>PreciControl Anti‑HBe</t>
  </si>
  <si>
    <t>PreciControl Anti‑HBs</t>
  </si>
  <si>
    <t>PreciControl Anti‑HCV</t>
  </si>
  <si>
    <t>PreciControl Anti‑SARS‑CoV‑2</t>
  </si>
  <si>
    <t xml:space="preserve">PreciControl Cardiac II  </t>
  </si>
  <si>
    <t>PreciControl Chagas</t>
  </si>
  <si>
    <t>PreciControl CMV IgG</t>
  </si>
  <si>
    <t>PreciControl CMV IgM</t>
  </si>
  <si>
    <t xml:space="preserve">PreciControl EBV EBNA IgG </t>
  </si>
  <si>
    <t>PreciControl EBV IgM/VCA IgG</t>
  </si>
  <si>
    <t>PreciControl Everolimus</t>
  </si>
  <si>
    <t>PreciControl Growth</t>
  </si>
  <si>
    <t>PreciControl HBeAg</t>
  </si>
  <si>
    <t xml:space="preserve">PreciControl HBsAg II </t>
  </si>
  <si>
    <t xml:space="preserve">PreciControl HBsAg II quant </t>
  </si>
  <si>
    <t xml:space="preserve">PreciControl HE4 </t>
  </si>
  <si>
    <t>PreciControl HIV Gen II</t>
  </si>
  <si>
    <t xml:space="preserve">PreciControl HSV </t>
  </si>
  <si>
    <t>PreciControl HTLV</t>
  </si>
  <si>
    <t>PreciControl ISD</t>
  </si>
  <si>
    <t xml:space="preserve">PreciControl Lung Cancer  </t>
  </si>
  <si>
    <t>PreciControl Maternal Care p</t>
  </si>
  <si>
    <t>PreciControl Multimarker Elecsys,cobas e</t>
  </si>
  <si>
    <t>PreciControl ProGRP</t>
  </si>
  <si>
    <t>PreciControl Rubella IgG</t>
  </si>
  <si>
    <t>PreciControl Rubella IgM</t>
  </si>
  <si>
    <t>PreciControl SARS‑CoV‑2 Antigen</t>
  </si>
  <si>
    <t>PreciControl Syphilis</t>
  </si>
  <si>
    <t>PreciControl ThyroAB</t>
  </si>
  <si>
    <t xml:space="preserve">PreciControl Toxo IgG </t>
  </si>
  <si>
    <t>PreciControl Toxo IgG Avidity</t>
  </si>
  <si>
    <t>PreciControl Toxo IgM</t>
  </si>
  <si>
    <t>PreciControl Troponin</t>
  </si>
  <si>
    <t>PreciControl Tumor Marker Elec</t>
  </si>
  <si>
    <t>PreciControl Universal</t>
  </si>
  <si>
    <t>PreciControl Varia Elecsys</t>
  </si>
  <si>
    <t xml:space="preserve">PreciControl Vitamin D total III  </t>
  </si>
  <si>
    <t xml:space="preserve">ASSAY CUP </t>
  </si>
  <si>
    <t xml:space="preserve">ASSY TIP </t>
  </si>
  <si>
    <t>Copillas de muestra Hitachi</t>
  </si>
  <si>
    <t>Elecsys Clean-Cell</t>
  </si>
  <si>
    <t>Elecsys ProCell</t>
  </si>
  <si>
    <t>Elecsys Sys Wash</t>
  </si>
  <si>
    <t xml:space="preserve">ISE CLEANING SOLUTION </t>
  </si>
  <si>
    <t>Measuring CELL</t>
  </si>
  <si>
    <t>UNIVERSAL DILUENT 2X16ML ELECSYS,COBAS E</t>
  </si>
  <si>
    <t>UNIVERSAL DILUENT 2X36ML ELECSYS,COBAS E</t>
  </si>
  <si>
    <t>CLEAN-LINER</t>
  </si>
  <si>
    <t>COBAS PURE c303</t>
  </si>
  <si>
    <t>COBAS PRO c503</t>
  </si>
  <si>
    <t>PRODUCTO A ENVIAR</t>
  </si>
  <si>
    <t>ÁCIDO ÚRICO</t>
  </si>
  <si>
    <t>UA2, 1300T, cobas c pack green</t>
  </si>
  <si>
    <t>ALBÚMINA RUTINA</t>
  </si>
  <si>
    <t>ALB2, 750T, cobas c pack green</t>
  </si>
  <si>
    <t>Amilasa Serica</t>
  </si>
  <si>
    <t>AMYL2, 750T, cobas c pack green</t>
  </si>
  <si>
    <t>Amilasa Pancreatica</t>
  </si>
  <si>
    <t>AMY-P, 450T, cobas c pack green</t>
  </si>
  <si>
    <t>BILIRRUBINA TOTAL</t>
  </si>
  <si>
    <t>BILT3, 1050T, cobas c pack green</t>
  </si>
  <si>
    <t>Bilirrubina Directa Alto Rendimiento</t>
  </si>
  <si>
    <t>BILD2, 1000T, cobas c pack green</t>
  </si>
  <si>
    <t>CALCIO</t>
  </si>
  <si>
    <t>CA2, 1500T, cobas c pack green</t>
  </si>
  <si>
    <t>COLESTEROL</t>
  </si>
  <si>
    <t>CHOL2, 2600T, cobas c pack green</t>
  </si>
  <si>
    <t>Colinesterasa Gen 2</t>
  </si>
  <si>
    <t>CHE2, 1050T, cobas c pack green</t>
  </si>
  <si>
    <t>CREATIN KINASA</t>
  </si>
  <si>
    <t>CK, 500T, cobas c pack green</t>
  </si>
  <si>
    <t>FOSFATASA ALCALINA</t>
  </si>
  <si>
    <t>ALP2, 1100T, cobas c pack green</t>
  </si>
  <si>
    <t>FOSFORO TOTAL</t>
  </si>
  <si>
    <t>PHOS2, 750T, cobas c pack green</t>
  </si>
  <si>
    <t>γ-Glutamyltransferasa ver. 2</t>
  </si>
  <si>
    <t>GGT-2, 400T, cobas c pack green</t>
  </si>
  <si>
    <t>GLUCOSA</t>
  </si>
  <si>
    <t>GLUC3, 3300T, cobas c pack green</t>
  </si>
  <si>
    <t>HIERRO SÉRICO</t>
  </si>
  <si>
    <t>IRON2, 700T, cobas c pack green</t>
  </si>
  <si>
    <t>Lactato</t>
  </si>
  <si>
    <t>LACT2, 100T, cobas c pack green</t>
  </si>
  <si>
    <t>LDHI2, 850T, cobas c pack green</t>
  </si>
  <si>
    <t>LIPC, 200T, cobas c pack green</t>
  </si>
  <si>
    <t>MAGNESIO</t>
  </si>
  <si>
    <t>MG2, 690T, cobas c pack green</t>
  </si>
  <si>
    <t>ALT (PYP en el mismo reactivo)</t>
  </si>
  <si>
    <t>ALTP2, 800T, cobas c pack green</t>
  </si>
  <si>
    <t>AST (PYP en el mismo reactivo)</t>
  </si>
  <si>
    <t>ASTP2, 800T, cobas c pack green</t>
  </si>
  <si>
    <t>TRIGLICÉRIDOS</t>
  </si>
  <si>
    <t>TRIGL, 1000T, cobas c pack green</t>
  </si>
  <si>
    <t>UREA</t>
  </si>
  <si>
    <t>UREAL, 600T, cobas c pack green</t>
  </si>
  <si>
    <t>α-Hydroxybutyrate Dehydrogenase  Gen.2</t>
  </si>
  <si>
    <t>HBDH, 300T, cobas c pack green</t>
  </si>
  <si>
    <t>Albumin BC</t>
  </si>
  <si>
    <t>ALBP, 500T, cobas c pack green</t>
  </si>
  <si>
    <t>PROTEÍNAS TOTALES</t>
  </si>
  <si>
    <t>TP2, 1050T, cobas c pack green</t>
  </si>
  <si>
    <t>Creatinina Enzimatica</t>
  </si>
  <si>
    <t>CREP2, 600T, cobas c pack green</t>
  </si>
  <si>
    <t>Creatinina Jaffe</t>
  </si>
  <si>
    <t>CREAJ2, 2500T, cobas c pack green</t>
  </si>
  <si>
    <t>COLESTEROL HDL</t>
  </si>
  <si>
    <t>HDLC4, 700T, cobas c pack green</t>
  </si>
  <si>
    <t>COLESTEROL LDL</t>
  </si>
  <si>
    <t>LDLC3, 600T, cobas c pack green</t>
  </si>
  <si>
    <t>Apoliproteina A-1</t>
  </si>
  <si>
    <t>APOAT, 250T, cobas c pack green</t>
  </si>
  <si>
    <t>Apoliproteina B</t>
  </si>
  <si>
    <t>APOBT, 250T, cobas c pack green</t>
  </si>
  <si>
    <t>Indices Sericos</t>
  </si>
  <si>
    <t>SI2, 14500T, cobas c pack green</t>
  </si>
  <si>
    <t>Creatinin Kinasa MB</t>
  </si>
  <si>
    <t>CKMB, 150T, cobas c pack green</t>
  </si>
  <si>
    <t>MICROALBUMINURIA</t>
  </si>
  <si>
    <t>ALBT2, 500T, cobas c pack green</t>
  </si>
  <si>
    <t>Proteinas en Orina y LCR</t>
  </si>
  <si>
    <t>TPUC3, 650T, cobas c pack green</t>
  </si>
  <si>
    <t>Inmunoglobulina G (Ig G)</t>
  </si>
  <si>
    <t>IGG-2, 300T, cobas c pack green</t>
  </si>
  <si>
    <t>Anti-Estreptolisina O (ASO)</t>
  </si>
  <si>
    <t>ASLOT, 200T, cobas c pack green</t>
  </si>
  <si>
    <t>Ceruloplasmina</t>
  </si>
  <si>
    <t>CERU, 200T, cobas c pack green</t>
  </si>
  <si>
    <t>Prealbumina</t>
  </si>
  <si>
    <t>PREA, 200T, cobas c pack green</t>
  </si>
  <si>
    <t>Tina-quant IgM  CSF</t>
  </si>
  <si>
    <t>IGM-C, 150T, cobas c pack green</t>
  </si>
  <si>
    <t>Tina-quant IgA  CSF</t>
  </si>
  <si>
    <t>IGA-C, 150T, cobas c pack green</t>
  </si>
  <si>
    <t>UIBC</t>
  </si>
  <si>
    <t>UIBC, 100T, cobas c pack green</t>
  </si>
  <si>
    <t>CRP CUANTITATIVA*</t>
  </si>
  <si>
    <t>CRP4, 500T, cobas c pack green</t>
  </si>
  <si>
    <t>Complemento C4</t>
  </si>
  <si>
    <t>C4-2, 150T, cobas c pack green</t>
  </si>
  <si>
    <t>Haptoglobina</t>
  </si>
  <si>
    <t>HAPT2, 200T, cobas c pack green</t>
  </si>
  <si>
    <t>Complemento C3</t>
  </si>
  <si>
    <t>C3C-2, 150T, cobas c pack green</t>
  </si>
  <si>
    <t>Cadenas Ligeras Totales Kappa</t>
  </si>
  <si>
    <t>KAPP2, 100T, cobas c pack green</t>
  </si>
  <si>
    <t>Cadenas Ligeras Totales Lambda</t>
  </si>
  <si>
    <t>LAMB2, 100T, cobas c pack green</t>
  </si>
  <si>
    <t>Tina-quant α1-Antitrypsin  ver.2</t>
  </si>
  <si>
    <t>AAT2, 200T, cobas c pack green</t>
  </si>
  <si>
    <t>Transferrina</t>
  </si>
  <si>
    <t>TRSF2, 500T, cobas c pack green</t>
  </si>
  <si>
    <t>Tina-quant Ferritin  Gen.4</t>
  </si>
  <si>
    <t>FERR4, 400T, cobas c pack green</t>
  </si>
  <si>
    <t>Inmunoglobulina M (Ig M) en suero</t>
  </si>
  <si>
    <t>IGM-2, 300T, cobas c pack green</t>
  </si>
  <si>
    <t>8057915190</t>
  </si>
  <si>
    <t>Inmunoglobulina G (Ig G) en suero</t>
  </si>
  <si>
    <t>Inmunoglobulina A (Ig A) en suero</t>
  </si>
  <si>
    <t>IGA-2, 300T, cobas c pack green</t>
  </si>
  <si>
    <t>Hemoglobina Glicosilada alto rendimiento</t>
  </si>
  <si>
    <t>A1CX3, 500T, cobas c pack green</t>
  </si>
  <si>
    <t>Hemoglobina Glicosilada bajo rendimiento</t>
  </si>
  <si>
    <t>A1CX3, 200T, cobas c pack green</t>
  </si>
  <si>
    <t>DIMERO D</t>
  </si>
  <si>
    <t>D-Dimer Gen.2,100Test,cobas c pack green</t>
  </si>
  <si>
    <t>B2-Microglobulina</t>
  </si>
  <si>
    <t>B2MG, 150T, cobas c pack green</t>
  </si>
  <si>
    <t>Lipoproteina A</t>
  </si>
  <si>
    <t>LPA2, 150T, cobas c pack green</t>
  </si>
  <si>
    <t>Cistatina C</t>
  </si>
  <si>
    <t>CYSC2, 250T, cobas c pack green</t>
  </si>
  <si>
    <t>Homocisteina</t>
  </si>
  <si>
    <t>HCYS, 100T, cobas c pack green</t>
  </si>
  <si>
    <t>Bicarbonato</t>
  </si>
  <si>
    <t>CO2-L, 250T, cobas c pack green</t>
  </si>
  <si>
    <t>Amonio Plasmatico</t>
  </si>
  <si>
    <t>NH3L2, 300T cobas c pack green</t>
  </si>
  <si>
    <t>Etanol alto rendimiento</t>
  </si>
  <si>
    <t>ETOH2, 850T, cobas c pack green</t>
  </si>
  <si>
    <t>Etanol bajo rendimiento</t>
  </si>
  <si>
    <t>ETOH2, 150T, cobas c pack green</t>
  </si>
  <si>
    <t>FRUCTOSAMINA</t>
  </si>
  <si>
    <t>FRA, 550T, cobas c pack green</t>
  </si>
  <si>
    <t>Tina-quant Myoglobin  Gen.2</t>
  </si>
  <si>
    <t>MYO2, 200T, cobas c pack green</t>
  </si>
  <si>
    <t>Factor Reumatoideo cuantitativo*</t>
  </si>
  <si>
    <t>RF-II, 400T, cobas c pack green</t>
  </si>
  <si>
    <t>Fenitoína  libre y total</t>
  </si>
  <si>
    <t>PHNY2, 100T, cobas c pack green</t>
  </si>
  <si>
    <t>Fenobarbital</t>
  </si>
  <si>
    <t>PHNO2, 200T, cobas c pack green</t>
  </si>
  <si>
    <t>CARBAMAZEPINA</t>
  </si>
  <si>
    <t>CARB4, 500T, cobas c pack green</t>
  </si>
  <si>
    <t>Ácido valproico</t>
  </si>
  <si>
    <t>VALP2, 200T, cobas c pack green</t>
  </si>
  <si>
    <t>Vancomicina</t>
  </si>
  <si>
    <t>VANC3, 200T, cobas c pack green</t>
  </si>
  <si>
    <t>CONTROLES Y CALIBRADORES</t>
  </si>
  <si>
    <t>Cfas Lipids 3x1ML</t>
  </si>
  <si>
    <t>Cfas CK.MB 3x1ML</t>
  </si>
  <si>
    <t>C.f.a.s. PUC</t>
  </si>
  <si>
    <t>PreciControl ClinChem Multi 1,20x5ml</t>
  </si>
  <si>
    <t>PreciControl ClinChem Multi 2,20x5ml</t>
  </si>
  <si>
    <t>PreciControl ClinChem Multi 1 QCS,20x5ml</t>
  </si>
  <si>
    <t>PreciControl ClinChem Multi 2 QCS,20x5ml</t>
  </si>
  <si>
    <t>NH3/ETH/CO2 Calibrator</t>
  </si>
  <si>
    <t>NH3/ETH/CO2 Control N</t>
  </si>
  <si>
    <t>NH3/ETH/CO2 Control A</t>
  </si>
  <si>
    <t>PRECIMAT FRUC 3x1ML</t>
  </si>
  <si>
    <t>C.f.a.s. Myoglobin</t>
  </si>
  <si>
    <t>Myoglobin Control Set (Nivel I, II)</t>
  </si>
  <si>
    <t>HITACHI I PRECISET TDM 1</t>
  </si>
  <si>
    <t>TDM Control Set</t>
  </si>
  <si>
    <t>Reaction Cell for c 503 / c 513*</t>
  </si>
  <si>
    <t xml:space="preserve">Caja </t>
  </si>
  <si>
    <t>Reaction Cell for c303</t>
  </si>
  <si>
    <t>ECO-D, 40T, cobas c pack green c303</t>
  </si>
  <si>
    <t>Cassette</t>
  </si>
  <si>
    <t>ECO-D, 40T, cobas c pack green c503</t>
  </si>
  <si>
    <t>NaOH-D, cobas c pack green c303</t>
  </si>
  <si>
    <t>NaOH-D, cobas c pack green c503</t>
  </si>
  <si>
    <t>NACl, cobas c pack green</t>
  </si>
  <si>
    <t>SMS, cobas c pack green</t>
  </si>
  <si>
    <t>Acid Wash 2x2 L c303</t>
  </si>
  <si>
    <t>Caja por 02 galoneras de 2L</t>
  </si>
  <si>
    <t>Acid Wash 2x2 L c503</t>
  </si>
  <si>
    <t>SCCS, 50mL, cobas c pack green</t>
  </si>
  <si>
    <t>Basic Wash 2x2 L c303</t>
  </si>
  <si>
    <t>Basic Wash 2x2 L c503</t>
  </si>
  <si>
    <t>funda de 250</t>
  </si>
  <si>
    <t>A1CD, cobas c pack green</t>
  </si>
  <si>
    <t>Antigen Excess  Reagent  (START)</t>
  </si>
  <si>
    <t>START, 1000T, cobas c pack green</t>
  </si>
  <si>
    <t>Barcode Label 2,5x5,1cm</t>
  </si>
  <si>
    <t>rollo</t>
  </si>
  <si>
    <t>A4 PRINTER PAPER</t>
  </si>
  <si>
    <t>resma</t>
  </si>
  <si>
    <t>RD Standard False Bottom Tube</t>
  </si>
  <si>
    <t>SISTEMA PARA ELECTROLITOS-ISE</t>
  </si>
  <si>
    <t>ISE DEPROTEINIZER cobas integra (6x21ML)</t>
  </si>
  <si>
    <t>ISE Diluent Gen.2, 2x2 Liter</t>
  </si>
  <si>
    <t>ISE Internal Stand Gen.2, 2x2 Liter</t>
  </si>
  <si>
    <t>ISE Reference Electrolyte, 2L</t>
  </si>
  <si>
    <t>ISE Reference Electrolyte 500ML</t>
  </si>
  <si>
    <t>COBAS PURE e402</t>
  </si>
  <si>
    <t>COBAS PRO e801</t>
  </si>
  <si>
    <t>TSH Elecsys E2G 300 V2</t>
  </si>
  <si>
    <t>T3 Elecsys E2G 300 V2</t>
  </si>
  <si>
    <t>T4 Elecsys E2G 300 V2</t>
  </si>
  <si>
    <t>FT3 G3 Elecsys E2G 300</t>
  </si>
  <si>
    <t>FT4 G3 Elecsys E2G 300</t>
  </si>
  <si>
    <t>TG G2 Elecsys E2G 300 V2</t>
  </si>
  <si>
    <t>Anti-TPO Elecsys E2G 300</t>
  </si>
  <si>
    <t>Anti-TG Elecsys E2G 300</t>
  </si>
  <si>
    <t>Anti-TSHR Elecsys E2G 300 V2</t>
  </si>
  <si>
    <t>LH Elecsys E2G 300</t>
  </si>
  <si>
    <t>FSH Elecsys E2G 300</t>
  </si>
  <si>
    <t>Estradiol G3 Elecsys E2G 300</t>
  </si>
  <si>
    <t>Progesterone G3 Elecsys E2G 300</t>
  </si>
  <si>
    <t>Prolactin G2 Elecsys E2G 300</t>
  </si>
  <si>
    <t>Testosterone G2 Elecsys E2G 300</t>
  </si>
  <si>
    <t>SHBG Elecsys E2G 300</t>
  </si>
  <si>
    <t>DHEA-S Elecsys E2G 100</t>
  </si>
  <si>
    <t>HCG+beta Elecsys E2G 300</t>
  </si>
  <si>
    <t>hCG STAT Elecsys E2G 100 V2</t>
  </si>
  <si>
    <t>Free HCGbeta Elecsys E2G 100 V2</t>
  </si>
  <si>
    <t>PAPP-A Elecsys E2G 100 V2</t>
  </si>
  <si>
    <t>PLGF Elecsys E2G 100</t>
  </si>
  <si>
    <t>sFLT1 Elecsys E2G 100</t>
  </si>
  <si>
    <t>C-Peptide Elecsys E2G 100</t>
  </si>
  <si>
    <t>Insulin Elecsys E2G 100</t>
  </si>
  <si>
    <t>Cortisol G2 Elecsys E2G 300</t>
  </si>
  <si>
    <t>Cortisol III Elecsys E2G 300</t>
  </si>
  <si>
    <t>ACTH Elecsys E2G 100</t>
  </si>
  <si>
    <t>hGH Elecsys E2G 100</t>
  </si>
  <si>
    <t>AMH plus Elecsys E2G 100 V2</t>
  </si>
  <si>
    <t>Total PSA Elecsys E2G 300 V2</t>
  </si>
  <si>
    <t>free PSA Elecsys E2G 300 V2</t>
  </si>
  <si>
    <t>AFP Elecsys E2G 300</t>
  </si>
  <si>
    <t>CEA Elecsys E2G 300</t>
  </si>
  <si>
    <t>CA 125 G2 Elecsys E2G 300</t>
  </si>
  <si>
    <t>CA 15-3 G2 Elecsys E2G 300</t>
  </si>
  <si>
    <t>CA 19-9 Elecsys E2G 300</t>
  </si>
  <si>
    <t>Cyfra 21-1 Elecsys E2G 300</t>
  </si>
  <si>
    <t>CA 72-4 Elecsys E2G 300</t>
  </si>
  <si>
    <t>NSE Elecsys E2G 300</t>
  </si>
  <si>
    <t>S100 Elecsys E2G 100 V2</t>
  </si>
  <si>
    <t>HE4 Elecsys E2G 100</t>
  </si>
  <si>
    <t>PIVKAII Elecsys E2G 300</t>
  </si>
  <si>
    <t>proGRP Elecsys E2G 100 V2</t>
  </si>
  <si>
    <t>SCC Elecsys E2G 100</t>
  </si>
  <si>
    <t>Digoxin Elecsys E2G 100</t>
  </si>
  <si>
    <t>CK-MB Elecsys E2G 100</t>
  </si>
  <si>
    <t>Myoglobin Elecsys E2G 100</t>
  </si>
  <si>
    <t>GDF-15 Elecsys E2G 100 V2</t>
  </si>
  <si>
    <t>Troponin T hs Elecsys E2G 300 V2.1</t>
  </si>
  <si>
    <t>Troponin I Elecsys E2G 300</t>
  </si>
  <si>
    <t>9315284190</t>
  </si>
  <si>
    <t>proBNP G2 Elecsys E2G 300 V2.1</t>
  </si>
  <si>
    <t>Calcitonin Elecsys E2G 100</t>
  </si>
  <si>
    <t>IL 6 Elecsys E2G 100 V2</t>
  </si>
  <si>
    <t>Ferritin Elecsys E2G 300</t>
  </si>
  <si>
    <t>Folate G3 Elecsys E2G 300</t>
  </si>
  <si>
    <t>Vitamin B12 G2 Elecsys E2G 300</t>
  </si>
  <si>
    <t>Active B12 Elecsys cobas E2G 300</t>
  </si>
  <si>
    <t>IgE G2 Elecsys E2G 100</t>
  </si>
  <si>
    <t>PTH Elecsys E2G 300</t>
  </si>
  <si>
    <t>PTH (1-84) Elecsys E2G 100</t>
  </si>
  <si>
    <t>Total P1NP Elecsys E2G 100</t>
  </si>
  <si>
    <t>9005781190</t>
  </si>
  <si>
    <t>B-CrossLaps/serum Elecsys E2G 100</t>
  </si>
  <si>
    <t>N-MID Osteocalcin Elecsys E2G 100</t>
  </si>
  <si>
    <t>7251670190</t>
  </si>
  <si>
    <t>Anti-CCP Elecsys E2G 100 V1</t>
  </si>
  <si>
    <t>9318747190</t>
  </si>
  <si>
    <t>PCT Brahms-Roche Elecsys E2G 300 V</t>
  </si>
  <si>
    <t>Vitamin D total G2 Elecsys E2G 300</t>
  </si>
  <si>
    <t>IGF-1 Elecsys E2G 100</t>
  </si>
  <si>
    <t>IGFBP-3 Elecsys E2G 100</t>
  </si>
  <si>
    <t>HIV duo Elecsys E2G 300 V2</t>
  </si>
  <si>
    <t>HCV Duo Elecsys E2G 300</t>
  </si>
  <si>
    <t>Anti-HAV G2 Elecsys E2G 300</t>
  </si>
  <si>
    <t>Anti-HAV IgM Elecsys E2G 300</t>
  </si>
  <si>
    <t>HBsAg G2 Elecsys E2G 300 V2</t>
  </si>
  <si>
    <t>Anti-HBs G2 Elecsys E2G 300 V2</t>
  </si>
  <si>
    <t>HBeAg Elecsys E2G 300</t>
  </si>
  <si>
    <t>Anti-HBe Elecsys E2G 300</t>
  </si>
  <si>
    <t>Anti-HBc G2 Elecsys E2G 300</t>
  </si>
  <si>
    <t>Anti-HBc IgM Elecsys E2G 300</t>
  </si>
  <si>
    <t>Anti-HCV G2 Elecsys E2G 300 V2</t>
  </si>
  <si>
    <t>Rubella IgG Elecsys E2G 300</t>
  </si>
  <si>
    <t>Rubella IgM Elecsys E2G 300</t>
  </si>
  <si>
    <t>Toxo IgG Elecsys E2G 300</t>
  </si>
  <si>
    <t>Toxo IgG Avidity Elecsys E2G 100</t>
  </si>
  <si>
    <t>Toxo IgM Elecsys E2G 300</t>
  </si>
  <si>
    <t>CMV IgG Elecsys E2G 300 V2</t>
  </si>
  <si>
    <t>CMV IgG Avidity Elecsys E2G 100 V2</t>
  </si>
  <si>
    <t>CMV IgM Elecsys E2G 300</t>
  </si>
  <si>
    <t>HSV-1 IgG Elecsys E2G 100 V2</t>
  </si>
  <si>
    <t>HSV-2 IgG Elecsys E2G 100 V2</t>
  </si>
  <si>
    <t>EBV IGM ELECSYS E2G 300</t>
  </si>
  <si>
    <t>EBV VCA IGG ELECSYS E2G 300</t>
  </si>
  <si>
    <t>EBV EBNA IGG ELECSYS E2G 300</t>
  </si>
  <si>
    <t>HTLV Elecsys E2G 300 V2</t>
  </si>
  <si>
    <t>SYPHILIS ELECSYS E2G 300 V2</t>
  </si>
  <si>
    <t>Chagas Elecsys E2G 300 V2</t>
  </si>
  <si>
    <t>Anti-SARS-CoV-2 Elecsys E2G 300</t>
  </si>
  <si>
    <t>Anti-SARS-CoV-2 S Elecsys E2G 300</t>
  </si>
  <si>
    <t>SARS-CoV-2 Ag Elecsys E2G 300</t>
  </si>
  <si>
    <t>Cyclosporine Elecsys E2G 300</t>
  </si>
  <si>
    <t>Everolimus Elecsys E2G 100</t>
  </si>
  <si>
    <t>Sirolimus Elecsys E2G 100</t>
  </si>
  <si>
    <t>Tacrolimus Elecsys E2G 300</t>
  </si>
  <si>
    <t xml:space="preserve">PRESENTACION </t>
  </si>
  <si>
    <t>T3 CalSet</t>
  </si>
  <si>
    <t>T4 CalSet</t>
  </si>
  <si>
    <t>FT3 III CalSet</t>
  </si>
  <si>
    <t>CalSet FT4 III</t>
  </si>
  <si>
    <t>Tg II CalSet</t>
  </si>
  <si>
    <t xml:space="preserve">Anti‑TPO CalSet </t>
  </si>
  <si>
    <t>Anti‑Tg CalSet</t>
  </si>
  <si>
    <t>CalSet Anti‑TSHR</t>
  </si>
  <si>
    <t>LH CalSet II</t>
  </si>
  <si>
    <t>FSH CS Elecsys V3</t>
  </si>
  <si>
    <t xml:space="preserve">Estradiol III CalSet </t>
  </si>
  <si>
    <t>Progesterone III CalSet</t>
  </si>
  <si>
    <t>Prolactin II CalSet</t>
  </si>
  <si>
    <t xml:space="preserve">Testosterone II CalSet II </t>
  </si>
  <si>
    <t>SHBG CalSet</t>
  </si>
  <si>
    <t xml:space="preserve">DHEA‑S CalSet  </t>
  </si>
  <si>
    <t>HCG+β CalSet</t>
  </si>
  <si>
    <t xml:space="preserve">HCG STAT CalSet  </t>
  </si>
  <si>
    <t xml:space="preserve">free βhCG CalSet  </t>
  </si>
  <si>
    <t>PAPP‑A CalSet</t>
  </si>
  <si>
    <t>PlGF CalSet</t>
  </si>
  <si>
    <t xml:space="preserve">sFlt‑1 CalSet  </t>
  </si>
  <si>
    <t>C‑Peptide CalSet</t>
  </si>
  <si>
    <t>Insulin CalSet</t>
  </si>
  <si>
    <t>Cortisol II CalSet</t>
  </si>
  <si>
    <t>CalSet Cortisol III Urine</t>
  </si>
  <si>
    <t>ACTH CalSet</t>
  </si>
  <si>
    <t>hGH CalSet</t>
  </si>
  <si>
    <t>CalSet AMH Plus</t>
  </si>
  <si>
    <t>total PSA CalSet II</t>
  </si>
  <si>
    <t>free PSA CalSet</t>
  </si>
  <si>
    <t>AFP CalSet II</t>
  </si>
  <si>
    <t>CEA CalSet</t>
  </si>
  <si>
    <t>CA 125 II CalSet</t>
  </si>
  <si>
    <t>CA 15-3 II CalSet</t>
  </si>
  <si>
    <t>CA 19‑9 CalSet</t>
  </si>
  <si>
    <t>CYFRA 21‑1 CalSet</t>
  </si>
  <si>
    <t>CA 72‑4 CalSet</t>
  </si>
  <si>
    <t xml:space="preserve">NSE CalSet  </t>
  </si>
  <si>
    <t xml:space="preserve">S100 CalSet </t>
  </si>
  <si>
    <t>HE4 CalSet</t>
  </si>
  <si>
    <t xml:space="preserve">CalSet PIVKA‑II  </t>
  </si>
  <si>
    <t>ProGRP CalSet</t>
  </si>
  <si>
    <t>SCC CalSet</t>
  </si>
  <si>
    <t>Digoxin CalSet</t>
  </si>
  <si>
    <t>CalSet CK‑MB</t>
  </si>
  <si>
    <t>CalSet Myoglobin</t>
  </si>
  <si>
    <t xml:space="preserve">CalSet GDF‑15 </t>
  </si>
  <si>
    <t>Troponin T hs CS Elecsys E2G V1.1</t>
  </si>
  <si>
    <t xml:space="preserve">CalSet Troponin I  </t>
  </si>
  <si>
    <t>9315314190</t>
  </si>
  <si>
    <t>proBNP G2 CS Elecsys E2G V2.1</t>
  </si>
  <si>
    <t>Calcitonin CalSet</t>
  </si>
  <si>
    <t>Elecsys IL 6 Calset</t>
  </si>
  <si>
    <t>Ferritin CalSet</t>
  </si>
  <si>
    <t>CalSet Folate</t>
  </si>
  <si>
    <t>Vitamin B12 II CalSet</t>
  </si>
  <si>
    <t xml:space="preserve">CalSet Active B12 </t>
  </si>
  <si>
    <t>IgE CalSet</t>
  </si>
  <si>
    <t>CalSet PTH</t>
  </si>
  <si>
    <t>PTH (1‑84) CalSet</t>
  </si>
  <si>
    <t>total P1NP CalSet</t>
  </si>
  <si>
    <t>β‑CrossLaps CalSet</t>
  </si>
  <si>
    <t xml:space="preserve">N‑MID Osteocalcin CalSet  </t>
  </si>
  <si>
    <t>CalSet Vitamin D total III</t>
  </si>
  <si>
    <t>CalSet IGF‑1</t>
  </si>
  <si>
    <t xml:space="preserve">CalSet IGFBP‑3  </t>
  </si>
  <si>
    <t>CalSet Anti‑SARS‑CoV‑2 S</t>
  </si>
  <si>
    <t>Cyclosporine CalSet</t>
  </si>
  <si>
    <t xml:space="preserve">Everolimus CalSet </t>
  </si>
  <si>
    <t xml:space="preserve">Sirolimus CalSet  </t>
  </si>
  <si>
    <t>Tacrolimus CalSet</t>
  </si>
  <si>
    <t>PreciControl Cortisol Urine</t>
  </si>
  <si>
    <t>PreciControl Active B12</t>
  </si>
  <si>
    <t>PreciControl HCC</t>
  </si>
  <si>
    <t>AssayTip/AssayCup tray</t>
  </si>
  <si>
    <t>Diluent MultiAssay E2G</t>
  </si>
  <si>
    <t>Diluent Universal E2G</t>
  </si>
  <si>
    <t>Elecsys Progesteron Diluent</t>
  </si>
  <si>
    <t>PreClean M G2 2x2L Elecsys E2G e801</t>
  </si>
  <si>
    <t>PreClean M G2 2x2L Elecsys E2G e402</t>
  </si>
  <si>
    <t>CleanCell M 2x2 L Elecsys,cobas e801</t>
  </si>
  <si>
    <t>CleanCell M 2x2 L Elecsys,cobas e402</t>
  </si>
  <si>
    <t>ProCell M G2 2x2L Elecsys E2G e801</t>
  </si>
  <si>
    <t>ProCell M G2 2x2L Elecsys E2G e402</t>
  </si>
  <si>
    <t>BlankCell High Elecsys E2G</t>
  </si>
  <si>
    <t>CellCheck Gen2 Elecsys E2G</t>
  </si>
  <si>
    <t>HBQ Sample Set Elecsys,cobas e</t>
  </si>
  <si>
    <t>Cobas sample cup 5000pcs</t>
  </si>
  <si>
    <t>ControlSet Vials Elecsys,cobas e</t>
  </si>
  <si>
    <t>ISD Sample PT Elecsys cobas e 100</t>
  </si>
  <si>
    <t>Folate RBC Hemolyzing Elecsys,cobas e</t>
  </si>
  <si>
    <t>SARS-CoV-2 Extraction Solution</t>
  </si>
  <si>
    <t>SARS-CoV-2 Extraction Solution C</t>
  </si>
  <si>
    <t>HBsAg Confirmatory Elecsys cobas e</t>
  </si>
  <si>
    <t>Reservoir cup Assy</t>
  </si>
  <si>
    <t>PW LFC CUP ASSY</t>
  </si>
  <si>
    <t>ISE CLEANING SOLUTION</t>
  </si>
  <si>
    <t>cobas t411</t>
  </si>
  <si>
    <t>PT screen cobas t411 (10x10ml)</t>
  </si>
  <si>
    <t>aPTT MedS cobas t411 (20x5ml)</t>
  </si>
  <si>
    <t>aPTT LowS cobas t411 (10x10ml)</t>
  </si>
  <si>
    <t>PT Calibrator Set cobas t411 (5x1x1ml)</t>
  </si>
  <si>
    <t>Control 1 cobas t411 (20x1ml)</t>
  </si>
  <si>
    <t>Control 2 cobas t411 (20x1ml)</t>
  </si>
  <si>
    <t>Control 4 cobas t411 (20x1ml)</t>
  </si>
  <si>
    <t>D-Dimer Gen. 2 cobas t411</t>
  </si>
  <si>
    <t>D-Dimer Gen.2 Control I/II for t411</t>
  </si>
  <si>
    <t>D-Dimer Gen.2 Calibrator for t411</t>
  </si>
  <si>
    <t>CC 25mM cobas t411 (10x15ml)</t>
  </si>
  <si>
    <t>Day Clean (12x11ml)</t>
  </si>
  <si>
    <t>CleanSol cobas t411 (12x5ml)</t>
  </si>
  <si>
    <t>CPC / t 411 Cuvette bar</t>
  </si>
  <si>
    <t>SAMPLE CUP</t>
  </si>
  <si>
    <t>FAM4</t>
  </si>
  <si>
    <t>AGUA DESTILADA X GALON</t>
  </si>
  <si>
    <t>AMPOLLA DE AGUA BIDESTILADA</t>
  </si>
  <si>
    <t>cobas h 232</t>
  </si>
  <si>
    <t>Roche Cardiac Dimero D</t>
  </si>
  <si>
    <t>ROCHE CARDIAC CK-MB 10 TESTS (COBAS)</t>
  </si>
  <si>
    <t>ROCHE CARDIAC PROBNP+ 10 TESTS (COBAS)</t>
  </si>
  <si>
    <t>ROCHE CARDIAC POC TROP T FOR NEW SW VER.</t>
  </si>
  <si>
    <t xml:space="preserve">Tubo tapa verde </t>
  </si>
  <si>
    <t>AVL 9180</t>
  </si>
  <si>
    <t>SNAPPAK, 9180 9181</t>
  </si>
  <si>
    <t>DEPROTEINIZER (125 ML)</t>
  </si>
  <si>
    <t>CLEANING SOLUTION 988-4</t>
  </si>
  <si>
    <t xml:space="preserve">SODIUM CONDITIONER </t>
  </si>
  <si>
    <t>URINE DILUENT, 125ML (tiempo en uso 5 meses)</t>
  </si>
  <si>
    <t>ISETROL ELECTROLYTE CTRL L 1-3</t>
  </si>
  <si>
    <t>PAPER 91XX SERIES PRINTER 5/PKG</t>
  </si>
  <si>
    <t>AVL NA+ ELECTRODE</t>
  </si>
  <si>
    <t>AVL K+ ELECTRODE</t>
  </si>
  <si>
    <t>AVL CA+ ELECTRODE</t>
  </si>
  <si>
    <t>AVL CL ECTRODE</t>
  </si>
  <si>
    <t>ELECTRODE, ISE REFERENCE, 91XX</t>
  </si>
  <si>
    <t>REFERENCE HOUSING</t>
  </si>
  <si>
    <t>cobas b123</t>
  </si>
  <si>
    <t>ESTABILIDAD</t>
  </si>
  <si>
    <t>FLUID PACK COOX 200</t>
  </si>
  <si>
    <t>Combitrol Plus B, Level 2, 30 pcs</t>
  </si>
  <si>
    <t>Combitrol Plus B, Level 1, 30 pcs</t>
  </si>
  <si>
    <t>Combitrol Plus B, Level 3, 30 pcs</t>
  </si>
  <si>
    <t>Sensor Cartridge, BG/ISE/GLU/LAC</t>
  </si>
  <si>
    <t>Printer paper,  b123</t>
  </si>
  <si>
    <t>CLOT CATCHER PRO</t>
  </si>
  <si>
    <t>AMPOULE ADAPTER (150 PCS)</t>
  </si>
  <si>
    <t>COBAS B101 HBA1C TEST 10PC (DIA CLAIM)</t>
  </si>
  <si>
    <t>COBAS B 101 LIPID PANEL 10PC</t>
  </si>
  <si>
    <t>cobas u6500</t>
  </si>
  <si>
    <t>DET AÑO/PROCESO</t>
  </si>
  <si>
    <t>cobas u cuvette (400 pc)</t>
  </si>
  <si>
    <t>cobas u pack (400 strips)</t>
  </si>
  <si>
    <t>cobas U Calibration Strip, 25 Str.</t>
  </si>
  <si>
    <t>25 (1 UN AÑO)</t>
  </si>
  <si>
    <t>12 MESES</t>
  </si>
  <si>
    <t>DIP &amp; SPIN URINE CONTROL (1470-01)</t>
  </si>
  <si>
    <t>2 MESES</t>
  </si>
  <si>
    <t>WASTE BOX CARTON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</si>
</sst>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-&quot;$&quot;* #,##0.00_-;\-&quot;$&quot;* #,##0.00_-;_-&quot;$&quot;* &quot;-&quot;??_-;_-@"/>
    <numFmt numFmtId="165" formatCode="_(&quot;$&quot;\ * #,##0.00_);_(&quot;$&quot;\ * \(#,##0.00\);_(&quot;$&quot;\ * &quot;-&quot;??_);_(@_)"/>
    <numFmt numFmtId="166" formatCode="0.000000000"/>
    <numFmt numFmtId="167" formatCode="_ * #,##0.00_ ;_ * \-#,##0.00_ ;_ * &quot;-&quot;??_ ;_ @_ "/>
    <numFmt numFmtId="168" formatCode="0.0"/>
  </numFmts>
  <fonts count="10">
    <font>
      <sz val="11.0"/>
      <color theme="1"/>
      <name val="Calibri"/>
      <scheme val="minor"/>
    </font>
    <font>
      <b/>
      <sz val="8.0"/>
      <color rgb="FF000000"/>
      <name val="Calibri"/>
    </font>
    <font/>
    <font>
      <sz val="8.0"/>
      <color rgb="FF000000"/>
      <name val="Calibri"/>
    </font>
    <font>
      <sz val="8.0"/>
      <color rgb="FF222222"/>
      <name val="Calibri"/>
    </font>
    <font>
      <sz val="11.0"/>
      <color rgb="FF000000"/>
      <name val="Calibri"/>
    </font>
    <font>
      <vertAlign val="superscript"/>
      <sz val="8.0"/>
      <color rgb="FF000000"/>
      <name val="Calibri"/>
    </font>
    <font>
      <b/>
      <sz val="10.0"/>
      <color rgb="FF000000"/>
      <name val="Calibri"/>
    </font>
    <font>
      <sz val="10.0"/>
      <color rgb="FF000000"/>
      <name val="Calibri"/>
    </font>
    <font>
      <sz val="11.0"/>
      <color rgb="FF333333"/>
      <name val="Calibri"/>
    </font>
  </fonts>
  <fills count="18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  <fill>
      <patternFill patternType="solid">
        <fgColor rgb="FFFFFFFF"/>
        <bgColor rgb="FFFFFFFF"/>
      </patternFill>
    </fill>
    <fill>
      <patternFill patternType="solid">
        <fgColor rgb="FFFFFF99"/>
        <bgColor rgb="FFFFFF99"/>
      </patternFill>
    </fill>
    <fill>
      <patternFill patternType="solid">
        <fgColor rgb="FFFECCFA"/>
        <bgColor rgb="FFFECCFA"/>
      </patternFill>
    </fill>
    <fill>
      <patternFill patternType="solid">
        <fgColor rgb="FFE7E6E6"/>
        <bgColor rgb="FFE7E6E6"/>
      </patternFill>
    </fill>
    <fill>
      <patternFill patternType="solid">
        <fgColor rgb="FFFFF2CB"/>
        <bgColor rgb="FFFFF2CB"/>
      </patternFill>
    </fill>
    <fill>
      <patternFill patternType="solid">
        <fgColor rgb="FFDEEAF6"/>
        <bgColor rgb="FFDEEAF6"/>
      </patternFill>
    </fill>
    <fill>
      <patternFill patternType="solid">
        <fgColor rgb="FFBFBFBF"/>
        <bgColor rgb="FFBFBFBF"/>
      </patternFill>
    </fill>
    <fill>
      <patternFill patternType="solid">
        <fgColor rgb="FFA5A5A5"/>
        <bgColor rgb="FFA5A5A5"/>
      </patternFill>
    </fill>
    <fill>
      <patternFill patternType="solid">
        <fgColor rgb="FFD9D9D9"/>
        <bgColor rgb="FFD9D9D9"/>
      </patternFill>
    </fill>
    <fill>
      <patternFill patternType="solid">
        <fgColor rgb="FF92D050"/>
        <bgColor rgb="FF92D050"/>
      </patternFill>
    </fill>
    <fill>
      <patternFill patternType="solid">
        <fgColor rgb="FF7F7F7F"/>
        <bgColor rgb="FF7F7F7F"/>
      </patternFill>
    </fill>
    <fill>
      <patternFill patternType="solid">
        <fgColor rgb="FFE5E5E5"/>
        <bgColor rgb="FFE5E5E5"/>
      </patternFill>
    </fill>
    <fill>
      <patternFill patternType="solid">
        <fgColor rgb="FFD8D8D8"/>
        <bgColor rgb="FFD8D8D8"/>
      </patternFill>
    </fill>
    <fill>
      <patternFill patternType="solid">
        <fgColor rgb="FFB4C6E7"/>
        <bgColor rgb="FFB4C6E7"/>
      </patternFill>
    </fill>
    <fill>
      <patternFill patternType="solid">
        <fgColor rgb="FFFFFF00"/>
        <bgColor rgb="FFFFFF00"/>
      </patternFill>
    </fill>
  </fills>
  <borders count="44">
    <border/>
    <border>
      <left style="medium">
        <color rgb="FF000000"/>
      </left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medium">
        <color rgb="FFCCCCCC"/>
      </right>
    </border>
    <border>
      <left style="medium">
        <color rgb="FFCCCCCC"/>
      </left>
      <right style="medium">
        <color rgb="FFCCCCCC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CCCCCC"/>
      </left>
      <right style="medium">
        <color rgb="FFCCCCCC"/>
      </right>
      <bottom style="medium">
        <color rgb="FFCCCCCC"/>
      </bottom>
    </border>
    <border>
      <left style="medium">
        <color rgb="FFCCCCCC"/>
      </left>
      <bottom style="medium">
        <color rgb="FFCCCCCC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</border>
    <border>
      <left style="medium">
        <color rgb="FFCCCCCC"/>
      </left>
      <top style="medium">
        <color rgb="FFCCCCCC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0" fillId="0" fontId="3" numFmtId="0" xfId="0" applyAlignment="1" applyFont="1">
      <alignment shrinkToFit="0" wrapText="1"/>
    </xf>
    <xf borderId="0" fillId="0" fontId="3" numFmtId="0" xfId="0" applyFont="1"/>
    <xf borderId="3" fillId="2" fontId="3" numFmtId="0" xfId="0" applyAlignment="1" applyBorder="1" applyFont="1">
      <alignment horizontal="left" shrinkToFit="0" wrapText="1"/>
    </xf>
    <xf borderId="4" fillId="2" fontId="1" numFmtId="0" xfId="0" applyAlignment="1" applyBorder="1" applyFont="1">
      <alignment horizontal="center" shrinkToFit="0" vertical="center" wrapText="1"/>
    </xf>
    <xf borderId="5" fillId="2" fontId="1" numFmtId="0" xfId="0" applyAlignment="1" applyBorder="1" applyFont="1">
      <alignment horizontal="left" shrinkToFit="0" wrapText="1"/>
    </xf>
    <xf borderId="5" fillId="2" fontId="1" numFmtId="0" xfId="0" applyAlignment="1" applyBorder="1" applyFont="1">
      <alignment horizontal="center" shrinkToFit="0" vertical="center" wrapText="1"/>
    </xf>
    <xf borderId="5" fillId="2" fontId="1" numFmtId="0" xfId="0" applyAlignment="1" applyBorder="1" applyFont="1">
      <alignment shrinkToFit="0" wrapText="1"/>
    </xf>
    <xf borderId="5" fillId="2" fontId="3" numFmtId="0" xfId="0" applyAlignment="1" applyBorder="1" applyFont="1">
      <alignment shrinkToFit="0" wrapText="1"/>
    </xf>
    <xf borderId="6" fillId="0" fontId="3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shrinkToFit="0" wrapText="1"/>
    </xf>
    <xf borderId="5" fillId="2" fontId="1" numFmtId="0" xfId="0" applyAlignment="1" applyBorder="1" applyFont="1">
      <alignment shrinkToFit="0" vertical="center" wrapText="1"/>
    </xf>
    <xf borderId="5" fillId="0" fontId="1" numFmtId="0" xfId="0" applyAlignment="1" applyBorder="1" applyFont="1">
      <alignment shrinkToFit="0" vertical="center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shrinkToFit="0" vertical="center" wrapText="1"/>
    </xf>
    <xf borderId="8" fillId="0" fontId="3" numFmtId="0" xfId="0" applyAlignment="1" applyBorder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2" fontId="1" numFmtId="0" xfId="0" applyAlignment="1" applyBorder="1" applyFont="1">
      <alignment shrinkToFit="0" wrapText="1"/>
    </xf>
    <xf borderId="11" fillId="2" fontId="1" numFmtId="0" xfId="0" applyAlignment="1" applyBorder="1" applyFont="1">
      <alignment horizontal="center" shrinkToFit="0" wrapText="1"/>
    </xf>
    <xf borderId="12" fillId="2" fontId="1" numFmtId="0" xfId="0" applyAlignment="1" applyBorder="1" applyFont="1">
      <alignment horizontal="center" shrinkToFit="0" wrapText="1"/>
    </xf>
    <xf borderId="13" fillId="3" fontId="3" numFmtId="0" xfId="0" applyAlignment="1" applyBorder="1" applyFill="1" applyFont="1">
      <alignment shrinkToFit="0" vertical="center" wrapText="1"/>
    </xf>
    <xf borderId="6" fillId="0" fontId="1" numFmtId="0" xfId="0" applyAlignment="1" applyBorder="1" applyFont="1">
      <alignment horizontal="center" shrinkToFit="0" wrapText="1"/>
    </xf>
    <xf borderId="13" fillId="3" fontId="3" numFmtId="0" xfId="0" applyAlignment="1" applyBorder="1" applyFont="1">
      <alignment horizontal="center" readingOrder="0" shrinkToFit="0" wrapText="1"/>
    </xf>
    <xf borderId="6" fillId="0" fontId="3" numFmtId="164" xfId="0" applyAlignment="1" applyBorder="1" applyFont="1" applyNumberFormat="1">
      <alignment horizontal="left" shrinkToFit="0" wrapText="1"/>
    </xf>
    <xf borderId="13" fillId="3" fontId="1" numFmtId="164" xfId="0" applyAlignment="1" applyBorder="1" applyFont="1" applyNumberFormat="1">
      <alignment horizontal="left" shrinkToFit="0" wrapText="1"/>
    </xf>
    <xf borderId="5" fillId="3" fontId="3" numFmtId="0" xfId="0" applyAlignment="1" applyBorder="1" applyFont="1">
      <alignment shrinkToFit="0" vertical="center" wrapText="1"/>
    </xf>
    <xf borderId="5" fillId="0" fontId="1" numFmtId="0" xfId="0" applyAlignment="1" applyBorder="1" applyFont="1">
      <alignment horizontal="center" shrinkToFit="0" wrapText="1"/>
    </xf>
    <xf borderId="5" fillId="3" fontId="3" numFmtId="0" xfId="0" applyAlignment="1" applyBorder="1" applyFont="1">
      <alignment horizontal="center" readingOrder="0" shrinkToFit="0" wrapText="1"/>
    </xf>
    <xf borderId="5" fillId="0" fontId="3" numFmtId="164" xfId="0" applyAlignment="1" applyBorder="1" applyFont="1" applyNumberFormat="1">
      <alignment horizontal="left" shrinkToFit="0" wrapText="1"/>
    </xf>
    <xf borderId="5" fillId="3" fontId="1" numFmtId="164" xfId="0" applyAlignment="1" applyBorder="1" applyFont="1" applyNumberFormat="1">
      <alignment horizontal="left" shrinkToFit="0" wrapText="1"/>
    </xf>
    <xf borderId="5" fillId="3" fontId="3" numFmtId="0" xfId="0" applyAlignment="1" applyBorder="1" applyFont="1">
      <alignment shrinkToFit="0" wrapText="1"/>
    </xf>
    <xf borderId="5" fillId="3" fontId="3" numFmtId="0" xfId="0" applyAlignment="1" applyBorder="1" applyFont="1">
      <alignment horizontal="center" shrinkToFit="0" wrapText="1"/>
    </xf>
    <xf borderId="5" fillId="3" fontId="3" numFmtId="164" xfId="0" applyAlignment="1" applyBorder="1" applyFont="1" applyNumberFormat="1">
      <alignment horizontal="left" shrinkToFit="0" wrapText="1"/>
    </xf>
    <xf borderId="5" fillId="0" fontId="3" numFmtId="0" xfId="0" applyAlignment="1" applyBorder="1" applyFont="1">
      <alignment horizontal="center" shrinkToFit="0" wrapText="1"/>
    </xf>
    <xf borderId="5" fillId="0" fontId="3" numFmtId="0" xfId="0" applyAlignment="1" applyBorder="1" applyFont="1">
      <alignment horizontal="center"/>
    </xf>
    <xf borderId="5" fillId="3" fontId="4" numFmtId="0" xfId="0" applyAlignment="1" applyBorder="1" applyFont="1">
      <alignment shrinkToFit="0" wrapText="1"/>
    </xf>
    <xf borderId="5" fillId="3" fontId="3" numFmtId="0" xfId="0" applyBorder="1" applyFont="1"/>
    <xf borderId="14" fillId="3" fontId="1" numFmtId="164" xfId="0" applyAlignment="1" applyBorder="1" applyFont="1" applyNumberFormat="1">
      <alignment horizontal="left" shrinkToFit="0" wrapText="1"/>
    </xf>
    <xf borderId="5" fillId="0" fontId="3" numFmtId="0" xfId="0" applyBorder="1" applyFont="1"/>
    <xf borderId="15" fillId="0" fontId="3" numFmtId="0" xfId="0" applyAlignment="1" applyBorder="1" applyFont="1">
      <alignment shrinkToFit="0" wrapText="1"/>
    </xf>
    <xf borderId="16" fillId="0" fontId="3" numFmtId="0" xfId="0" applyAlignment="1" applyBorder="1" applyFont="1">
      <alignment shrinkToFit="0" wrapText="1"/>
    </xf>
    <xf borderId="17" fillId="2" fontId="1" numFmtId="0" xfId="0" applyAlignment="1" applyBorder="1" applyFont="1">
      <alignment horizontal="left" shrinkToFit="0" wrapText="1"/>
    </xf>
    <xf borderId="18" fillId="3" fontId="1" numFmtId="164" xfId="0" applyAlignment="1" applyBorder="1" applyFont="1" applyNumberFormat="1">
      <alignment horizontal="left" shrinkToFit="0" wrapText="1"/>
    </xf>
    <xf borderId="19" fillId="0" fontId="3" numFmtId="0" xfId="0" applyAlignment="1" applyBorder="1" applyFont="1">
      <alignment shrinkToFit="0" wrapText="1"/>
    </xf>
    <xf borderId="20" fillId="0" fontId="3" numFmtId="0" xfId="0" applyAlignment="1" applyBorder="1" applyFont="1">
      <alignment shrinkToFit="0" wrapText="1"/>
    </xf>
    <xf borderId="21" fillId="2" fontId="1" numFmtId="9" xfId="0" applyAlignment="1" applyBorder="1" applyFont="1" applyNumberFormat="1">
      <alignment horizontal="left" shrinkToFit="0" wrapText="1"/>
    </xf>
    <xf borderId="22" fillId="3" fontId="1" numFmtId="164" xfId="0" applyAlignment="1" applyBorder="1" applyFont="1" applyNumberFormat="1">
      <alignment horizontal="left" shrinkToFit="0" wrapText="1"/>
    </xf>
    <xf borderId="23" fillId="2" fontId="1" numFmtId="0" xfId="0" applyAlignment="1" applyBorder="1" applyFont="1">
      <alignment horizontal="left" shrinkToFit="0" wrapText="1"/>
    </xf>
    <xf borderId="24" fillId="3" fontId="1" numFmtId="164" xfId="0" applyAlignment="1" applyBorder="1" applyFont="1" applyNumberFormat="1">
      <alignment horizontal="left" shrinkToFit="0" wrapText="1"/>
    </xf>
    <xf borderId="10" fillId="0" fontId="3" numFmtId="0" xfId="0" applyAlignment="1" applyBorder="1" applyFont="1">
      <alignment shrinkToFit="0" vertical="center" wrapText="1"/>
    </xf>
    <xf borderId="25" fillId="0" fontId="3" numFmtId="0" xfId="0" applyAlignment="1" applyBorder="1" applyFont="1">
      <alignment horizontal="left" vertical="center"/>
    </xf>
    <xf borderId="26" fillId="0" fontId="2" numFmtId="0" xfId="0" applyBorder="1" applyFont="1"/>
    <xf borderId="27" fillId="0" fontId="2" numFmtId="0" xfId="0" applyBorder="1" applyFont="1"/>
    <xf borderId="0" fillId="0" fontId="1" numFmtId="0" xfId="0" applyFont="1"/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/>
    </xf>
    <xf borderId="0" fillId="0" fontId="1" numFmtId="15" xfId="0" applyFont="1" applyNumberFormat="1"/>
    <xf borderId="0" fillId="0" fontId="3" numFmtId="164" xfId="0" applyAlignment="1" applyFont="1" applyNumberFormat="1">
      <alignment horizontal="left"/>
    </xf>
    <xf borderId="0" fillId="0" fontId="3" numFmtId="15" xfId="0" applyAlignment="1" applyFont="1" applyNumberFormat="1">
      <alignment horizontal="left"/>
    </xf>
    <xf borderId="28" fillId="4" fontId="1" numFmtId="0" xfId="0" applyAlignment="1" applyBorder="1" applyFill="1" applyFont="1">
      <alignment horizontal="left"/>
    </xf>
    <xf borderId="28" fillId="4" fontId="1" numFmtId="0" xfId="0" applyAlignment="1" applyBorder="1" applyFont="1">
      <alignment horizontal="center"/>
    </xf>
    <xf borderId="28" fillId="4" fontId="3" numFmtId="0" xfId="0" applyAlignment="1" applyBorder="1" applyFont="1">
      <alignment horizontal="center"/>
    </xf>
    <xf borderId="14" fillId="4" fontId="1" numFmtId="0" xfId="0" applyAlignment="1" applyBorder="1" applyFont="1">
      <alignment horizontal="center" vertical="center"/>
    </xf>
    <xf borderId="14" fillId="4" fontId="1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left"/>
    </xf>
    <xf borderId="29" fillId="0" fontId="3" numFmtId="0" xfId="0" applyAlignment="1" applyBorder="1" applyFont="1">
      <alignment horizontal="center"/>
    </xf>
    <xf borderId="5" fillId="0" fontId="3" numFmtId="2" xfId="0" applyAlignment="1" applyBorder="1" applyFont="1" applyNumberFormat="1">
      <alignment horizontal="center"/>
    </xf>
    <xf borderId="5" fillId="5" fontId="3" numFmtId="2" xfId="0" applyAlignment="1" applyBorder="1" applyFill="1" applyFont="1" applyNumberFormat="1">
      <alignment horizontal="center"/>
    </xf>
    <xf borderId="30" fillId="0" fontId="2" numFmtId="0" xfId="0" applyBorder="1" applyFont="1"/>
    <xf borderId="31" fillId="0" fontId="3" numFmtId="0" xfId="0" applyAlignment="1" applyBorder="1" applyFont="1">
      <alignment horizontal="center"/>
    </xf>
    <xf borderId="7" fillId="0" fontId="3" numFmtId="0" xfId="0" applyAlignment="1" applyBorder="1" applyFont="1">
      <alignment horizontal="center"/>
    </xf>
    <xf borderId="7" fillId="0" fontId="3" numFmtId="2" xfId="0" applyAlignment="1" applyBorder="1" applyFont="1" applyNumberFormat="1">
      <alignment horizontal="center"/>
    </xf>
    <xf borderId="6" fillId="0" fontId="2" numFmtId="0" xfId="0" applyBorder="1" applyFont="1"/>
    <xf borderId="28" fillId="4" fontId="3" numFmtId="0" xfId="0" applyAlignment="1" applyBorder="1" applyFont="1">
      <alignment horizontal="left"/>
    </xf>
    <xf borderId="5" fillId="4" fontId="1" numFmtId="0" xfId="0" applyAlignment="1" applyBorder="1" applyFont="1">
      <alignment horizontal="center" vertical="center"/>
    </xf>
    <xf borderId="5" fillId="4" fontId="1" numFmtId="0" xfId="0" applyAlignment="1" applyBorder="1" applyFont="1">
      <alignment horizontal="center" shrinkToFit="0" vertical="center" wrapText="1"/>
    </xf>
    <xf borderId="11" fillId="4" fontId="1" numFmtId="0" xfId="0" applyAlignment="1" applyBorder="1" applyFont="1">
      <alignment horizontal="center" shrinkToFit="0" vertical="center" wrapText="1"/>
    </xf>
    <xf borderId="12" fillId="4" fontId="1" numFmtId="0" xfId="0" applyAlignment="1" applyBorder="1" applyFont="1">
      <alignment horizontal="center" shrinkToFit="0" vertical="center" wrapText="1"/>
    </xf>
    <xf borderId="7" fillId="5" fontId="3" numFmtId="0" xfId="0" applyAlignment="1" applyBorder="1" applyFont="1">
      <alignment horizontal="center" shrinkToFit="0" vertical="center" wrapText="1"/>
    </xf>
    <xf borderId="5" fillId="5" fontId="3" numFmtId="0" xfId="0" applyAlignment="1" applyBorder="1" applyFont="1">
      <alignment horizontal="left" shrinkToFit="0" vertical="center" wrapText="1"/>
    </xf>
    <xf borderId="5" fillId="5" fontId="3" numFmtId="0" xfId="0" applyAlignment="1" applyBorder="1" applyFont="1">
      <alignment horizontal="center"/>
    </xf>
    <xf borderId="13" fillId="5" fontId="3" numFmtId="2" xfId="0" applyAlignment="1" applyBorder="1" applyFont="1" applyNumberFormat="1">
      <alignment horizontal="center"/>
    </xf>
    <xf borderId="5" fillId="5" fontId="3" numFmtId="0" xfId="0" applyAlignment="1" applyBorder="1" applyFont="1">
      <alignment horizontal="left"/>
    </xf>
    <xf borderId="5" fillId="5" fontId="3" numFmtId="0" xfId="0" applyBorder="1" applyFont="1"/>
    <xf borderId="5" fillId="5" fontId="3" numFmtId="0" xfId="0" applyAlignment="1" applyBorder="1" applyFont="1">
      <alignment horizontal="left" shrinkToFit="0" wrapText="1"/>
    </xf>
    <xf borderId="7" fillId="6" fontId="3" numFmtId="0" xfId="0" applyAlignment="1" applyBorder="1" applyFill="1" applyFont="1">
      <alignment horizontal="center" shrinkToFit="0" vertical="center" wrapText="1"/>
    </xf>
    <xf borderId="5" fillId="6" fontId="3" numFmtId="0" xfId="0" applyAlignment="1" applyBorder="1" applyFont="1">
      <alignment horizontal="left" shrinkToFit="0" wrapText="1"/>
    </xf>
    <xf borderId="5" fillId="6" fontId="3" numFmtId="0" xfId="0" applyAlignment="1" applyBorder="1" applyFont="1">
      <alignment shrinkToFit="0" wrapText="1"/>
    </xf>
    <xf borderId="5" fillId="6" fontId="3" numFmtId="0" xfId="0" applyAlignment="1" applyBorder="1" applyFont="1">
      <alignment horizontal="center"/>
    </xf>
    <xf borderId="5" fillId="6" fontId="3" numFmtId="2" xfId="0" applyAlignment="1" applyBorder="1" applyFont="1" applyNumberFormat="1">
      <alignment horizontal="center"/>
    </xf>
    <xf borderId="14" fillId="6" fontId="3" numFmtId="2" xfId="0" applyAlignment="1" applyBorder="1" applyFont="1" applyNumberFormat="1">
      <alignment horizontal="center"/>
    </xf>
    <xf borderId="5" fillId="7" fontId="3" numFmtId="0" xfId="0" applyAlignment="1" applyBorder="1" applyFill="1" applyFont="1">
      <alignment horizontal="center" shrinkToFit="0" vertical="center" wrapText="1"/>
    </xf>
    <xf borderId="5" fillId="7" fontId="3" numFmtId="0" xfId="0" applyAlignment="1" applyBorder="1" applyFont="1">
      <alignment horizontal="left" shrinkToFit="0" vertical="center" wrapText="1"/>
    </xf>
    <xf borderId="5" fillId="7" fontId="3" numFmtId="0" xfId="0" applyAlignment="1" applyBorder="1" applyFont="1">
      <alignment horizontal="center"/>
    </xf>
    <xf borderId="5" fillId="7" fontId="3" numFmtId="2" xfId="0" applyAlignment="1" applyBorder="1" applyFont="1" applyNumberFormat="1">
      <alignment horizontal="center"/>
    </xf>
    <xf borderId="32" fillId="7" fontId="3" numFmtId="2" xfId="0" applyAlignment="1" applyBorder="1" applyFont="1" applyNumberFormat="1">
      <alignment horizontal="center"/>
    </xf>
    <xf borderId="33" fillId="7" fontId="3" numFmtId="2" xfId="0" applyAlignment="1" applyBorder="1" applyFont="1" applyNumberFormat="1">
      <alignment horizontal="center"/>
    </xf>
    <xf borderId="5" fillId="5" fontId="3" numFmtId="0" xfId="0" applyAlignment="1" applyBorder="1" applyFont="1">
      <alignment shrinkToFit="0" wrapText="1"/>
    </xf>
    <xf borderId="14" fillId="5" fontId="3" numFmtId="2" xfId="0" applyAlignment="1" applyBorder="1" applyFont="1" applyNumberFormat="1">
      <alignment horizontal="center"/>
    </xf>
    <xf borderId="7" fillId="8" fontId="3" numFmtId="0" xfId="0" applyAlignment="1" applyBorder="1" applyFill="1" applyFont="1">
      <alignment horizontal="center" shrinkToFit="0" vertical="center" wrapText="1"/>
    </xf>
    <xf borderId="5" fillId="8" fontId="3" numFmtId="0" xfId="0" applyAlignment="1" applyBorder="1" applyFont="1">
      <alignment horizontal="left" shrinkToFit="0" wrapText="1"/>
    </xf>
    <xf borderId="5" fillId="8" fontId="3" numFmtId="0" xfId="0" applyAlignment="1" applyBorder="1" applyFont="1">
      <alignment shrinkToFit="0" wrapText="1"/>
    </xf>
    <xf borderId="5" fillId="8" fontId="3" numFmtId="0" xfId="0" applyAlignment="1" applyBorder="1" applyFont="1">
      <alignment horizontal="center"/>
    </xf>
    <xf borderId="5" fillId="8" fontId="3" numFmtId="2" xfId="0" applyAlignment="1" applyBorder="1" applyFont="1" applyNumberFormat="1">
      <alignment horizontal="center"/>
    </xf>
    <xf borderId="32" fillId="8" fontId="3" numFmtId="2" xfId="0" applyAlignment="1" applyBorder="1" applyFont="1" applyNumberFormat="1">
      <alignment horizontal="center"/>
    </xf>
    <xf borderId="33" fillId="8" fontId="3" numFmtId="2" xfId="0" applyAlignment="1" applyBorder="1" applyFont="1" applyNumberFormat="1">
      <alignment horizontal="center"/>
    </xf>
    <xf borderId="34" fillId="8" fontId="3" numFmtId="2" xfId="0" applyAlignment="1" applyBorder="1" applyFont="1" applyNumberFormat="1">
      <alignment horizontal="center"/>
    </xf>
    <xf borderId="24" fillId="8" fontId="3" numFmtId="2" xfId="0" applyAlignment="1" applyBorder="1" applyFont="1" applyNumberFormat="1">
      <alignment horizontal="center"/>
    </xf>
    <xf borderId="13" fillId="6" fontId="3" numFmtId="2" xfId="0" applyAlignment="1" applyBorder="1" applyFont="1" applyNumberFormat="1">
      <alignment horizontal="center"/>
    </xf>
    <xf borderId="14" fillId="6" fontId="3" numFmtId="0" xfId="0" applyAlignment="1" applyBorder="1" applyFont="1">
      <alignment horizontal="center"/>
    </xf>
    <xf borderId="11" fillId="7" fontId="3" numFmtId="2" xfId="0" applyAlignment="1" applyBorder="1" applyFont="1" applyNumberFormat="1">
      <alignment horizontal="center"/>
    </xf>
    <xf borderId="0" fillId="0" fontId="1" numFmtId="0" xfId="0" applyAlignment="1" applyFont="1">
      <alignment shrinkToFit="0" wrapText="1"/>
    </xf>
    <xf borderId="0" fillId="0" fontId="3" numFmtId="0" xfId="0" applyAlignment="1" applyFont="1">
      <alignment horizontal="right" shrinkToFit="0" wrapText="1"/>
    </xf>
    <xf borderId="0" fillId="0" fontId="5" numFmtId="0" xfId="0" applyAlignment="1" applyFont="1">
      <alignment shrinkToFit="0" wrapText="1"/>
    </xf>
    <xf borderId="28" fillId="9" fontId="1" numFmtId="0" xfId="0" applyAlignment="1" applyBorder="1" applyFill="1" applyFont="1">
      <alignment shrinkToFit="0" wrapText="1"/>
    </xf>
    <xf borderId="28" fillId="9" fontId="1" numFmtId="0" xfId="0" applyAlignment="1" applyBorder="1" applyFont="1">
      <alignment horizontal="right" shrinkToFit="0" wrapText="1"/>
    </xf>
    <xf borderId="28" fillId="9" fontId="5" numFmtId="0" xfId="0" applyAlignment="1" applyBorder="1" applyFont="1">
      <alignment shrinkToFit="0" wrapText="1"/>
    </xf>
    <xf borderId="35" fillId="4" fontId="1" numFmtId="0" xfId="0" applyAlignment="1" applyBorder="1" applyFont="1">
      <alignment horizontal="center" shrinkToFit="0" vertical="center" wrapText="1"/>
    </xf>
    <xf borderId="5" fillId="0" fontId="3" numFmtId="1" xfId="0" applyAlignment="1" applyBorder="1" applyFont="1" applyNumberFormat="1">
      <alignment horizontal="center"/>
    </xf>
    <xf borderId="36" fillId="0" fontId="3" numFmtId="2" xfId="0" applyAlignment="1" applyBorder="1" applyFont="1" applyNumberFormat="1">
      <alignment horizontal="center"/>
    </xf>
    <xf borderId="5" fillId="0" fontId="1" numFmtId="1" xfId="0" applyAlignment="1" applyBorder="1" applyFont="1" applyNumberFormat="1">
      <alignment horizontal="center"/>
    </xf>
    <xf borderId="5" fillId="0" fontId="3" numFmtId="0" xfId="0" applyAlignment="1" applyBorder="1" applyFont="1">
      <alignment horizontal="left" vertical="top"/>
    </xf>
    <xf borderId="5" fillId="0" fontId="3" numFmtId="0" xfId="0" applyAlignment="1" applyBorder="1" applyFont="1">
      <alignment horizontal="left" shrinkToFit="0" vertical="center" wrapText="1"/>
    </xf>
    <xf borderId="7" fillId="0" fontId="3" numFmtId="0" xfId="0" applyAlignment="1" applyBorder="1" applyFont="1">
      <alignment horizontal="left" shrinkToFit="0" vertical="center" wrapText="1"/>
    </xf>
    <xf borderId="7" fillId="0" fontId="3" numFmtId="0" xfId="0" applyAlignment="1" applyBorder="1" applyFont="1">
      <alignment horizontal="left"/>
    </xf>
    <xf borderId="5" fillId="0" fontId="3" numFmtId="0" xfId="0" applyAlignment="1" applyBorder="1" applyFont="1">
      <alignment vertical="top"/>
    </xf>
    <xf borderId="36" fillId="0" fontId="3" numFmtId="0" xfId="0" applyAlignment="1" applyBorder="1" applyFont="1">
      <alignment vertical="top"/>
    </xf>
    <xf borderId="29" fillId="0" fontId="3" numFmtId="1" xfId="0" applyAlignment="1" applyBorder="1" applyFont="1" applyNumberFormat="1">
      <alignment horizontal="center"/>
    </xf>
    <xf borderId="6" fillId="0" fontId="3" numFmtId="0" xfId="0" applyAlignment="1" applyBorder="1" applyFont="1">
      <alignment horizontal="left" vertical="top"/>
    </xf>
    <xf borderId="37" fillId="0" fontId="3" numFmtId="0" xfId="0" applyAlignment="1" applyBorder="1" applyFont="1">
      <alignment vertical="top"/>
    </xf>
    <xf borderId="13" fillId="8" fontId="3" numFmtId="0" xfId="0" applyAlignment="1" applyBorder="1" applyFont="1">
      <alignment vertical="top"/>
    </xf>
    <xf borderId="13" fillId="8" fontId="3" numFmtId="0" xfId="0" applyAlignment="1" applyBorder="1" applyFont="1">
      <alignment horizontal="left" vertical="top"/>
    </xf>
    <xf borderId="13" fillId="8" fontId="1" numFmtId="1" xfId="0" applyBorder="1" applyFont="1" applyNumberFormat="1"/>
    <xf borderId="13" fillId="8" fontId="1" numFmtId="1" xfId="0" applyAlignment="1" applyBorder="1" applyFont="1" applyNumberFormat="1">
      <alignment horizontal="center"/>
    </xf>
    <xf borderId="13" fillId="8" fontId="3" numFmtId="1" xfId="0" applyAlignment="1" applyBorder="1" applyFont="1" applyNumberFormat="1">
      <alignment horizontal="center"/>
    </xf>
    <xf borderId="38" fillId="8" fontId="3" numFmtId="1" xfId="0" applyAlignment="1" applyBorder="1" applyFont="1" applyNumberFormat="1">
      <alignment horizontal="center"/>
    </xf>
    <xf borderId="5" fillId="8" fontId="3" numFmtId="1" xfId="0" applyAlignment="1" applyBorder="1" applyFont="1" applyNumberFormat="1">
      <alignment horizontal="center"/>
    </xf>
    <xf borderId="13" fillId="10" fontId="1" numFmtId="0" xfId="0" applyAlignment="1" applyBorder="1" applyFill="1" applyFont="1">
      <alignment horizontal="center"/>
    </xf>
    <xf borderId="13" fillId="10" fontId="3" numFmtId="0" xfId="0" applyAlignment="1" applyBorder="1" applyFont="1">
      <alignment horizontal="left"/>
    </xf>
    <xf borderId="13" fillId="10" fontId="3" numFmtId="0" xfId="0" applyAlignment="1" applyBorder="1" applyFont="1">
      <alignment horizontal="center"/>
    </xf>
    <xf borderId="13" fillId="10" fontId="3" numFmtId="2" xfId="0" applyBorder="1" applyFont="1" applyNumberFormat="1"/>
    <xf borderId="13" fillId="10" fontId="3" numFmtId="1" xfId="0" applyAlignment="1" applyBorder="1" applyFont="1" applyNumberFormat="1">
      <alignment horizontal="center"/>
    </xf>
    <xf borderId="5" fillId="10" fontId="3" numFmtId="1" xfId="0" applyAlignment="1" applyBorder="1" applyFont="1" applyNumberFormat="1">
      <alignment horizontal="center"/>
    </xf>
    <xf borderId="39" fillId="10" fontId="3" numFmtId="165" xfId="0" applyBorder="1" applyFont="1" applyNumberFormat="1"/>
    <xf borderId="5" fillId="10" fontId="3" numFmtId="165" xfId="0" applyBorder="1" applyFont="1" applyNumberFormat="1"/>
    <xf borderId="7" fillId="0" fontId="3" numFmtId="0" xfId="0" applyAlignment="1" applyBorder="1" applyFont="1">
      <alignment horizontal="left" vertical="top"/>
    </xf>
    <xf borderId="29" fillId="0" fontId="3" numFmtId="0" xfId="0" applyAlignment="1" applyBorder="1" applyFont="1">
      <alignment vertical="top"/>
    </xf>
    <xf borderId="36" fillId="0" fontId="3" numFmtId="0" xfId="0" applyAlignment="1" applyBorder="1" applyFont="1">
      <alignment horizontal="center"/>
    </xf>
    <xf borderId="5" fillId="10" fontId="1" numFmtId="0" xfId="0" applyAlignment="1" applyBorder="1" applyFont="1">
      <alignment horizontal="center" vertical="top"/>
    </xf>
    <xf borderId="5" fillId="10" fontId="3" numFmtId="0" xfId="0" applyAlignment="1" applyBorder="1" applyFont="1">
      <alignment horizontal="left" vertical="top"/>
    </xf>
    <xf borderId="5" fillId="10" fontId="3" numFmtId="0" xfId="0" applyAlignment="1" applyBorder="1" applyFont="1">
      <alignment horizontal="center"/>
    </xf>
    <xf borderId="5" fillId="10" fontId="3" numFmtId="2" xfId="0" applyAlignment="1" applyBorder="1" applyFont="1" applyNumberFormat="1">
      <alignment horizontal="center"/>
    </xf>
    <xf borderId="39" fillId="10" fontId="3" numFmtId="0" xfId="0" applyAlignment="1" applyBorder="1" applyFont="1">
      <alignment horizontal="center"/>
    </xf>
    <xf borderId="5" fillId="0" fontId="3" numFmtId="0" xfId="0" applyAlignment="1" applyBorder="1" applyFont="1">
      <alignment horizontal="left" vertical="center"/>
    </xf>
    <xf borderId="5" fillId="0" fontId="3" numFmtId="0" xfId="0" applyAlignment="1" applyBorder="1" applyFont="1">
      <alignment vertical="center"/>
    </xf>
    <xf borderId="5" fillId="0" fontId="3" numFmtId="166" xfId="0" applyAlignment="1" applyBorder="1" applyFont="1" applyNumberFormat="1">
      <alignment horizontal="center"/>
    </xf>
    <xf borderId="6" fillId="0" fontId="3" numFmtId="0" xfId="0" applyAlignment="1" applyBorder="1" applyFont="1">
      <alignment vertical="top"/>
    </xf>
    <xf borderId="6" fillId="0" fontId="3" numFmtId="0" xfId="0" applyAlignment="1" applyBorder="1" applyFont="1">
      <alignment horizontal="center"/>
    </xf>
    <xf borderId="5" fillId="3" fontId="3" numFmtId="0" xfId="0" applyAlignment="1" applyBorder="1" applyFont="1">
      <alignment horizontal="center"/>
    </xf>
    <xf borderId="0" fillId="0" fontId="3" numFmtId="0" xfId="0" applyAlignment="1" applyFont="1">
      <alignment horizontal="right"/>
    </xf>
    <xf borderId="5" fillId="11" fontId="3" numFmtId="0" xfId="0" applyAlignment="1" applyBorder="1" applyFill="1" applyFont="1">
      <alignment horizontal="center" vertical="center"/>
    </xf>
    <xf borderId="40" fillId="11" fontId="3" numFmtId="0" xfId="0" applyAlignment="1" applyBorder="1" applyFont="1">
      <alignment horizontal="center" vertical="center"/>
    </xf>
    <xf borderId="5" fillId="11" fontId="3" numFmtId="0" xfId="0" applyAlignment="1" applyBorder="1" applyFont="1">
      <alignment horizontal="center" shrinkToFit="0" vertical="center" wrapText="1"/>
    </xf>
    <xf borderId="39" fillId="11" fontId="3" numFmtId="0" xfId="0" applyAlignment="1" applyBorder="1" applyFont="1">
      <alignment horizontal="center" shrinkToFit="0" vertical="center" wrapText="1"/>
    </xf>
    <xf borderId="14" fillId="11" fontId="3" numFmtId="0" xfId="0" applyAlignment="1" applyBorder="1" applyFont="1">
      <alignment horizontal="center" shrinkToFit="0" vertical="center" wrapText="1"/>
    </xf>
    <xf borderId="41" fillId="0" fontId="3" numFmtId="0" xfId="0" applyAlignment="1" applyBorder="1" applyFont="1">
      <alignment horizontal="left"/>
    </xf>
    <xf borderId="41" fillId="0" fontId="3" numFmtId="0" xfId="0" applyAlignment="1" applyBorder="1" applyFont="1">
      <alignment horizontal="center"/>
    </xf>
    <xf borderId="42" fillId="0" fontId="3" numFmtId="0" xfId="0" applyAlignment="1" applyBorder="1" applyFont="1">
      <alignment horizontal="center"/>
    </xf>
    <xf borderId="42" fillId="0" fontId="3" numFmtId="0" xfId="0" applyAlignment="1" applyBorder="1" applyFont="1">
      <alignment horizontal="left"/>
    </xf>
    <xf borderId="5" fillId="8" fontId="3" numFmtId="0" xfId="0" applyAlignment="1" applyBorder="1" applyFont="1">
      <alignment vertical="top"/>
    </xf>
    <xf borderId="5" fillId="8" fontId="3" numFmtId="0" xfId="0" applyAlignment="1" applyBorder="1" applyFont="1">
      <alignment horizontal="left" vertical="top"/>
    </xf>
    <xf borderId="5" fillId="8" fontId="1" numFmtId="1" xfId="0" applyBorder="1" applyFont="1" applyNumberFormat="1"/>
    <xf borderId="35" fillId="11" fontId="3" numFmtId="0" xfId="0" applyAlignment="1" applyBorder="1" applyFont="1">
      <alignment horizontal="center" shrinkToFit="0" vertical="center" wrapText="1"/>
    </xf>
    <xf borderId="36" fillId="11" fontId="1" numFmtId="0" xfId="0" applyAlignment="1" applyBorder="1" applyFont="1">
      <alignment horizontal="center" shrinkToFit="0" wrapText="1"/>
    </xf>
    <xf borderId="29" fillId="0" fontId="2" numFmtId="0" xfId="0" applyBorder="1" applyFont="1"/>
    <xf borderId="5" fillId="12" fontId="3" numFmtId="0" xfId="0" applyAlignment="1" applyBorder="1" applyFill="1" applyFont="1">
      <alignment vertical="center"/>
    </xf>
    <xf borderId="0" fillId="0" fontId="5" numFmtId="0" xfId="0" applyFont="1"/>
    <xf borderId="28" fillId="9" fontId="1" numFmtId="0" xfId="0" applyBorder="1" applyFont="1"/>
    <xf borderId="28" fillId="9" fontId="1" numFmtId="0" xfId="0" applyAlignment="1" applyBorder="1" applyFont="1">
      <alignment horizontal="center"/>
    </xf>
    <xf borderId="28" fillId="9" fontId="1" numFmtId="0" xfId="0" applyAlignment="1" applyBorder="1" applyFont="1">
      <alignment horizontal="right"/>
    </xf>
    <xf borderId="28" fillId="9" fontId="5" numFmtId="0" xfId="0" applyBorder="1" applyFont="1"/>
    <xf borderId="5" fillId="9" fontId="1" numFmtId="0" xfId="0" applyAlignment="1" applyBorder="1" applyFont="1">
      <alignment horizontal="center" shrinkToFit="0" wrapText="1"/>
    </xf>
    <xf borderId="5" fillId="0" fontId="3" numFmtId="0" xfId="0" applyAlignment="1" applyBorder="1" applyFont="1">
      <alignment horizontal="right"/>
    </xf>
    <xf borderId="5" fillId="0" fontId="5" numFmtId="0" xfId="0" applyAlignment="1" applyBorder="1" applyFont="1">
      <alignment horizontal="center" shrinkToFit="0" wrapText="1"/>
    </xf>
    <xf borderId="29" fillId="0" fontId="3" numFmtId="0" xfId="0" applyAlignment="1" applyBorder="1" applyFont="1">
      <alignment horizontal="right"/>
    </xf>
    <xf borderId="36" fillId="13" fontId="1" numFmtId="0" xfId="0" applyAlignment="1" applyBorder="1" applyFill="1" applyFont="1">
      <alignment horizontal="right"/>
    </xf>
    <xf borderId="43" fillId="0" fontId="2" numFmtId="0" xfId="0" applyBorder="1" applyFont="1"/>
    <xf borderId="5" fillId="13" fontId="1" numFmtId="0" xfId="0" applyAlignment="1" applyBorder="1" applyFont="1">
      <alignment horizontal="center"/>
    </xf>
    <xf borderId="5" fillId="13" fontId="1" numFmtId="2" xfId="0" applyAlignment="1" applyBorder="1" applyFont="1" applyNumberFormat="1">
      <alignment horizontal="center"/>
    </xf>
    <xf borderId="5" fillId="13" fontId="3" numFmtId="0" xfId="0" applyBorder="1" applyFont="1"/>
    <xf borderId="5" fillId="14" fontId="1" numFmtId="0" xfId="0" applyBorder="1" applyFill="1" applyFont="1"/>
    <xf borderId="5" fillId="14" fontId="1" numFmtId="0" xfId="0" applyAlignment="1" applyBorder="1" applyFont="1">
      <alignment horizontal="center"/>
    </xf>
    <xf borderId="5" fillId="14" fontId="1" numFmtId="2" xfId="0" applyAlignment="1" applyBorder="1" applyFont="1" applyNumberFormat="1">
      <alignment horizontal="center"/>
    </xf>
    <xf borderId="5" fillId="0" fontId="3" numFmtId="0" xfId="0" applyAlignment="1" applyBorder="1" applyFont="1">
      <alignment horizontal="right" vertical="top"/>
    </xf>
    <xf borderId="0" fillId="0" fontId="3" numFmtId="14" xfId="0" applyAlignment="1" applyFont="1" applyNumberFormat="1">
      <alignment horizontal="right" shrinkToFit="0" wrapText="1"/>
    </xf>
    <xf borderId="28" fillId="15" fontId="1" numFmtId="0" xfId="0" applyBorder="1" applyFill="1" applyFont="1"/>
    <xf borderId="5" fillId="15" fontId="1" numFmtId="0" xfId="0" applyAlignment="1" applyBorder="1" applyFont="1">
      <alignment horizontal="right"/>
    </xf>
    <xf borderId="5" fillId="12" fontId="1" numFmtId="0" xfId="0" applyAlignment="1" applyBorder="1" applyFont="1">
      <alignment horizontal="center"/>
    </xf>
    <xf borderId="0" fillId="0" fontId="3" numFmtId="2" xfId="0" applyFont="1" applyNumberFormat="1"/>
    <xf borderId="14" fillId="9" fontId="1" numFmtId="0" xfId="0" applyAlignment="1" applyBorder="1" applyFont="1">
      <alignment horizontal="center" vertical="center"/>
    </xf>
    <xf borderId="36" fillId="9" fontId="1" numFmtId="0" xfId="0" applyAlignment="1" applyBorder="1" applyFont="1">
      <alignment horizontal="center" vertical="center"/>
    </xf>
    <xf borderId="5" fillId="9" fontId="1" numFmtId="0" xfId="0" applyAlignment="1" applyBorder="1" applyFont="1">
      <alignment horizontal="center" vertical="center"/>
    </xf>
    <xf borderId="5" fillId="9" fontId="1" numFmtId="0" xfId="0" applyAlignment="1" applyBorder="1" applyFont="1">
      <alignment horizontal="center" shrinkToFit="0" vertical="center" wrapText="1"/>
    </xf>
    <xf borderId="14" fillId="9" fontId="1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vertical="center"/>
    </xf>
    <xf borderId="0" fillId="0" fontId="5" numFmtId="0" xfId="0" applyAlignment="1" applyFont="1">
      <alignment vertical="center"/>
    </xf>
    <xf borderId="29" fillId="0" fontId="3" numFmtId="0" xfId="0" applyBorder="1" applyFont="1"/>
    <xf borderId="36" fillId="0" fontId="3" numFmtId="0" xfId="0" applyAlignment="1" applyBorder="1" applyFont="1">
      <alignment horizontal="right"/>
    </xf>
    <xf borderId="6" fillId="0" fontId="3" numFmtId="0" xfId="0" applyAlignment="1" applyBorder="1" applyFont="1">
      <alignment horizontal="right"/>
    </xf>
    <xf borderId="5" fillId="0" fontId="3" numFmtId="49" xfId="0" applyAlignment="1" applyBorder="1" applyFont="1" applyNumberFormat="1">
      <alignment horizontal="right"/>
    </xf>
    <xf borderId="5" fillId="0" fontId="3" numFmtId="49" xfId="0" applyBorder="1" applyFont="1" applyNumberFormat="1"/>
    <xf borderId="7" fillId="0" fontId="3" numFmtId="0" xfId="0" applyAlignment="1" applyBorder="1" applyFont="1">
      <alignment horizontal="right"/>
    </xf>
    <xf borderId="5" fillId="8" fontId="1" numFmtId="1" xfId="0" applyAlignment="1" applyBorder="1" applyFont="1" applyNumberFormat="1">
      <alignment horizontal="right"/>
    </xf>
    <xf borderId="5" fillId="8" fontId="1" numFmtId="1" xfId="0" applyAlignment="1" applyBorder="1" applyFont="1" applyNumberFormat="1">
      <alignment horizontal="center"/>
    </xf>
    <xf borderId="36" fillId="9" fontId="1" numFmtId="0" xfId="0" applyAlignment="1" applyBorder="1" applyFont="1">
      <alignment horizontal="center"/>
    </xf>
    <xf borderId="5" fillId="9" fontId="1" numFmtId="0" xfId="0" applyBorder="1" applyFont="1"/>
    <xf borderId="5" fillId="9" fontId="1" numFmtId="0" xfId="0" applyAlignment="1" applyBorder="1" applyFont="1">
      <alignment horizontal="center"/>
    </xf>
    <xf borderId="5" fillId="9" fontId="1" numFmtId="2" xfId="0" applyAlignment="1" applyBorder="1" applyFont="1" applyNumberFormat="1">
      <alignment horizontal="center"/>
    </xf>
    <xf borderId="5" fillId="0" fontId="3" numFmtId="167" xfId="0" applyAlignment="1" applyBorder="1" applyFont="1" applyNumberFormat="1">
      <alignment horizontal="center" shrinkToFit="0" wrapText="1"/>
    </xf>
    <xf borderId="5" fillId="0" fontId="3" numFmtId="0" xfId="0" applyAlignment="1" applyBorder="1" applyFont="1">
      <alignment horizontal="right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5" fillId="0" fontId="6" numFmtId="0" xfId="0" applyAlignment="1" applyBorder="1" applyFont="1">
      <alignment horizontal="right"/>
    </xf>
    <xf borderId="5" fillId="0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right" shrinkToFit="0" vertical="center" wrapText="1"/>
    </xf>
    <xf borderId="36" fillId="0" fontId="3" numFmtId="0" xfId="0" applyBorder="1" applyFont="1"/>
    <xf borderId="5" fillId="0" fontId="3" numFmtId="2" xfId="0" applyAlignment="1" applyBorder="1" applyFont="1" applyNumberFormat="1">
      <alignment horizontal="center" shrinkToFit="0" wrapText="1"/>
    </xf>
    <xf borderId="0" fillId="0" fontId="3" numFmtId="167" xfId="0" applyAlignment="1" applyFont="1" applyNumberFormat="1">
      <alignment horizontal="center" shrinkToFit="0" wrapText="1"/>
    </xf>
    <xf borderId="5" fillId="9" fontId="1" numFmtId="0" xfId="0" applyAlignment="1" applyBorder="1" applyFont="1">
      <alignment shrinkToFit="0" wrapText="1"/>
    </xf>
    <xf borderId="5" fillId="9" fontId="1" numFmtId="0" xfId="0" applyAlignment="1" applyBorder="1" applyFont="1">
      <alignment horizontal="right" shrinkToFit="0" wrapText="1"/>
    </xf>
    <xf borderId="5" fillId="12" fontId="3" numFmtId="0" xfId="0" applyAlignment="1" applyBorder="1" applyFont="1">
      <alignment shrinkToFit="0" wrapText="1"/>
    </xf>
    <xf borderId="5" fillId="0" fontId="3" numFmtId="49" xfId="0" applyAlignment="1" applyBorder="1" applyFont="1" applyNumberFormat="1">
      <alignment shrinkToFit="0" vertical="center" wrapText="1"/>
    </xf>
    <xf borderId="5" fillId="0" fontId="3" numFmtId="49" xfId="0" applyAlignment="1" applyBorder="1" applyFont="1" applyNumberFormat="1">
      <alignment horizontal="right" shrinkToFit="0" wrapText="1"/>
    </xf>
    <xf borderId="5" fillId="9" fontId="3" numFmtId="0" xfId="0" applyBorder="1" applyFont="1"/>
    <xf borderId="5" fillId="0" fontId="3" numFmtId="167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horizontal="center" shrinkToFit="0" wrapText="1"/>
    </xf>
    <xf borderId="28" fillId="12" fontId="7" numFmtId="0" xfId="0" applyBorder="1" applyFont="1"/>
    <xf borderId="28" fillId="12" fontId="7" numFmtId="0" xfId="0" applyAlignment="1" applyBorder="1" applyFont="1">
      <alignment horizontal="center"/>
    </xf>
    <xf borderId="28" fillId="12" fontId="8" numFmtId="0" xfId="0" applyBorder="1" applyFont="1"/>
    <xf borderId="28" fillId="12" fontId="8" numFmtId="0" xfId="0" applyAlignment="1" applyBorder="1" applyFont="1">
      <alignment horizontal="center"/>
    </xf>
    <xf borderId="0" fillId="0" fontId="3" numFmtId="9" xfId="0" applyAlignment="1" applyFont="1" applyNumberFormat="1">
      <alignment horizontal="right"/>
    </xf>
    <xf borderId="14" fillId="9" fontId="1" numFmtId="0" xfId="0" applyAlignment="1" applyBorder="1" applyFont="1">
      <alignment horizontal="center" shrinkToFit="0" wrapText="1"/>
    </xf>
    <xf borderId="5" fillId="16" fontId="3" numFmtId="0" xfId="0" applyAlignment="1" applyBorder="1" applyFill="1" applyFont="1">
      <alignment horizontal="center"/>
    </xf>
    <xf borderId="35" fillId="16" fontId="3" numFmtId="0" xfId="0" applyAlignment="1" applyBorder="1" applyFont="1">
      <alignment horizontal="center"/>
    </xf>
    <xf borderId="5" fillId="16" fontId="3" numFmtId="2" xfId="0" applyAlignment="1" applyBorder="1" applyFont="1" applyNumberFormat="1">
      <alignment horizontal="center"/>
    </xf>
    <xf borderId="5" fillId="16" fontId="3" numFmtId="2" xfId="0" applyAlignment="1" applyBorder="1" applyFont="1" applyNumberFormat="1">
      <alignment horizontal="center" vertical="center"/>
    </xf>
    <xf borderId="39" fillId="16" fontId="3" numFmtId="2" xfId="0" applyAlignment="1" applyBorder="1" applyFont="1" applyNumberFormat="1">
      <alignment horizontal="center"/>
    </xf>
    <xf borderId="5" fillId="3" fontId="3" numFmtId="2" xfId="0" applyAlignment="1" applyBorder="1" applyFont="1" applyNumberFormat="1">
      <alignment horizontal="center"/>
    </xf>
    <xf borderId="36" fillId="0" fontId="3" numFmtId="2" xfId="0" applyAlignment="1" applyBorder="1" applyFont="1" applyNumberFormat="1">
      <alignment horizontal="center" vertical="center"/>
    </xf>
    <xf borderId="39" fillId="16" fontId="3" numFmtId="2" xfId="0" applyAlignment="1" applyBorder="1" applyFont="1" applyNumberFormat="1">
      <alignment horizontal="center" vertical="center"/>
    </xf>
    <xf borderId="13" fillId="3" fontId="3" numFmtId="2" xfId="0" applyAlignment="1" applyBorder="1" applyFont="1" applyNumberFormat="1">
      <alignment horizontal="center"/>
    </xf>
    <xf borderId="5" fillId="0" fontId="3" numFmtId="168" xfId="0" applyAlignment="1" applyBorder="1" applyFont="1" applyNumberFormat="1">
      <alignment horizontal="center"/>
    </xf>
    <xf borderId="28" fillId="12" fontId="1" numFmtId="0" xfId="0" applyAlignment="1" applyBorder="1" applyFont="1">
      <alignment horizontal="center"/>
    </xf>
    <xf borderId="28" fillId="12" fontId="3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5" fillId="0" fontId="3" numFmtId="0" xfId="0" applyAlignment="1" applyBorder="1" applyFont="1">
      <alignment horizontal="center" vertical="top"/>
    </xf>
    <xf borderId="0" fillId="0" fontId="5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28" fillId="17" fontId="1" numFmtId="0" xfId="0" applyBorder="1" applyFill="1" applyFont="1"/>
    <xf borderId="28" fillId="17" fontId="1" numFmtId="0" xfId="0" applyAlignment="1" applyBorder="1" applyFont="1">
      <alignment horizontal="center"/>
    </xf>
    <xf borderId="28" fillId="17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vertical="center"/>
    </xf>
    <xf borderId="5" fillId="12" fontId="3" numFmtId="0" xfId="0" applyAlignment="1" applyBorder="1" applyFont="1">
      <alignment horizontal="center" shrinkToFit="0" vertical="center" wrapText="1"/>
    </xf>
    <xf borderId="5" fillId="0" fontId="3" numFmtId="2" xfId="0" applyAlignment="1" applyBorder="1" applyFont="1" applyNumberFormat="1">
      <alignment horizontal="center" shrinkToFit="0" vertical="center" wrapText="1"/>
    </xf>
    <xf borderId="28" fillId="12" fontId="1" numFmtId="0" xfId="0" applyBorder="1" applyFont="1"/>
    <xf borderId="28" fillId="12" fontId="1" numFmtId="0" xfId="0" applyAlignment="1" applyBorder="1" applyFont="1">
      <alignment horizontal="left"/>
    </xf>
    <xf borderId="28" fillId="12" fontId="3" numFmtId="0" xfId="0" applyBorder="1" applyFont="1"/>
    <xf borderId="35" fillId="9" fontId="1" numFmtId="0" xfId="0" applyAlignment="1" applyBorder="1" applyFont="1">
      <alignment horizontal="center" shrinkToFit="0" vertical="center" wrapText="1"/>
    </xf>
    <xf borderId="5" fillId="0" fontId="9" numFmtId="0" xfId="0" applyAlignment="1" applyBorder="1" applyFont="1">
      <alignment horizontal="center" vertical="top"/>
    </xf>
    <xf borderId="5" fillId="0" fontId="5" numFmtId="0" xfId="0" applyAlignment="1" applyBorder="1" applyFont="1">
      <alignment horizontal="center"/>
    </xf>
    <xf borderId="5" fillId="9" fontId="1" numFmtId="165" xfId="0" applyAlignment="1" applyBorder="1" applyFont="1" applyNumberFormat="1">
      <alignment horizontal="center" shrinkToFit="0" vertical="center" wrapText="1"/>
    </xf>
    <xf borderId="5" fillId="0" fontId="3" numFmtId="0" xfId="0" applyAlignment="1" applyBorder="1" applyFont="1">
      <alignment horizontal="right" vertical="center"/>
    </xf>
    <xf borderId="5" fillId="9" fontId="3" numFmtId="0" xfId="0" applyAlignment="1" applyBorder="1" applyFont="1">
      <alignment horizontal="center"/>
    </xf>
    <xf borderId="5" fillId="9" fontId="3" numFmtId="168" xfId="0" applyAlignment="1" applyBorder="1" applyFont="1" applyNumberFormat="1">
      <alignment horizontal="center"/>
    </xf>
    <xf borderId="39" fillId="9" fontId="3" numFmtId="0" xfId="0" applyBorder="1" applyFont="1"/>
  </cellXfs>
  <cellStyles count="1">
    <cellStyle xfId="0" name="Normal" builtinId="0"/>
  </cellStyles>
  <dxfs count="1">
    <dxf>
      <font/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34</xdr:row>
      <xdr:rowOff>0</xdr:rowOff>
    </xdr:from>
    <xdr:ext cx="323850" cy="276225"/>
    <xdr:sp>
      <xdr:nvSpPr>
        <xdr:cNvPr id="3" name="Shape 3"/>
        <xdr:cNvSpPr/>
      </xdr:nvSpPr>
      <xdr:spPr>
        <a:xfrm>
          <a:off x="5188838" y="3646650"/>
          <a:ext cx="314325" cy="2667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34</xdr:row>
      <xdr:rowOff>0</xdr:rowOff>
    </xdr:from>
    <xdr:ext cx="323850" cy="276225"/>
    <xdr:sp>
      <xdr:nvSpPr>
        <xdr:cNvPr id="3" name="Shape 3"/>
        <xdr:cNvSpPr/>
      </xdr:nvSpPr>
      <xdr:spPr>
        <a:xfrm>
          <a:off x="5188838" y="3646650"/>
          <a:ext cx="314325" cy="2667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0</xdr:rowOff>
    </xdr:from>
    <xdr:ext cx="323850" cy="276225"/>
    <xdr:sp>
      <xdr:nvSpPr>
        <xdr:cNvPr id="3" name="Shape 3"/>
        <xdr:cNvSpPr/>
      </xdr:nvSpPr>
      <xdr:spPr>
        <a:xfrm>
          <a:off x="5188838" y="3646650"/>
          <a:ext cx="314325" cy="2667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0</xdr:rowOff>
    </xdr:from>
    <xdr:ext cx="323850" cy="276225"/>
    <xdr:sp>
      <xdr:nvSpPr>
        <xdr:cNvPr id="3" name="Shape 3"/>
        <xdr:cNvSpPr/>
      </xdr:nvSpPr>
      <xdr:spPr>
        <a:xfrm>
          <a:off x="5188838" y="3646650"/>
          <a:ext cx="314325" cy="2667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0</xdr:rowOff>
    </xdr:from>
    <xdr:ext cx="323850" cy="276225"/>
    <xdr:sp>
      <xdr:nvSpPr>
        <xdr:cNvPr id="3" name="Shape 3"/>
        <xdr:cNvSpPr/>
      </xdr:nvSpPr>
      <xdr:spPr>
        <a:xfrm>
          <a:off x="5188838" y="3646650"/>
          <a:ext cx="314325" cy="2667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0</xdr:rowOff>
    </xdr:from>
    <xdr:ext cx="323850" cy="276225"/>
    <xdr:sp>
      <xdr:nvSpPr>
        <xdr:cNvPr id="3" name="Shape 3"/>
        <xdr:cNvSpPr/>
      </xdr:nvSpPr>
      <xdr:spPr>
        <a:xfrm>
          <a:off x="5188838" y="3646650"/>
          <a:ext cx="314325" cy="2667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30</xdr:row>
      <xdr:rowOff>0</xdr:rowOff>
    </xdr:from>
    <xdr:ext cx="323850" cy="276225"/>
    <xdr:sp>
      <xdr:nvSpPr>
        <xdr:cNvPr id="3" name="Shape 3"/>
        <xdr:cNvSpPr/>
      </xdr:nvSpPr>
      <xdr:spPr>
        <a:xfrm>
          <a:off x="5188838" y="3646650"/>
          <a:ext cx="314325" cy="2667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30</xdr:row>
      <xdr:rowOff>0</xdr:rowOff>
    </xdr:from>
    <xdr:ext cx="323850" cy="276225"/>
    <xdr:sp>
      <xdr:nvSpPr>
        <xdr:cNvPr id="3" name="Shape 3"/>
        <xdr:cNvSpPr/>
      </xdr:nvSpPr>
      <xdr:spPr>
        <a:xfrm>
          <a:off x="5188838" y="3646650"/>
          <a:ext cx="314325" cy="2667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32</xdr:row>
      <xdr:rowOff>0</xdr:rowOff>
    </xdr:from>
    <xdr:ext cx="323850" cy="276225"/>
    <xdr:sp>
      <xdr:nvSpPr>
        <xdr:cNvPr id="3" name="Shape 3"/>
        <xdr:cNvSpPr/>
      </xdr:nvSpPr>
      <xdr:spPr>
        <a:xfrm>
          <a:off x="5188838" y="3646650"/>
          <a:ext cx="314325" cy="2667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32</xdr:row>
      <xdr:rowOff>0</xdr:rowOff>
    </xdr:from>
    <xdr:ext cx="323850" cy="276225"/>
    <xdr:sp>
      <xdr:nvSpPr>
        <xdr:cNvPr id="3" name="Shape 3"/>
        <xdr:cNvSpPr/>
      </xdr:nvSpPr>
      <xdr:spPr>
        <a:xfrm>
          <a:off x="5188838" y="3646650"/>
          <a:ext cx="314325" cy="2667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32</xdr:row>
      <xdr:rowOff>0</xdr:rowOff>
    </xdr:from>
    <xdr:ext cx="323850" cy="276225"/>
    <xdr:sp>
      <xdr:nvSpPr>
        <xdr:cNvPr id="3" name="Shape 3"/>
        <xdr:cNvSpPr/>
      </xdr:nvSpPr>
      <xdr:spPr>
        <a:xfrm>
          <a:off x="5188838" y="3646650"/>
          <a:ext cx="314325" cy="2667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32</xdr:row>
      <xdr:rowOff>0</xdr:rowOff>
    </xdr:from>
    <xdr:ext cx="323850" cy="276225"/>
    <xdr:sp>
      <xdr:nvSpPr>
        <xdr:cNvPr id="3" name="Shape 3"/>
        <xdr:cNvSpPr/>
      </xdr:nvSpPr>
      <xdr:spPr>
        <a:xfrm>
          <a:off x="5188838" y="3646650"/>
          <a:ext cx="314325" cy="2667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7.71"/>
    <col customWidth="1" min="2" max="2" width="43.14"/>
    <col customWidth="1" min="3" max="4" width="11.43"/>
    <col customWidth="1" min="5" max="5" width="35.29"/>
    <col customWidth="1" min="6" max="6" width="11.43"/>
    <col customWidth="1" min="7" max="26" width="10.71"/>
  </cols>
  <sheetData>
    <row r="1" ht="13.5" customHeight="1">
      <c r="A1" s="1" t="s">
        <v>0</v>
      </c>
      <c r="B1" s="2"/>
      <c r="C1" s="3"/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3.5" customHeight="1">
      <c r="A2" s="5" t="s">
        <v>1</v>
      </c>
      <c r="B2" s="6"/>
      <c r="C2" s="3"/>
      <c r="D2" s="3"/>
      <c r="E2" s="3"/>
      <c r="F2" s="3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3.5" customHeight="1">
      <c r="A3" s="7" t="s">
        <v>2</v>
      </c>
      <c r="B3" s="8"/>
      <c r="C3" s="3"/>
      <c r="D3" s="3"/>
      <c r="E3" s="3"/>
      <c r="F3" s="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3.5" customHeight="1">
      <c r="A4" s="9" t="s">
        <v>3</v>
      </c>
      <c r="B4" s="10"/>
      <c r="C4" s="3"/>
      <c r="D4" s="3"/>
      <c r="E4" s="3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3.5" customHeight="1">
      <c r="A5" s="11" t="s">
        <v>4</v>
      </c>
      <c r="B5" s="12"/>
      <c r="C5" s="3"/>
      <c r="D5" s="3"/>
      <c r="E5" s="3"/>
      <c r="F5" s="3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3.5" customHeight="1">
      <c r="A6" s="13" t="s">
        <v>5</v>
      </c>
      <c r="B6" s="14"/>
      <c r="C6" s="3"/>
      <c r="D6" s="3"/>
      <c r="E6" s="3"/>
      <c r="F6" s="3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3.5" customHeight="1">
      <c r="A7" s="13" t="s">
        <v>6</v>
      </c>
      <c r="B7" s="14"/>
      <c r="C7" s="3"/>
      <c r="D7" s="3"/>
      <c r="E7" s="3"/>
      <c r="F7" s="3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3.5" customHeight="1">
      <c r="A8" s="13" t="s">
        <v>7</v>
      </c>
      <c r="B8" s="14"/>
      <c r="C8" s="3"/>
      <c r="D8" s="3"/>
      <c r="E8" s="3"/>
      <c r="F8" s="3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3.5" customHeight="1">
      <c r="A9" s="13" t="s">
        <v>8</v>
      </c>
      <c r="B9" s="14"/>
      <c r="C9" s="3"/>
      <c r="D9" s="3"/>
      <c r="E9" s="3"/>
      <c r="F9" s="3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3.5" customHeight="1">
      <c r="A10" s="15" t="s">
        <v>9</v>
      </c>
      <c r="B10" s="10"/>
      <c r="C10" s="3"/>
      <c r="D10" s="3"/>
      <c r="E10" s="3"/>
      <c r="F10" s="3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3.5" customHeight="1">
      <c r="A11" s="13" t="s">
        <v>10</v>
      </c>
      <c r="B11" s="14"/>
      <c r="C11" s="3"/>
      <c r="D11" s="3"/>
      <c r="E11" s="3"/>
      <c r="F11" s="3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3.5" customHeight="1">
      <c r="A12" s="13" t="s">
        <v>11</v>
      </c>
      <c r="B12" s="14"/>
      <c r="C12" s="3"/>
      <c r="D12" s="3"/>
      <c r="E12" s="3"/>
      <c r="F12" s="3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3.5" customHeight="1">
      <c r="A13" s="13" t="s">
        <v>12</v>
      </c>
      <c r="B13" s="14"/>
      <c r="C13" s="3"/>
      <c r="D13" s="3"/>
      <c r="E13" s="3"/>
      <c r="F13" s="3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3.5" customHeight="1">
      <c r="A14" s="13" t="s">
        <v>13</v>
      </c>
      <c r="B14" s="14"/>
      <c r="C14" s="3"/>
      <c r="D14" s="3"/>
      <c r="E14" s="3"/>
      <c r="F14" s="3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3.5" customHeight="1">
      <c r="A15" s="13" t="s">
        <v>14</v>
      </c>
      <c r="B15" s="14"/>
      <c r="C15" s="3"/>
      <c r="D15" s="3"/>
      <c r="E15" s="3"/>
      <c r="F15" s="3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3.5" customHeight="1">
      <c r="A16" s="13" t="s">
        <v>15</v>
      </c>
      <c r="B16" s="14"/>
      <c r="C16" s="3"/>
      <c r="D16" s="3"/>
      <c r="E16" s="3"/>
      <c r="F16" s="3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3.5" customHeight="1">
      <c r="A17" s="13" t="s">
        <v>16</v>
      </c>
      <c r="B17" s="14"/>
      <c r="C17" s="3"/>
      <c r="D17" s="3"/>
      <c r="E17" s="3"/>
      <c r="F17" s="3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3.5" customHeight="1">
      <c r="A18" s="13" t="s">
        <v>17</v>
      </c>
      <c r="B18" s="14"/>
      <c r="C18" s="3"/>
      <c r="D18" s="3"/>
      <c r="E18" s="3"/>
      <c r="F18" s="3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3.5" customHeight="1">
      <c r="A19" s="15" t="s">
        <v>18</v>
      </c>
      <c r="B19" s="10"/>
      <c r="C19" s="3"/>
      <c r="D19" s="3"/>
      <c r="E19" s="3"/>
      <c r="F19" s="3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3.5" customHeight="1">
      <c r="A20" s="16" t="s">
        <v>19</v>
      </c>
      <c r="B20" s="14"/>
      <c r="C20" s="3"/>
      <c r="D20" s="3"/>
      <c r="E20" s="3"/>
      <c r="F20" s="3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3.5" customHeight="1">
      <c r="A21" s="13" t="s">
        <v>20</v>
      </c>
      <c r="C21" s="3"/>
      <c r="D21" s="3"/>
      <c r="E21" s="3"/>
      <c r="F21" s="3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0" customHeight="1">
      <c r="A22" s="13" t="s">
        <v>21</v>
      </c>
      <c r="B22" s="14"/>
      <c r="C22" s="3"/>
      <c r="D22" s="3"/>
      <c r="E22" s="3"/>
      <c r="F22" s="3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3.5" customHeight="1">
      <c r="A23" s="13" t="s">
        <v>22</v>
      </c>
      <c r="B23" s="14"/>
      <c r="C23" s="3"/>
      <c r="D23" s="3"/>
      <c r="E23" s="3"/>
      <c r="F23" s="3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3.5" customHeight="1">
      <c r="A24" s="13" t="s">
        <v>23</v>
      </c>
      <c r="B24" s="14"/>
      <c r="C24" s="3"/>
      <c r="D24" s="3"/>
      <c r="E24" s="3"/>
      <c r="F24" s="3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3.5" customHeight="1">
      <c r="A25" s="13" t="s">
        <v>24</v>
      </c>
      <c r="B25" s="14"/>
      <c r="C25" s="3"/>
      <c r="D25" s="3"/>
      <c r="E25" s="3"/>
      <c r="F25" s="3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3.5" customHeight="1">
      <c r="A26" s="13" t="s">
        <v>25</v>
      </c>
      <c r="B26" s="14"/>
      <c r="C26" s="3"/>
      <c r="D26" s="3"/>
      <c r="E26" s="3"/>
      <c r="F26" s="3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3.5" customHeight="1">
      <c r="A27" s="13" t="s">
        <v>26</v>
      </c>
      <c r="B27" s="14"/>
      <c r="C27" s="3"/>
      <c r="D27" s="3"/>
      <c r="E27" s="3"/>
      <c r="F27" s="3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3.5" customHeight="1">
      <c r="A28" s="13" t="s">
        <v>27</v>
      </c>
      <c r="B28" s="14"/>
      <c r="C28" s="3"/>
      <c r="D28" s="3"/>
      <c r="E28" s="3"/>
      <c r="F28" s="3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3.5" customHeight="1">
      <c r="A29" s="13" t="s">
        <v>28</v>
      </c>
      <c r="B29" s="14"/>
      <c r="C29" s="3"/>
      <c r="D29" s="3"/>
      <c r="E29" s="3"/>
      <c r="F29" s="3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3.5" customHeight="1">
      <c r="A30" s="13" t="s">
        <v>29</v>
      </c>
      <c r="B30" s="14"/>
      <c r="C30" s="3"/>
      <c r="D30" s="3"/>
      <c r="E30" s="3"/>
      <c r="F30" s="3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3.5" customHeight="1">
      <c r="A31" s="15" t="s">
        <v>30</v>
      </c>
      <c r="B31" s="10"/>
      <c r="C31" s="3"/>
      <c r="D31" s="3"/>
      <c r="E31" s="3"/>
      <c r="F31" s="3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3.5" customHeight="1">
      <c r="A32" s="13" t="s">
        <v>31</v>
      </c>
      <c r="B32" s="14"/>
      <c r="C32" s="3"/>
      <c r="D32" s="3"/>
      <c r="E32" s="3"/>
      <c r="F32" s="3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3.5" customHeight="1">
      <c r="A33" s="13" t="s">
        <v>32</v>
      </c>
      <c r="B33" s="14"/>
      <c r="C33" s="3"/>
      <c r="D33" s="3"/>
      <c r="E33" s="3"/>
      <c r="F33" s="3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3.5" customHeight="1">
      <c r="A34" s="13" t="s">
        <v>33</v>
      </c>
      <c r="B34" s="14"/>
      <c r="C34" s="3"/>
      <c r="D34" s="3"/>
      <c r="E34" s="3"/>
      <c r="F34" s="3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3.5" customHeight="1">
      <c r="A35" s="13" t="s">
        <v>34</v>
      </c>
      <c r="B35" s="14"/>
      <c r="C35" s="3"/>
      <c r="D35" s="3"/>
      <c r="E35" s="3"/>
      <c r="F35" s="3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3.5" customHeight="1">
      <c r="A36" s="16" t="s">
        <v>35</v>
      </c>
      <c r="B36" s="14"/>
      <c r="C36" s="3"/>
      <c r="D36" s="3"/>
      <c r="E36" s="3"/>
      <c r="F36" s="3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3.5" customHeight="1">
      <c r="A37" s="13" t="s">
        <v>36</v>
      </c>
      <c r="B37" s="14"/>
      <c r="C37" s="3"/>
      <c r="D37" s="3"/>
      <c r="E37" s="3"/>
      <c r="F37" s="3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3.5" customHeight="1">
      <c r="A38" s="13" t="s">
        <v>37</v>
      </c>
      <c r="B38" s="14"/>
      <c r="C38" s="3"/>
      <c r="D38" s="3"/>
      <c r="E38" s="3"/>
      <c r="F38" s="3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3.5" customHeight="1">
      <c r="A39" s="13" t="s">
        <v>33</v>
      </c>
      <c r="B39" s="14"/>
      <c r="C39" s="3"/>
      <c r="D39" s="3"/>
      <c r="E39" s="3"/>
      <c r="F39" s="3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3.5" customHeight="1">
      <c r="A40" s="16" t="s">
        <v>38</v>
      </c>
      <c r="B40" s="14"/>
      <c r="C40" s="3"/>
      <c r="D40" s="3"/>
      <c r="E40" s="3"/>
      <c r="F40" s="3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3.5" customHeight="1">
      <c r="A41" s="13" t="s">
        <v>39</v>
      </c>
      <c r="B41" s="14"/>
      <c r="C41" s="3"/>
      <c r="D41" s="3"/>
      <c r="E41" s="3"/>
      <c r="F41" s="3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3.5" customHeight="1">
      <c r="A42" s="13" t="s">
        <v>39</v>
      </c>
      <c r="B42" s="14"/>
      <c r="C42" s="3"/>
      <c r="D42" s="3"/>
      <c r="E42" s="3"/>
      <c r="F42" s="3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3.5" customHeight="1">
      <c r="A43" s="13" t="s">
        <v>39</v>
      </c>
      <c r="B43" s="14"/>
      <c r="C43" s="3"/>
      <c r="D43" s="3"/>
      <c r="E43" s="3"/>
      <c r="F43" s="3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3.5" customHeight="1">
      <c r="A44" s="15" t="s">
        <v>40</v>
      </c>
      <c r="B44" s="10"/>
      <c r="C44" s="3"/>
      <c r="D44" s="3"/>
      <c r="E44" s="3"/>
      <c r="F44" s="3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3.5" customHeight="1">
      <c r="A45" s="13" t="s">
        <v>41</v>
      </c>
      <c r="B45" s="14"/>
      <c r="C45" s="3"/>
      <c r="D45" s="3"/>
      <c r="E45" s="3"/>
      <c r="F45" s="3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3.5" customHeight="1">
      <c r="A46" s="13" t="s">
        <v>42</v>
      </c>
      <c r="B46" s="14"/>
      <c r="C46" s="3"/>
      <c r="D46" s="3"/>
      <c r="E46" s="3"/>
      <c r="F46" s="3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3.5" customHeight="1">
      <c r="A47" s="13" t="s">
        <v>43</v>
      </c>
      <c r="B47" s="14"/>
      <c r="C47" s="3"/>
      <c r="D47" s="3"/>
      <c r="E47" s="3"/>
      <c r="F47" s="3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3.5" customHeight="1">
      <c r="A48" s="15" t="s">
        <v>44</v>
      </c>
      <c r="B48" s="10"/>
      <c r="C48" s="3"/>
      <c r="D48" s="3"/>
      <c r="E48" s="3"/>
      <c r="F48" s="3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3.5" customHeight="1">
      <c r="A49" s="13" t="s">
        <v>45</v>
      </c>
      <c r="B49" s="14"/>
      <c r="C49" s="3"/>
      <c r="D49" s="3"/>
      <c r="E49" s="3"/>
      <c r="F49" s="3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3.5" customHeight="1">
      <c r="A50" s="13" t="s">
        <v>46</v>
      </c>
      <c r="B50" s="14"/>
      <c r="C50" s="3"/>
      <c r="D50" s="3"/>
      <c r="E50" s="3"/>
      <c r="F50" s="3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3.5" customHeight="1">
      <c r="A51" s="14" t="s">
        <v>47</v>
      </c>
      <c r="B51" s="14"/>
      <c r="C51" s="3"/>
      <c r="D51" s="3"/>
      <c r="E51" s="3"/>
      <c r="F51" s="3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3.5" customHeight="1">
      <c r="A52" s="15" t="s">
        <v>48</v>
      </c>
      <c r="B52" s="10"/>
      <c r="C52" s="3"/>
      <c r="D52" s="3"/>
      <c r="E52" s="3"/>
      <c r="F52" s="3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3.5" customHeight="1">
      <c r="A53" s="13" t="s">
        <v>49</v>
      </c>
      <c r="B53" s="14"/>
      <c r="C53" s="3"/>
      <c r="D53" s="3"/>
      <c r="E53" s="3"/>
      <c r="F53" s="3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3.5" customHeight="1">
      <c r="A54" s="13" t="s">
        <v>50</v>
      </c>
      <c r="B54" s="14"/>
      <c r="C54" s="3"/>
      <c r="D54" s="3"/>
      <c r="E54" s="3"/>
      <c r="F54" s="3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3.5" customHeight="1">
      <c r="A55" s="14" t="s">
        <v>51</v>
      </c>
      <c r="B55" s="14"/>
      <c r="C55" s="3"/>
      <c r="D55" s="3"/>
      <c r="E55" s="3"/>
      <c r="F55" s="3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3.5" customHeight="1">
      <c r="A56" s="17"/>
      <c r="B56" s="18" t="str">
        <f>IFERROR(__xludf.DUMMYFUNCTION("REGEXREPLACE(LOWER(A56),""[^a-z0-9]+"",""_"")"),"")</f>
        <v/>
      </c>
      <c r="C56" s="3"/>
      <c r="D56" s="19"/>
      <c r="E56" s="20"/>
      <c r="F56" s="2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3.5" customHeight="1">
      <c r="A57" s="21" t="s">
        <v>52</v>
      </c>
      <c r="B57" s="22" t="s">
        <v>53</v>
      </c>
      <c r="C57" s="22" t="s">
        <v>54</v>
      </c>
      <c r="D57" s="22" t="s">
        <v>55</v>
      </c>
      <c r="E57" s="22" t="s">
        <v>56</v>
      </c>
      <c r="F57" s="23" t="s">
        <v>57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3.5" customHeight="1">
      <c r="A58" s="24" t="s">
        <v>58</v>
      </c>
      <c r="B58" s="25"/>
      <c r="C58" s="25"/>
      <c r="D58" s="26"/>
      <c r="E58" s="27"/>
      <c r="F58" s="28" t="s">
        <v>59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3.5" customHeight="1">
      <c r="A59" s="29" t="s">
        <v>60</v>
      </c>
      <c r="B59" s="25"/>
      <c r="C59" s="30"/>
      <c r="D59" s="31"/>
      <c r="E59" s="32"/>
      <c r="F59" s="33" t="s">
        <v>59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3.5" customHeight="1">
      <c r="A60" s="29" t="s">
        <v>61</v>
      </c>
      <c r="B60" s="25"/>
      <c r="C60" s="34"/>
      <c r="D60" s="31"/>
      <c r="E60" s="32"/>
      <c r="F60" s="33" t="s">
        <v>59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3.5" customHeight="1">
      <c r="A61" s="29" t="s">
        <v>62</v>
      </c>
      <c r="B61" s="25"/>
      <c r="C61" s="34"/>
      <c r="D61" s="31"/>
      <c r="E61" s="32"/>
      <c r="F61" s="33" t="s">
        <v>59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3.5" customHeight="1">
      <c r="A62" s="29" t="s">
        <v>63</v>
      </c>
      <c r="B62" s="25"/>
      <c r="C62" s="14"/>
      <c r="D62" s="31"/>
      <c r="E62" s="32"/>
      <c r="F62" s="33" t="s">
        <v>59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3.5" customHeight="1">
      <c r="A63" s="29" t="s">
        <v>64</v>
      </c>
      <c r="B63" s="25"/>
      <c r="C63" s="14"/>
      <c r="D63" s="31"/>
      <c r="E63" s="27"/>
      <c r="F63" s="33" t="s">
        <v>59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3.5" customHeight="1">
      <c r="A64" s="29" t="s">
        <v>65</v>
      </c>
      <c r="B64" s="25"/>
      <c r="C64" s="14"/>
      <c r="D64" s="31"/>
      <c r="E64" s="32"/>
      <c r="F64" s="33" t="s">
        <v>59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3.5" customHeight="1">
      <c r="A65" s="29" t="s">
        <v>66</v>
      </c>
      <c r="B65" s="25"/>
      <c r="C65" s="14"/>
      <c r="D65" s="35"/>
      <c r="E65" s="32"/>
      <c r="F65" s="33" t="s">
        <v>59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3.5" customHeight="1">
      <c r="A66" s="29" t="s">
        <v>67</v>
      </c>
      <c r="B66" s="25"/>
      <c r="C66" s="14"/>
      <c r="D66" s="35"/>
      <c r="E66" s="32"/>
      <c r="F66" s="33" t="s">
        <v>59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3.5" customHeight="1">
      <c r="A67" s="29" t="s">
        <v>68</v>
      </c>
      <c r="B67" s="25"/>
      <c r="C67" s="14"/>
      <c r="D67" s="35"/>
      <c r="E67" s="32"/>
      <c r="F67" s="33" t="s">
        <v>59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3.5" customHeight="1">
      <c r="A68" s="29" t="s">
        <v>69</v>
      </c>
      <c r="B68" s="25"/>
      <c r="C68" s="14"/>
      <c r="D68" s="35"/>
      <c r="E68" s="27"/>
      <c r="F68" s="36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3.5" customHeight="1">
      <c r="A69" s="29" t="s">
        <v>70</v>
      </c>
      <c r="B69" s="25"/>
      <c r="C69" s="14"/>
      <c r="D69" s="35"/>
      <c r="E69" s="32"/>
      <c r="F69" s="33" t="s">
        <v>59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3.5" customHeight="1">
      <c r="A70" s="29" t="s">
        <v>71</v>
      </c>
      <c r="B70" s="25"/>
      <c r="C70" s="14"/>
      <c r="D70" s="35"/>
      <c r="E70" s="32"/>
      <c r="F70" s="33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3.5" customHeight="1">
      <c r="A71" s="29" t="s">
        <v>72</v>
      </c>
      <c r="B71" s="25"/>
      <c r="C71" s="14"/>
      <c r="D71" s="35"/>
      <c r="E71" s="32"/>
      <c r="F71" s="33" t="s">
        <v>59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3.5" customHeight="1">
      <c r="A72" s="29" t="s">
        <v>73</v>
      </c>
      <c r="B72" s="25"/>
      <c r="C72" s="14"/>
      <c r="D72" s="35"/>
      <c r="E72" s="32"/>
      <c r="F72" s="33" t="s">
        <v>59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3.5" customHeight="1">
      <c r="A73" s="29" t="s">
        <v>74</v>
      </c>
      <c r="B73" s="25"/>
      <c r="C73" s="14"/>
      <c r="D73" s="35"/>
      <c r="E73" s="27"/>
      <c r="F73" s="33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3.5" customHeight="1">
      <c r="A74" s="29" t="s">
        <v>75</v>
      </c>
      <c r="B74" s="25"/>
      <c r="C74" s="14"/>
      <c r="D74" s="35"/>
      <c r="E74" s="32"/>
      <c r="F74" s="33" t="s">
        <v>59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3.5" customHeight="1">
      <c r="A75" s="29" t="s">
        <v>76</v>
      </c>
      <c r="B75" s="25"/>
      <c r="C75" s="14"/>
      <c r="D75" s="35"/>
      <c r="E75" s="32"/>
      <c r="F75" s="33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3.5" customHeight="1">
      <c r="A76" s="29" t="s">
        <v>77</v>
      </c>
      <c r="B76" s="25"/>
      <c r="C76" s="14"/>
      <c r="D76" s="37"/>
      <c r="E76" s="32"/>
      <c r="F76" s="33" t="s">
        <v>59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3.5" customHeight="1">
      <c r="A77" s="29" t="s">
        <v>78</v>
      </c>
      <c r="B77" s="25"/>
      <c r="C77" s="14"/>
      <c r="D77" s="37"/>
      <c r="E77" s="32"/>
      <c r="F77" s="33" t="s">
        <v>59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3.5" customHeight="1">
      <c r="A78" s="29" t="s">
        <v>79</v>
      </c>
      <c r="B78" s="25"/>
      <c r="C78" s="14"/>
      <c r="D78" s="37"/>
      <c r="E78" s="27"/>
      <c r="F78" s="33" t="s">
        <v>59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3.5" customHeight="1">
      <c r="A79" s="29" t="s">
        <v>80</v>
      </c>
      <c r="B79" s="25"/>
      <c r="C79" s="14"/>
      <c r="D79" s="37"/>
      <c r="E79" s="32"/>
      <c r="F79" s="33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3.5" customHeight="1">
      <c r="A80" s="29" t="s">
        <v>81</v>
      </c>
      <c r="B80" s="25"/>
      <c r="C80" s="14"/>
      <c r="D80" s="37"/>
      <c r="E80" s="32"/>
      <c r="F80" s="33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3.5" customHeight="1">
      <c r="A81" s="29" t="s">
        <v>82</v>
      </c>
      <c r="B81" s="25"/>
      <c r="C81" s="14"/>
      <c r="D81" s="35"/>
      <c r="E81" s="32"/>
      <c r="F81" s="33" t="s">
        <v>59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3.5" customHeight="1">
      <c r="A82" s="29" t="s">
        <v>83</v>
      </c>
      <c r="B82" s="25"/>
      <c r="C82" s="14"/>
      <c r="D82" s="35"/>
      <c r="E82" s="32"/>
      <c r="F82" s="33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3.5" customHeight="1">
      <c r="A83" s="29" t="s">
        <v>84</v>
      </c>
      <c r="B83" s="25"/>
      <c r="C83" s="14"/>
      <c r="D83" s="35"/>
      <c r="E83" s="27"/>
      <c r="F83" s="33" t="s">
        <v>59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3.5" customHeight="1">
      <c r="A84" s="29" t="s">
        <v>85</v>
      </c>
      <c r="B84" s="25"/>
      <c r="C84" s="14"/>
      <c r="D84" s="35"/>
      <c r="E84" s="32"/>
      <c r="F84" s="33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3.5" customHeight="1">
      <c r="A85" s="29" t="s">
        <v>86</v>
      </c>
      <c r="B85" s="25"/>
      <c r="C85" s="14"/>
      <c r="D85" s="35"/>
      <c r="E85" s="32"/>
      <c r="F85" s="33" t="s">
        <v>59</v>
      </c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3.5" customHeight="1">
      <c r="A86" s="29" t="s">
        <v>87</v>
      </c>
      <c r="B86" s="25"/>
      <c r="C86" s="14"/>
      <c r="D86" s="35"/>
      <c r="E86" s="32"/>
      <c r="F86" s="33" t="s">
        <v>59</v>
      </c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3.5" customHeight="1">
      <c r="A87" s="29" t="s">
        <v>88</v>
      </c>
      <c r="B87" s="25"/>
      <c r="C87" s="29"/>
      <c r="D87" s="38"/>
      <c r="E87" s="32"/>
      <c r="F87" s="33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3.5" customHeight="1">
      <c r="A88" s="29" t="s">
        <v>89</v>
      </c>
      <c r="B88" s="25"/>
      <c r="C88" s="29"/>
      <c r="D88" s="38"/>
      <c r="E88" s="27"/>
      <c r="F88" s="33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3.5" customHeight="1">
      <c r="A89" s="29" t="s">
        <v>90</v>
      </c>
      <c r="B89" s="25"/>
      <c r="C89" s="29"/>
      <c r="D89" s="38"/>
      <c r="E89" s="32"/>
      <c r="F89" s="33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3.5" customHeight="1">
      <c r="A90" s="29" t="s">
        <v>91</v>
      </c>
      <c r="B90" s="25"/>
      <c r="C90" s="39"/>
      <c r="D90" s="38"/>
      <c r="E90" s="32"/>
      <c r="F90" s="33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3.5" customHeight="1">
      <c r="A91" s="29" t="s">
        <v>92</v>
      </c>
      <c r="B91" s="25"/>
      <c r="C91" s="40"/>
      <c r="D91" s="38"/>
      <c r="E91" s="32"/>
      <c r="F91" s="33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3.5" customHeight="1">
      <c r="A92" s="29" t="s">
        <v>93</v>
      </c>
      <c r="B92" s="25"/>
      <c r="C92" s="14"/>
      <c r="D92" s="35"/>
      <c r="E92" s="32"/>
      <c r="F92" s="33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3.5" customHeight="1">
      <c r="A93" s="29" t="s">
        <v>94</v>
      </c>
      <c r="B93" s="25"/>
      <c r="C93" s="40"/>
      <c r="D93" s="38"/>
      <c r="E93" s="27"/>
      <c r="F93" s="33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3.5" customHeight="1">
      <c r="A94" s="29" t="s">
        <v>95</v>
      </c>
      <c r="B94" s="25"/>
      <c r="C94" s="40"/>
      <c r="D94" s="38"/>
      <c r="E94" s="32"/>
      <c r="F94" s="33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3.5" customHeight="1">
      <c r="A95" s="29" t="s">
        <v>96</v>
      </c>
      <c r="B95" s="25"/>
      <c r="C95" s="14"/>
      <c r="D95" s="35"/>
      <c r="E95" s="32"/>
      <c r="F95" s="33" t="s">
        <v>59</v>
      </c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3.5" customHeight="1">
      <c r="A96" s="29" t="s">
        <v>97</v>
      </c>
      <c r="B96" s="25"/>
      <c r="C96" s="14"/>
      <c r="D96" s="35"/>
      <c r="E96" s="32"/>
      <c r="F96" s="33" t="s">
        <v>59</v>
      </c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3.5" customHeight="1">
      <c r="A97" s="29" t="s">
        <v>98</v>
      </c>
      <c r="B97" s="25"/>
      <c r="C97" s="14"/>
      <c r="D97" s="35"/>
      <c r="E97" s="32"/>
      <c r="F97" s="33" t="s">
        <v>59</v>
      </c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3.5" customHeight="1">
      <c r="A98" s="29" t="s">
        <v>99</v>
      </c>
      <c r="B98" s="25"/>
      <c r="C98" s="14"/>
      <c r="D98" s="35"/>
      <c r="E98" s="27"/>
      <c r="F98" s="33" t="s">
        <v>59</v>
      </c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3.5" customHeight="1">
      <c r="A99" s="29" t="s">
        <v>100</v>
      </c>
      <c r="B99" s="25"/>
      <c r="C99" s="14"/>
      <c r="D99" s="35"/>
      <c r="E99" s="32"/>
      <c r="F99" s="33" t="s">
        <v>59</v>
      </c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3.5" customHeight="1">
      <c r="A100" s="29" t="s">
        <v>101</v>
      </c>
      <c r="B100" s="25"/>
      <c r="C100" s="14"/>
      <c r="D100" s="35"/>
      <c r="E100" s="32"/>
      <c r="F100" s="33" t="s">
        <v>59</v>
      </c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3.5" customHeight="1">
      <c r="A101" s="29" t="s">
        <v>102</v>
      </c>
      <c r="B101" s="25"/>
      <c r="C101" s="14"/>
      <c r="D101" s="35"/>
      <c r="E101" s="32"/>
      <c r="F101" s="33" t="s">
        <v>59</v>
      </c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3.5" customHeight="1">
      <c r="A102" s="29" t="s">
        <v>103</v>
      </c>
      <c r="B102" s="25"/>
      <c r="C102" s="14"/>
      <c r="D102" s="35"/>
      <c r="E102" s="32"/>
      <c r="F102" s="33" t="s">
        <v>59</v>
      </c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3.5" customHeight="1">
      <c r="A103" s="29" t="s">
        <v>104</v>
      </c>
      <c r="B103" s="25"/>
      <c r="C103" s="14"/>
      <c r="D103" s="35"/>
      <c r="E103" s="27"/>
      <c r="F103" s="33" t="s">
        <v>59</v>
      </c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3.5" customHeight="1">
      <c r="A104" s="29" t="s">
        <v>105</v>
      </c>
      <c r="B104" s="25"/>
      <c r="C104" s="14"/>
      <c r="D104" s="35"/>
      <c r="E104" s="32"/>
      <c r="F104" s="33" t="s">
        <v>59</v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3.5" customHeight="1">
      <c r="A105" s="29" t="s">
        <v>106</v>
      </c>
      <c r="B105" s="25"/>
      <c r="C105" s="14"/>
      <c r="D105" s="37"/>
      <c r="E105" s="32"/>
      <c r="F105" s="33" t="s">
        <v>59</v>
      </c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3.5" customHeight="1">
      <c r="A106" s="29" t="s">
        <v>107</v>
      </c>
      <c r="B106" s="25"/>
      <c r="C106" s="14"/>
      <c r="D106" s="37"/>
      <c r="E106" s="32"/>
      <c r="F106" s="33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3.5" customHeight="1">
      <c r="A107" s="29" t="s">
        <v>108</v>
      </c>
      <c r="B107" s="25"/>
      <c r="C107" s="14"/>
      <c r="D107" s="37"/>
      <c r="E107" s="32"/>
      <c r="F107" s="33" t="s">
        <v>59</v>
      </c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3.5" customHeight="1">
      <c r="A108" s="29" t="s">
        <v>109</v>
      </c>
      <c r="B108" s="25"/>
      <c r="C108" s="14"/>
      <c r="D108" s="37"/>
      <c r="E108" s="27"/>
      <c r="F108" s="33" t="s">
        <v>59</v>
      </c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3.5" customHeight="1">
      <c r="A109" s="29" t="s">
        <v>110</v>
      </c>
      <c r="B109" s="25"/>
      <c r="C109" s="14"/>
      <c r="D109" s="37"/>
      <c r="E109" s="32"/>
      <c r="F109" s="33" t="s">
        <v>59</v>
      </c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3.5" customHeight="1">
      <c r="A110" s="29" t="s">
        <v>111</v>
      </c>
      <c r="B110" s="25"/>
      <c r="C110" s="14"/>
      <c r="D110" s="37"/>
      <c r="E110" s="32"/>
      <c r="F110" s="33" t="s">
        <v>59</v>
      </c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3.5" customHeight="1">
      <c r="A111" s="29" t="s">
        <v>112</v>
      </c>
      <c r="B111" s="25"/>
      <c r="C111" s="14"/>
      <c r="D111" s="35"/>
      <c r="E111" s="32"/>
      <c r="F111" s="33" t="s">
        <v>59</v>
      </c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3.5" customHeight="1">
      <c r="A112" s="29" t="s">
        <v>113</v>
      </c>
      <c r="B112" s="25"/>
      <c r="C112" s="14"/>
      <c r="D112" s="35"/>
      <c r="E112" s="32"/>
      <c r="F112" s="33" t="s">
        <v>59</v>
      </c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3.5" customHeight="1">
      <c r="A113" s="29" t="s">
        <v>114</v>
      </c>
      <c r="B113" s="25"/>
      <c r="C113" s="14"/>
      <c r="D113" s="35"/>
      <c r="E113" s="27"/>
      <c r="F113" s="33" t="s">
        <v>59</v>
      </c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3.5" customHeight="1">
      <c r="A114" s="29" t="s">
        <v>115</v>
      </c>
      <c r="B114" s="25"/>
      <c r="C114" s="14"/>
      <c r="D114" s="35"/>
      <c r="E114" s="32"/>
      <c r="F114" s="33" t="s">
        <v>59</v>
      </c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3.5" customHeight="1">
      <c r="A115" s="29" t="s">
        <v>116</v>
      </c>
      <c r="B115" s="25"/>
      <c r="C115" s="14"/>
      <c r="D115" s="35"/>
      <c r="E115" s="32"/>
      <c r="F115" s="33" t="s">
        <v>59</v>
      </c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3.5" customHeight="1">
      <c r="A116" s="29" t="s">
        <v>117</v>
      </c>
      <c r="B116" s="25"/>
      <c r="C116" s="14"/>
      <c r="D116" s="35"/>
      <c r="E116" s="32"/>
      <c r="F116" s="33" t="s">
        <v>59</v>
      </c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3.5" customHeight="1">
      <c r="A117" s="29" t="s">
        <v>118</v>
      </c>
      <c r="B117" s="25"/>
      <c r="C117" s="14"/>
      <c r="D117" s="35"/>
      <c r="E117" s="32"/>
      <c r="F117" s="41" t="s">
        <v>59</v>
      </c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3.5" customHeight="1">
      <c r="A118" s="42" t="s">
        <v>119</v>
      </c>
      <c r="B118" s="25"/>
      <c r="C118" s="14"/>
      <c r="D118" s="34"/>
      <c r="E118" s="27"/>
      <c r="F118" s="33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3.5" customHeight="1">
      <c r="A119" s="14" t="s">
        <v>120</v>
      </c>
      <c r="B119" s="25"/>
      <c r="C119" s="14"/>
      <c r="D119" s="34"/>
      <c r="E119" s="32"/>
      <c r="F119" s="33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3.5" customHeight="1">
      <c r="A120" s="43"/>
      <c r="B120" s="43"/>
      <c r="C120" s="43"/>
      <c r="D120" s="44" t="str">
        <f>IFERROR(__xludf.DUMMYFUNCTION("REGEXREPLACE(LOWER(A120),""[^a-z0-9]+"",""_"")"),"")</f>
        <v/>
      </c>
      <c r="E120" s="45" t="s">
        <v>121</v>
      </c>
      <c r="F120" s="46">
        <f>SUM(F58:F117)</f>
        <v>0</v>
      </c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3.5" customHeight="1">
      <c r="A121" s="47"/>
      <c r="B121" s="47"/>
      <c r="C121" s="47"/>
      <c r="D121" s="48" t="str">
        <f>IFERROR(__xludf.DUMMYFUNCTION("REGEXREPLACE(LOWER(A121),""[^a-z0-9]+"",""_"")"),"")</f>
        <v/>
      </c>
      <c r="E121" s="49">
        <v>0.15</v>
      </c>
      <c r="F121" s="50" t="s">
        <v>59</v>
      </c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3.5" customHeight="1">
      <c r="A122" s="3"/>
      <c r="B122" s="3"/>
      <c r="C122" s="3"/>
      <c r="D122" s="3" t="str">
        <f>IFERROR(__xludf.DUMMYFUNCTION("REGEXREPLACE(LOWER(A122),""[^a-z0-9]+"",""_"")"),"")</f>
        <v/>
      </c>
      <c r="E122" s="51" t="s">
        <v>57</v>
      </c>
      <c r="F122" s="52" t="s">
        <v>59</v>
      </c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3.5" customHeight="1">
      <c r="A123" s="4"/>
      <c r="B123" s="4"/>
      <c r="C123" s="4"/>
      <c r="D123" s="4" t="str">
        <f>IFERROR(__xludf.DUMMYFUNCTION("REGEXREPLACE(LOWER(A123),""[^a-z0-9]+"",""_"")"),"")</f>
        <v/>
      </c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3.5" customHeight="1">
      <c r="A124" s="53" t="s">
        <v>122</v>
      </c>
      <c r="B124" s="54" t="s">
        <v>123</v>
      </c>
      <c r="C124" s="55"/>
      <c r="D124" s="55"/>
      <c r="E124" s="55"/>
      <c r="F124" s="56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3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3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3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3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3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3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3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3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3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3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3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3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3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3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3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3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3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3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3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3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3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3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3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3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3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3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3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3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3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3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3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3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3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3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3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3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3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3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3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3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3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3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3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3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3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B124:F124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14"/>
    <col customWidth="1" min="2" max="2" width="10.71"/>
    <col customWidth="1" min="3" max="3" width="30.14"/>
    <col customWidth="1" min="4" max="11" width="10.71"/>
  </cols>
  <sheetData>
    <row r="1">
      <c r="A1" s="57" t="s">
        <v>5</v>
      </c>
      <c r="B1" s="57"/>
      <c r="C1" s="58"/>
      <c r="D1" s="58"/>
      <c r="E1" s="58"/>
      <c r="F1" s="58"/>
      <c r="G1" s="59"/>
      <c r="H1" s="58"/>
    </row>
    <row r="2">
      <c r="A2" s="60" t="s">
        <v>124</v>
      </c>
      <c r="B2" s="57"/>
      <c r="C2" s="58"/>
      <c r="D2" s="59"/>
      <c r="E2" s="59"/>
      <c r="F2" s="59"/>
      <c r="G2" s="59"/>
      <c r="H2" s="58"/>
    </row>
    <row r="3">
      <c r="A3" s="60" t="s">
        <v>125</v>
      </c>
      <c r="B3" s="57"/>
      <c r="C3" s="4" t="s">
        <v>126</v>
      </c>
      <c r="D3" s="59"/>
      <c r="E3" s="59"/>
      <c r="F3" s="59"/>
      <c r="G3" s="59"/>
      <c r="H3" s="58"/>
    </row>
    <row r="4">
      <c r="A4" s="60" t="s">
        <v>127</v>
      </c>
      <c r="B4" s="57"/>
      <c r="C4" s="58" t="s">
        <v>128</v>
      </c>
      <c r="D4" s="59"/>
      <c r="E4" s="59"/>
      <c r="F4" s="59"/>
      <c r="G4" s="59"/>
      <c r="H4" s="58"/>
    </row>
    <row r="5">
      <c r="A5" s="60" t="s">
        <v>129</v>
      </c>
      <c r="B5" s="57"/>
      <c r="C5" s="61" t="s">
        <v>128</v>
      </c>
      <c r="D5" s="62"/>
      <c r="E5" s="62"/>
      <c r="F5" s="62"/>
      <c r="G5" s="58"/>
      <c r="H5" s="58"/>
    </row>
    <row r="6">
      <c r="A6" s="63" t="s">
        <v>130</v>
      </c>
      <c r="B6" s="64" t="s">
        <v>131</v>
      </c>
      <c r="C6" s="64"/>
      <c r="D6" s="65"/>
      <c r="E6" s="65"/>
      <c r="F6" s="65"/>
      <c r="G6" s="65"/>
      <c r="H6" s="65"/>
    </row>
    <row r="8">
      <c r="A8" s="66" t="s">
        <v>132</v>
      </c>
      <c r="B8" s="66" t="s">
        <v>133</v>
      </c>
      <c r="C8" s="66" t="s">
        <v>134</v>
      </c>
      <c r="D8" s="66" t="s">
        <v>135</v>
      </c>
      <c r="E8" s="67" t="s">
        <v>136</v>
      </c>
      <c r="F8" s="67" t="s">
        <v>137</v>
      </c>
      <c r="G8" s="67" t="s">
        <v>138</v>
      </c>
      <c r="H8" s="67" t="s">
        <v>139</v>
      </c>
      <c r="I8" s="67" t="s">
        <v>140</v>
      </c>
      <c r="J8" s="67" t="s">
        <v>141</v>
      </c>
      <c r="K8" s="67" t="s">
        <v>142</v>
      </c>
    </row>
    <row r="9">
      <c r="A9" s="68" t="s">
        <v>143</v>
      </c>
      <c r="B9" s="69">
        <v>3.145611001E9</v>
      </c>
      <c r="C9" s="42" t="s">
        <v>144</v>
      </c>
      <c r="D9" s="38">
        <v>450.0</v>
      </c>
      <c r="E9" s="70">
        <v>60.0</v>
      </c>
      <c r="F9" s="38"/>
      <c r="G9" s="71">
        <f t="shared" ref="G9:G12" si="1">F9/D9</f>
        <v>0</v>
      </c>
      <c r="H9" s="71" t="str">
        <f t="shared" ref="H9:H12" si="2">(360/E9)*'[1]BIOMETRIA HEMATICA'!$B$10</f>
        <v>#REF!</v>
      </c>
      <c r="I9" s="71"/>
      <c r="J9" s="72" t="s">
        <v>145</v>
      </c>
      <c r="K9" s="72"/>
    </row>
    <row r="10">
      <c r="A10" s="73"/>
      <c r="B10" s="69">
        <v>1.2216540001E10</v>
      </c>
      <c r="C10" s="42" t="s">
        <v>146</v>
      </c>
      <c r="D10" s="38">
        <v>450.0</v>
      </c>
      <c r="E10" s="70">
        <v>60.0</v>
      </c>
      <c r="F10" s="38"/>
      <c r="G10" s="71">
        <f t="shared" si="1"/>
        <v>0</v>
      </c>
      <c r="H10" s="71" t="str">
        <f t="shared" si="2"/>
        <v>#REF!</v>
      </c>
      <c r="I10" s="71"/>
      <c r="J10" s="72" t="s">
        <v>145</v>
      </c>
      <c r="K10" s="72"/>
    </row>
    <row r="11">
      <c r="A11" s="73"/>
      <c r="B11" s="69">
        <v>3.134466001E9</v>
      </c>
      <c r="C11" s="42" t="s">
        <v>147</v>
      </c>
      <c r="D11" s="38">
        <f>(((F9/30)/12)*E11)</f>
        <v>0</v>
      </c>
      <c r="E11" s="74">
        <v>85.0</v>
      </c>
      <c r="F11" s="75"/>
      <c r="G11" s="76" t="str">
        <f t="shared" si="1"/>
        <v>#DIV/0!</v>
      </c>
      <c r="H11" s="71" t="str">
        <f t="shared" si="2"/>
        <v>#REF!</v>
      </c>
      <c r="I11" s="76"/>
      <c r="J11" s="72" t="s">
        <v>148</v>
      </c>
      <c r="K11" s="72"/>
    </row>
    <row r="12">
      <c r="A12" s="77"/>
      <c r="B12" s="69">
        <v>3.11335318E9</v>
      </c>
      <c r="C12" s="42" t="s">
        <v>149</v>
      </c>
      <c r="D12" s="38">
        <v>900.0</v>
      </c>
      <c r="E12" s="70">
        <v>365.0</v>
      </c>
      <c r="F12" s="38"/>
      <c r="G12" s="71">
        <f t="shared" si="1"/>
        <v>0</v>
      </c>
      <c r="H12" s="71" t="str">
        <f t="shared" si="2"/>
        <v>#REF!</v>
      </c>
      <c r="I12" s="71"/>
      <c r="J12" s="72" t="s">
        <v>150</v>
      </c>
      <c r="K12" s="72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9:A1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57"/>
    <col customWidth="1" min="2" max="2" width="10.71"/>
    <col customWidth="1" min="3" max="3" width="26.29"/>
    <col customWidth="1" min="4" max="12" width="10.71"/>
  </cols>
  <sheetData>
    <row r="1" ht="18.75" customHeight="1">
      <c r="A1" s="57" t="s">
        <v>5</v>
      </c>
      <c r="B1" s="57"/>
      <c r="C1" s="58"/>
      <c r="D1" s="58"/>
      <c r="E1" s="58"/>
      <c r="F1" s="58"/>
      <c r="G1" s="59"/>
      <c r="H1" s="59"/>
      <c r="I1" s="58"/>
      <c r="J1" s="58"/>
    </row>
    <row r="2" ht="18.75" customHeight="1">
      <c r="A2" s="60" t="s">
        <v>124</v>
      </c>
      <c r="B2" s="57"/>
      <c r="C2" s="58"/>
      <c r="D2" s="59"/>
      <c r="E2" s="59"/>
      <c r="F2" s="59"/>
      <c r="G2" s="59"/>
      <c r="H2" s="59"/>
      <c r="I2" s="58"/>
      <c r="J2" s="58"/>
    </row>
    <row r="3" ht="18.75" customHeight="1">
      <c r="A3" s="60" t="s">
        <v>125</v>
      </c>
      <c r="C3" s="4" t="s">
        <v>126</v>
      </c>
      <c r="D3" s="59"/>
      <c r="E3" s="59"/>
      <c r="F3" s="59"/>
      <c r="G3" s="59"/>
      <c r="H3" s="59"/>
      <c r="I3" s="58"/>
      <c r="J3" s="58"/>
    </row>
    <row r="4" ht="18.75" customHeight="1">
      <c r="A4" s="60" t="s">
        <v>127</v>
      </c>
      <c r="B4" s="57"/>
      <c r="C4" s="4" t="s">
        <v>128</v>
      </c>
      <c r="D4" s="59"/>
      <c r="E4" s="59"/>
      <c r="F4" s="59"/>
      <c r="G4" s="59"/>
      <c r="H4" s="59"/>
      <c r="I4" s="58"/>
      <c r="J4" s="58"/>
    </row>
    <row r="5" ht="18.75" customHeight="1">
      <c r="A5" s="60" t="s">
        <v>129</v>
      </c>
      <c r="B5" s="57"/>
      <c r="C5" s="4" t="s">
        <v>128</v>
      </c>
      <c r="D5" s="62"/>
      <c r="E5" s="62"/>
      <c r="F5" s="62"/>
      <c r="G5" s="58"/>
      <c r="H5" s="59"/>
      <c r="I5" s="58"/>
      <c r="J5" s="58"/>
    </row>
    <row r="6" ht="18.75" customHeight="1">
      <c r="A6" s="63" t="s">
        <v>130</v>
      </c>
      <c r="B6" s="64" t="s">
        <v>151</v>
      </c>
      <c r="C6" s="64" t="s">
        <v>152</v>
      </c>
      <c r="D6" s="65"/>
      <c r="E6" s="65"/>
      <c r="F6" s="65"/>
      <c r="G6" s="65"/>
      <c r="H6" s="78"/>
      <c r="I6" s="65"/>
      <c r="J6" s="65"/>
    </row>
    <row r="7" ht="18.75" customHeight="1"/>
    <row r="8" ht="24.0" customHeight="1">
      <c r="A8" s="79" t="s">
        <v>132</v>
      </c>
      <c r="B8" s="79" t="s">
        <v>133</v>
      </c>
      <c r="C8" s="79" t="s">
        <v>134</v>
      </c>
      <c r="D8" s="79" t="s">
        <v>135</v>
      </c>
      <c r="E8" s="80" t="s">
        <v>136</v>
      </c>
      <c r="F8" s="80" t="s">
        <v>137</v>
      </c>
      <c r="G8" s="80" t="s">
        <v>138</v>
      </c>
      <c r="H8" s="80" t="s">
        <v>139</v>
      </c>
      <c r="I8" s="80" t="s">
        <v>140</v>
      </c>
      <c r="J8" s="81" t="s">
        <v>140</v>
      </c>
      <c r="K8" s="81" t="s">
        <v>141</v>
      </c>
      <c r="L8" s="82" t="s">
        <v>142</v>
      </c>
    </row>
    <row r="9" ht="18.75" customHeight="1">
      <c r="A9" s="83" t="s">
        <v>143</v>
      </c>
      <c r="B9" s="84">
        <v>6.510167001E9</v>
      </c>
      <c r="C9" s="84" t="s">
        <v>153</v>
      </c>
      <c r="D9" s="85">
        <v>450.0</v>
      </c>
      <c r="E9" s="85">
        <v>60.0</v>
      </c>
      <c r="F9" s="85" t="str">
        <f t="shared" ref="F9:F15" si="1">'[1]BIOMETRIA HEMATICA'!$B$2</f>
        <v>#REF!</v>
      </c>
      <c r="G9" s="85" t="str">
        <f t="shared" ref="G9:G18" si="2">F9/D9</f>
        <v>#REF!</v>
      </c>
      <c r="H9" s="85" t="str">
        <f t="shared" ref="H9:H18" si="3">(360/E9)*'[1]BIOMETRIA HEMATICA'!$B$10</f>
        <v>#REF!</v>
      </c>
      <c r="I9" s="72"/>
      <c r="J9" s="86"/>
      <c r="K9" s="86" t="s">
        <v>154</v>
      </c>
      <c r="L9" s="86"/>
    </row>
    <row r="10" ht="18.75" customHeight="1">
      <c r="A10" s="73"/>
      <c r="B10" s="84">
        <v>3.337006001E9</v>
      </c>
      <c r="C10" s="84" t="s">
        <v>155</v>
      </c>
      <c r="D10" s="85">
        <v>9450.0</v>
      </c>
      <c r="E10" s="85">
        <v>60.0</v>
      </c>
      <c r="F10" s="85" t="str">
        <f t="shared" si="1"/>
        <v>#REF!</v>
      </c>
      <c r="G10" s="85" t="str">
        <f t="shared" si="2"/>
        <v>#REF!</v>
      </c>
      <c r="H10" s="85" t="str">
        <f t="shared" si="3"/>
        <v>#REF!</v>
      </c>
      <c r="I10" s="72"/>
      <c r="J10" s="72"/>
      <c r="K10" s="72" t="s">
        <v>145</v>
      </c>
      <c r="L10" s="72"/>
    </row>
    <row r="11" ht="18.75" customHeight="1">
      <c r="A11" s="73"/>
      <c r="B11" s="87">
        <v>1.2215616001E10</v>
      </c>
      <c r="C11" s="88" t="s">
        <v>156</v>
      </c>
      <c r="D11" s="85">
        <v>850.0</v>
      </c>
      <c r="E11" s="85">
        <v>60.0</v>
      </c>
      <c r="F11" s="85" t="str">
        <f t="shared" si="1"/>
        <v>#REF!</v>
      </c>
      <c r="G11" s="85" t="str">
        <f t="shared" si="2"/>
        <v>#REF!</v>
      </c>
      <c r="H11" s="85" t="str">
        <f t="shared" si="3"/>
        <v>#REF!</v>
      </c>
      <c r="I11" s="72"/>
      <c r="J11" s="72"/>
      <c r="K11" s="72" t="s">
        <v>145</v>
      </c>
      <c r="L11" s="72"/>
    </row>
    <row r="12" ht="18.75" customHeight="1">
      <c r="A12" s="73"/>
      <c r="B12" s="84">
        <v>7.837984001E9</v>
      </c>
      <c r="C12" s="84" t="s">
        <v>157</v>
      </c>
      <c r="D12" s="85">
        <v>2450.0</v>
      </c>
      <c r="E12" s="85">
        <v>90.0</v>
      </c>
      <c r="F12" s="85" t="str">
        <f t="shared" si="1"/>
        <v>#REF!</v>
      </c>
      <c r="G12" s="85" t="str">
        <f t="shared" si="2"/>
        <v>#REF!</v>
      </c>
      <c r="H12" s="85" t="str">
        <f t="shared" si="3"/>
        <v>#REF!</v>
      </c>
      <c r="I12" s="72"/>
      <c r="J12" s="72"/>
      <c r="K12" s="72" t="s">
        <v>158</v>
      </c>
      <c r="L12" s="72"/>
    </row>
    <row r="13" ht="18.75" customHeight="1">
      <c r="A13" s="73"/>
      <c r="B13" s="84">
        <v>6.510256001E9</v>
      </c>
      <c r="C13" s="84" t="s">
        <v>159</v>
      </c>
      <c r="D13" s="85">
        <v>3400.0</v>
      </c>
      <c r="E13" s="85">
        <v>180.0</v>
      </c>
      <c r="F13" s="85" t="str">
        <f t="shared" si="1"/>
        <v>#REF!</v>
      </c>
      <c r="G13" s="85" t="str">
        <f t="shared" si="2"/>
        <v>#REF!</v>
      </c>
      <c r="H13" s="85" t="str">
        <f t="shared" si="3"/>
        <v>#REF!</v>
      </c>
      <c r="I13" s="72"/>
      <c r="J13" s="72"/>
      <c r="K13" s="72" t="s">
        <v>160</v>
      </c>
      <c r="L13" s="72"/>
    </row>
    <row r="14" ht="18.75" customHeight="1">
      <c r="A14" s="73"/>
      <c r="B14" s="84">
        <v>6.952291001E9</v>
      </c>
      <c r="C14" s="84" t="s">
        <v>161</v>
      </c>
      <c r="D14" s="85" t="str">
        <f>(((F9/30)/12)*E14)</f>
        <v>#REF!</v>
      </c>
      <c r="E14" s="85">
        <v>150.0</v>
      </c>
      <c r="F14" s="85" t="str">
        <f t="shared" si="1"/>
        <v>#REF!</v>
      </c>
      <c r="G14" s="85" t="str">
        <f t="shared" si="2"/>
        <v>#REF!</v>
      </c>
      <c r="H14" s="85" t="str">
        <f t="shared" si="3"/>
        <v>#REF!</v>
      </c>
      <c r="I14" s="72"/>
      <c r="J14" s="85"/>
      <c r="K14" s="85" t="s">
        <v>160</v>
      </c>
      <c r="L14" s="85"/>
    </row>
    <row r="15" ht="18.75" customHeight="1">
      <c r="A15" s="77"/>
      <c r="B15" s="89">
        <v>7.051506001E9</v>
      </c>
      <c r="C15" s="84" t="s">
        <v>162</v>
      </c>
      <c r="D15" s="85" t="str">
        <f>(((F9/30)/12)*E15)</f>
        <v>#REF!</v>
      </c>
      <c r="E15" s="85">
        <v>56.0</v>
      </c>
      <c r="F15" s="85" t="str">
        <f t="shared" si="1"/>
        <v>#REF!</v>
      </c>
      <c r="G15" s="85" t="str">
        <f t="shared" si="2"/>
        <v>#REF!</v>
      </c>
      <c r="H15" s="85" t="str">
        <f t="shared" si="3"/>
        <v>#REF!</v>
      </c>
      <c r="I15" s="72"/>
      <c r="J15" s="85"/>
      <c r="K15" s="85" t="s">
        <v>158</v>
      </c>
      <c r="L15" s="85"/>
    </row>
    <row r="16" ht="18.75" customHeight="1">
      <c r="A16" s="90" t="s">
        <v>163</v>
      </c>
      <c r="B16" s="91">
        <v>6.510272001E9</v>
      </c>
      <c r="C16" s="92" t="s">
        <v>164</v>
      </c>
      <c r="D16" s="93">
        <v>650.0</v>
      </c>
      <c r="E16" s="93">
        <v>180.0</v>
      </c>
      <c r="F16" s="93" t="str">
        <f t="shared" ref="F16:F17" si="4">'[1]BIOMETRIA HEMATICA'!$D$2</f>
        <v>#REF!</v>
      </c>
      <c r="G16" s="93" t="str">
        <f t="shared" si="2"/>
        <v>#REF!</v>
      </c>
      <c r="H16" s="93" t="str">
        <f t="shared" si="3"/>
        <v>#REF!</v>
      </c>
      <c r="I16" s="94"/>
      <c r="J16" s="94"/>
      <c r="K16" s="94" t="s">
        <v>160</v>
      </c>
      <c r="L16" s="94"/>
    </row>
    <row r="17" ht="18.75" customHeight="1">
      <c r="A17" s="77"/>
      <c r="B17" s="91">
        <v>9.426752001E9</v>
      </c>
      <c r="C17" s="92" t="s">
        <v>165</v>
      </c>
      <c r="D17" s="93">
        <v>450.0</v>
      </c>
      <c r="E17" s="93">
        <v>60.0</v>
      </c>
      <c r="F17" s="93" t="str">
        <f t="shared" si="4"/>
        <v>#REF!</v>
      </c>
      <c r="G17" s="93" t="str">
        <f t="shared" si="2"/>
        <v>#REF!</v>
      </c>
      <c r="H17" s="93" t="str">
        <f t="shared" si="3"/>
        <v>#REF!</v>
      </c>
      <c r="I17" s="94"/>
      <c r="J17" s="95"/>
      <c r="K17" s="95" t="s">
        <v>166</v>
      </c>
      <c r="L17" s="95"/>
    </row>
    <row r="18" ht="18.75" customHeight="1">
      <c r="A18" s="96" t="s">
        <v>167</v>
      </c>
      <c r="B18" s="97">
        <v>7.051409001E9</v>
      </c>
      <c r="C18" s="97" t="s">
        <v>168</v>
      </c>
      <c r="D18" s="98" t="str">
        <f>(((F9/30)/12)*E18)</f>
        <v>#REF!</v>
      </c>
      <c r="E18" s="98">
        <v>56.0</v>
      </c>
      <c r="F18" s="98" t="str">
        <f>'[1]BIOMETRIA HEMATICA'!$H$2</f>
        <v>#REF!</v>
      </c>
      <c r="G18" s="98" t="str">
        <f t="shared" si="2"/>
        <v>#REF!</v>
      </c>
      <c r="H18" s="98" t="str">
        <f t="shared" si="3"/>
        <v>#REF!</v>
      </c>
      <c r="I18" s="99"/>
      <c r="J18" s="100"/>
      <c r="K18" s="100" t="s">
        <v>160</v>
      </c>
      <c r="L18" s="101"/>
    </row>
    <row r="19" ht="18.75" customHeight="1"/>
    <row r="20" ht="18.75" customHeight="1"/>
    <row r="21" ht="18.75" customHeight="1"/>
    <row r="22" ht="18.75" customHeight="1"/>
    <row r="23" ht="18.75" customHeight="1"/>
    <row r="24" ht="18.75" customHeight="1"/>
    <row r="25" ht="18.75" customHeight="1"/>
    <row r="26" ht="18.75" customHeight="1"/>
    <row r="27" ht="18.75" customHeight="1"/>
    <row r="28" ht="18.75" customHeight="1"/>
    <row r="29" ht="18.75" customHeight="1"/>
    <row r="30" ht="18.75" customHeight="1"/>
    <row r="31" ht="18.75" customHeight="1"/>
    <row r="3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9:A15"/>
    <mergeCell ref="A16:A1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57"/>
    <col customWidth="1" min="2" max="2" width="10.71"/>
    <col customWidth="1" min="3" max="3" width="26.29"/>
    <col customWidth="1" min="4" max="11" width="10.71"/>
  </cols>
  <sheetData>
    <row r="1" ht="18.75" customHeight="1">
      <c r="A1" s="57" t="s">
        <v>5</v>
      </c>
      <c r="B1" s="57"/>
      <c r="C1" s="58"/>
      <c r="D1" s="58"/>
      <c r="E1" s="58"/>
      <c r="F1" s="58"/>
      <c r="G1" s="59"/>
      <c r="H1" s="59"/>
      <c r="I1" s="58"/>
    </row>
    <row r="2" ht="18.75" customHeight="1">
      <c r="A2" s="60" t="s">
        <v>124</v>
      </c>
      <c r="B2" s="57"/>
      <c r="C2" s="58"/>
      <c r="D2" s="59"/>
      <c r="E2" s="59"/>
      <c r="F2" s="59"/>
      <c r="G2" s="59"/>
      <c r="H2" s="59"/>
      <c r="I2" s="58"/>
    </row>
    <row r="3" ht="18.75" customHeight="1">
      <c r="A3" s="60" t="s">
        <v>125</v>
      </c>
      <c r="C3" s="4" t="s">
        <v>126</v>
      </c>
      <c r="D3" s="59"/>
      <c r="E3" s="59"/>
      <c r="F3" s="59"/>
      <c r="G3" s="59"/>
      <c r="H3" s="59"/>
      <c r="I3" s="58"/>
    </row>
    <row r="4" ht="18.75" customHeight="1">
      <c r="A4" s="60" t="s">
        <v>127</v>
      </c>
      <c r="B4" s="57"/>
      <c r="C4" s="4" t="s">
        <v>128</v>
      </c>
      <c r="D4" s="59"/>
      <c r="E4" s="59"/>
      <c r="F4" s="59"/>
      <c r="G4" s="59"/>
      <c r="H4" s="59"/>
      <c r="I4" s="58"/>
    </row>
    <row r="5" ht="18.75" customHeight="1">
      <c r="A5" s="60" t="s">
        <v>129</v>
      </c>
      <c r="B5" s="57"/>
      <c r="C5" s="4" t="s">
        <v>128</v>
      </c>
      <c r="D5" s="62"/>
      <c r="E5" s="62"/>
      <c r="F5" s="62"/>
      <c r="G5" s="58"/>
      <c r="H5" s="59"/>
      <c r="I5" s="58"/>
    </row>
    <row r="6" ht="18.75" customHeight="1">
      <c r="A6" s="63" t="s">
        <v>130</v>
      </c>
      <c r="B6" s="64" t="s">
        <v>169</v>
      </c>
      <c r="C6" s="64">
        <v>1000.0</v>
      </c>
      <c r="D6" s="65"/>
      <c r="E6" s="65"/>
      <c r="F6" s="65"/>
      <c r="G6" s="65"/>
      <c r="H6" s="78"/>
      <c r="I6" s="65"/>
    </row>
    <row r="7" ht="18.75" customHeight="1"/>
    <row r="8" ht="24.0" customHeight="1">
      <c r="A8" s="79" t="s">
        <v>132</v>
      </c>
      <c r="B8" s="79" t="s">
        <v>133</v>
      </c>
      <c r="C8" s="79" t="s">
        <v>134</v>
      </c>
      <c r="D8" s="79" t="s">
        <v>135</v>
      </c>
      <c r="E8" s="80" t="s">
        <v>136</v>
      </c>
      <c r="F8" s="80" t="s">
        <v>137</v>
      </c>
      <c r="G8" s="80" t="s">
        <v>138</v>
      </c>
      <c r="H8" s="80" t="s">
        <v>139</v>
      </c>
      <c r="I8" s="80" t="s">
        <v>140</v>
      </c>
      <c r="J8" s="81" t="s">
        <v>141</v>
      </c>
      <c r="K8" s="82" t="s">
        <v>142</v>
      </c>
    </row>
    <row r="9" ht="18.75" customHeight="1">
      <c r="A9" s="83" t="s">
        <v>143</v>
      </c>
      <c r="B9" s="84">
        <v>6.510167001E9</v>
      </c>
      <c r="C9" s="84" t="s">
        <v>153</v>
      </c>
      <c r="D9" s="85">
        <v>450.0</v>
      </c>
      <c r="E9" s="85">
        <v>60.0</v>
      </c>
      <c r="F9" s="85"/>
      <c r="G9" s="85">
        <f t="shared" ref="G9:G22" si="1">F9/D9</f>
        <v>0</v>
      </c>
      <c r="H9" s="85" t="str">
        <f t="shared" ref="H9:H22" si="2">(360/E9)*'[1]BIOMETRIA HEMATICA'!$B$10</f>
        <v>#REF!</v>
      </c>
      <c r="I9" s="72"/>
      <c r="J9" s="86" t="s">
        <v>160</v>
      </c>
      <c r="K9" s="86"/>
    </row>
    <row r="10" ht="18.75" customHeight="1">
      <c r="A10" s="73"/>
      <c r="B10" s="84">
        <v>3.337006001E9</v>
      </c>
      <c r="C10" s="84" t="s">
        <v>155</v>
      </c>
      <c r="D10" s="85">
        <v>9450.0</v>
      </c>
      <c r="E10" s="85">
        <v>60.0</v>
      </c>
      <c r="F10" s="85"/>
      <c r="G10" s="85">
        <f t="shared" si="1"/>
        <v>0</v>
      </c>
      <c r="H10" s="85" t="str">
        <f t="shared" si="2"/>
        <v>#REF!</v>
      </c>
      <c r="I10" s="72"/>
      <c r="J10" s="72" t="s">
        <v>170</v>
      </c>
      <c r="K10" s="72"/>
    </row>
    <row r="11" ht="18.75" customHeight="1">
      <c r="A11" s="73"/>
      <c r="B11" s="87">
        <v>1.2215616001E10</v>
      </c>
      <c r="C11" s="88" t="s">
        <v>156</v>
      </c>
      <c r="D11" s="85">
        <v>850.0</v>
      </c>
      <c r="E11" s="85">
        <v>60.0</v>
      </c>
      <c r="F11" s="85"/>
      <c r="G11" s="85">
        <f t="shared" si="1"/>
        <v>0</v>
      </c>
      <c r="H11" s="85" t="str">
        <f t="shared" si="2"/>
        <v>#REF!</v>
      </c>
      <c r="I11" s="72"/>
      <c r="J11" s="72" t="s">
        <v>170</v>
      </c>
      <c r="K11" s="72"/>
    </row>
    <row r="12" ht="18.75" customHeight="1">
      <c r="A12" s="73"/>
      <c r="B12" s="84">
        <v>7.837984001E9</v>
      </c>
      <c r="C12" s="84" t="s">
        <v>157</v>
      </c>
      <c r="D12" s="85">
        <v>2450.0</v>
      </c>
      <c r="E12" s="85">
        <v>90.0</v>
      </c>
      <c r="F12" s="85"/>
      <c r="G12" s="85">
        <f t="shared" si="1"/>
        <v>0</v>
      </c>
      <c r="H12" s="85" t="str">
        <f t="shared" si="2"/>
        <v>#REF!</v>
      </c>
      <c r="I12" s="72"/>
      <c r="J12" s="72" t="s">
        <v>171</v>
      </c>
      <c r="K12" s="72"/>
    </row>
    <row r="13" ht="18.75" customHeight="1">
      <c r="A13" s="73"/>
      <c r="B13" s="84">
        <v>6.510256001E9</v>
      </c>
      <c r="C13" s="84" t="s">
        <v>159</v>
      </c>
      <c r="D13" s="85">
        <v>3400.0</v>
      </c>
      <c r="E13" s="85">
        <v>180.0</v>
      </c>
      <c r="F13" s="85"/>
      <c r="G13" s="85">
        <f t="shared" si="1"/>
        <v>0</v>
      </c>
      <c r="H13" s="85" t="str">
        <f t="shared" si="2"/>
        <v>#REF!</v>
      </c>
      <c r="I13" s="72"/>
      <c r="J13" s="72" t="s">
        <v>172</v>
      </c>
      <c r="K13" s="72"/>
    </row>
    <row r="14" ht="18.75" customHeight="1">
      <c r="A14" s="73"/>
      <c r="B14" s="89">
        <v>6.510248001E9</v>
      </c>
      <c r="C14" s="102" t="s">
        <v>173</v>
      </c>
      <c r="D14" s="85">
        <v>6945.0</v>
      </c>
      <c r="E14" s="85">
        <v>180.0</v>
      </c>
      <c r="F14" s="85"/>
      <c r="G14" s="85">
        <f t="shared" si="1"/>
        <v>0</v>
      </c>
      <c r="H14" s="85" t="str">
        <f t="shared" si="2"/>
        <v>#REF!</v>
      </c>
      <c r="I14" s="72"/>
      <c r="J14" s="85" t="s">
        <v>160</v>
      </c>
      <c r="K14" s="85"/>
    </row>
    <row r="15" ht="18.75" customHeight="1">
      <c r="A15" s="73"/>
      <c r="B15" s="89">
        <v>7.838000001E9</v>
      </c>
      <c r="C15" s="102" t="s">
        <v>174</v>
      </c>
      <c r="D15" s="85">
        <v>2950.0</v>
      </c>
      <c r="E15" s="85">
        <v>90.0</v>
      </c>
      <c r="F15" s="85"/>
      <c r="G15" s="85">
        <f t="shared" si="1"/>
        <v>0</v>
      </c>
      <c r="H15" s="85" t="str">
        <f t="shared" si="2"/>
        <v>#REF!</v>
      </c>
      <c r="I15" s="72"/>
      <c r="J15" s="85" t="s">
        <v>171</v>
      </c>
      <c r="K15" s="85"/>
    </row>
    <row r="16" ht="18.75" customHeight="1">
      <c r="A16" s="73"/>
      <c r="B16" s="84">
        <v>6.952291001E9</v>
      </c>
      <c r="C16" s="84" t="s">
        <v>161</v>
      </c>
      <c r="D16" s="85">
        <f>(((F9/30)/12)*E16)</f>
        <v>0</v>
      </c>
      <c r="E16" s="85">
        <v>150.0</v>
      </c>
      <c r="F16" s="85"/>
      <c r="G16" s="85" t="str">
        <f t="shared" si="1"/>
        <v>#DIV/0!</v>
      </c>
      <c r="H16" s="85" t="str">
        <f t="shared" si="2"/>
        <v>#REF!</v>
      </c>
      <c r="I16" s="72"/>
      <c r="J16" s="72" t="s">
        <v>172</v>
      </c>
      <c r="K16" s="72"/>
    </row>
    <row r="17" ht="18.75" customHeight="1">
      <c r="A17" s="77"/>
      <c r="B17" s="89">
        <v>7.051506001E9</v>
      </c>
      <c r="C17" s="84" t="s">
        <v>162</v>
      </c>
      <c r="D17" s="85">
        <f>(((F9/30)/12)*E17)</f>
        <v>0</v>
      </c>
      <c r="E17" s="85">
        <v>56.0</v>
      </c>
      <c r="F17" s="85"/>
      <c r="G17" s="85" t="str">
        <f t="shared" si="1"/>
        <v>#DIV/0!</v>
      </c>
      <c r="H17" s="85" t="str">
        <f t="shared" si="2"/>
        <v>#REF!</v>
      </c>
      <c r="I17" s="72"/>
      <c r="J17" s="103" t="s">
        <v>166</v>
      </c>
      <c r="K17" s="103"/>
    </row>
    <row r="18" ht="18.75" customHeight="1">
      <c r="A18" s="104" t="s">
        <v>175</v>
      </c>
      <c r="B18" s="105">
        <v>6.510299001E9</v>
      </c>
      <c r="C18" s="106" t="s">
        <v>176</v>
      </c>
      <c r="D18" s="107">
        <v>650.0</v>
      </c>
      <c r="E18" s="107">
        <v>180.0</v>
      </c>
      <c r="F18" s="107"/>
      <c r="G18" s="107">
        <f t="shared" si="1"/>
        <v>0</v>
      </c>
      <c r="H18" s="107" t="str">
        <f t="shared" si="2"/>
        <v>#REF!</v>
      </c>
      <c r="I18" s="108"/>
      <c r="J18" s="109" t="s">
        <v>160</v>
      </c>
      <c r="K18" s="110"/>
    </row>
    <row r="19" ht="18.75" customHeight="1">
      <c r="A19" s="77"/>
      <c r="B19" s="105">
        <v>9.426752001E9</v>
      </c>
      <c r="C19" s="106" t="s">
        <v>165</v>
      </c>
      <c r="D19" s="107">
        <v>450.0</v>
      </c>
      <c r="E19" s="107">
        <v>60.0</v>
      </c>
      <c r="F19" s="107"/>
      <c r="G19" s="107">
        <f t="shared" si="1"/>
        <v>0</v>
      </c>
      <c r="H19" s="107" t="str">
        <f t="shared" si="2"/>
        <v>#REF!</v>
      </c>
      <c r="I19" s="108"/>
      <c r="J19" s="111" t="s">
        <v>160</v>
      </c>
      <c r="K19" s="112"/>
    </row>
    <row r="20" ht="18.75" customHeight="1">
      <c r="A20" s="90" t="s">
        <v>163</v>
      </c>
      <c r="B20" s="91">
        <v>6.510272001E9</v>
      </c>
      <c r="C20" s="92" t="s">
        <v>164</v>
      </c>
      <c r="D20" s="93">
        <v>650.0</v>
      </c>
      <c r="E20" s="93">
        <v>180.0</v>
      </c>
      <c r="F20" s="93"/>
      <c r="G20" s="93">
        <f t="shared" si="1"/>
        <v>0</v>
      </c>
      <c r="H20" s="93" t="str">
        <f t="shared" si="2"/>
        <v>#REF!</v>
      </c>
      <c r="I20" s="94"/>
      <c r="J20" s="113" t="s">
        <v>160</v>
      </c>
      <c r="K20" s="113"/>
    </row>
    <row r="21" ht="18.75" customHeight="1">
      <c r="A21" s="77"/>
      <c r="B21" s="91">
        <v>9.426752001E9</v>
      </c>
      <c r="C21" s="92" t="s">
        <v>165</v>
      </c>
      <c r="D21" s="93">
        <v>450.0</v>
      </c>
      <c r="E21" s="93">
        <v>60.0</v>
      </c>
      <c r="F21" s="93"/>
      <c r="G21" s="93">
        <f t="shared" si="1"/>
        <v>0</v>
      </c>
      <c r="H21" s="93" t="str">
        <f t="shared" si="2"/>
        <v>#REF!</v>
      </c>
      <c r="I21" s="94"/>
      <c r="J21" s="114" t="s">
        <v>160</v>
      </c>
      <c r="K21" s="114"/>
    </row>
    <row r="22" ht="18.75" customHeight="1">
      <c r="A22" s="96" t="s">
        <v>167</v>
      </c>
      <c r="B22" s="97">
        <v>7.051409001E9</v>
      </c>
      <c r="C22" s="97" t="s">
        <v>168</v>
      </c>
      <c r="D22" s="98">
        <f>(((F9/30)/12)*E22)</f>
        <v>0</v>
      </c>
      <c r="E22" s="98">
        <v>56.0</v>
      </c>
      <c r="F22" s="98"/>
      <c r="G22" s="98" t="str">
        <f t="shared" si="1"/>
        <v>#DIV/0!</v>
      </c>
      <c r="H22" s="98" t="str">
        <f t="shared" si="2"/>
        <v>#REF!</v>
      </c>
      <c r="I22" s="99"/>
      <c r="J22" s="115" t="s">
        <v>166</v>
      </c>
      <c r="K22" s="115"/>
    </row>
    <row r="23" ht="18.75" customHeight="1"/>
    <row r="24" ht="18.75" customHeight="1"/>
    <row r="25" ht="18.75" customHeight="1"/>
    <row r="26" ht="18.75" customHeight="1"/>
    <row r="27" ht="18.75" customHeight="1"/>
    <row r="28" ht="18.75" customHeight="1"/>
    <row r="29" ht="18.75" customHeight="1"/>
    <row r="30" ht="18.75" customHeight="1"/>
    <row r="31" ht="18.75" customHeight="1"/>
    <row r="3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9:A17"/>
    <mergeCell ref="A18:A19"/>
    <mergeCell ref="A20:A2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24.43"/>
    <col customWidth="1" min="3" max="3" width="7.14"/>
    <col customWidth="1" min="4" max="4" width="8.43"/>
    <col customWidth="1" min="5" max="5" width="9.71"/>
    <col customWidth="1" min="6" max="6" width="8.0"/>
    <col customWidth="1" min="7" max="7" width="9.43"/>
    <col customWidth="1" min="8" max="8" width="8.57"/>
  </cols>
  <sheetData>
    <row r="1" ht="15.0" customHeight="1">
      <c r="A1" s="116" t="s">
        <v>5</v>
      </c>
      <c r="B1" s="117"/>
      <c r="C1" s="118"/>
      <c r="D1" s="118"/>
      <c r="E1" s="118"/>
      <c r="F1" s="118"/>
    </row>
    <row r="2" ht="15.0" customHeight="1">
      <c r="A2" s="116" t="s">
        <v>124</v>
      </c>
      <c r="B2" s="117"/>
      <c r="C2" s="118"/>
      <c r="D2" s="118"/>
      <c r="E2" s="118"/>
      <c r="F2" s="118"/>
    </row>
    <row r="3" ht="15.0" customHeight="1">
      <c r="A3" s="116" t="s">
        <v>125</v>
      </c>
      <c r="B3" s="3"/>
    </row>
    <row r="4" ht="15.0" customHeight="1">
      <c r="A4" s="116" t="s">
        <v>127</v>
      </c>
      <c r="B4" s="117"/>
      <c r="C4" s="3" t="s">
        <v>128</v>
      </c>
      <c r="D4" s="118"/>
      <c r="E4" s="118"/>
      <c r="F4" s="118"/>
    </row>
    <row r="5" ht="15.0" customHeight="1">
      <c r="A5" s="116" t="s">
        <v>129</v>
      </c>
      <c r="B5" s="117"/>
      <c r="C5" s="3" t="s">
        <v>128</v>
      </c>
      <c r="D5" s="118"/>
      <c r="E5" s="118"/>
      <c r="F5" s="118"/>
    </row>
    <row r="6" ht="15.0" customHeight="1">
      <c r="A6" s="119" t="s">
        <v>130</v>
      </c>
      <c r="B6" s="120" t="s">
        <v>177</v>
      </c>
      <c r="C6" s="121"/>
      <c r="D6" s="121"/>
      <c r="E6" s="121"/>
      <c r="F6" s="121"/>
    </row>
    <row r="8" ht="30.75" customHeight="1">
      <c r="A8" s="66" t="s">
        <v>133</v>
      </c>
      <c r="B8" s="66" t="s">
        <v>178</v>
      </c>
      <c r="C8" s="66" t="s">
        <v>135</v>
      </c>
      <c r="D8" s="67" t="s">
        <v>136</v>
      </c>
      <c r="E8" s="67" t="s">
        <v>179</v>
      </c>
      <c r="F8" s="67" t="s">
        <v>138</v>
      </c>
      <c r="G8" s="122" t="s">
        <v>139</v>
      </c>
      <c r="H8" s="80" t="s">
        <v>140</v>
      </c>
    </row>
    <row r="9" ht="15.0" customHeight="1">
      <c r="A9" s="69">
        <v>4.65752719E9</v>
      </c>
      <c r="B9" s="42" t="s">
        <v>180</v>
      </c>
      <c r="C9" s="38">
        <v>400.0</v>
      </c>
      <c r="D9" s="123">
        <v>120.0</v>
      </c>
      <c r="E9" s="123"/>
      <c r="F9" s="71">
        <f t="shared" ref="F9:F36" si="1">E9/C9</f>
        <v>0</v>
      </c>
      <c r="G9" s="124">
        <f t="shared" ref="G9:G36" si="2">365/D9</f>
        <v>3.041666667</v>
      </c>
      <c r="H9" s="71"/>
    </row>
    <row r="10" ht="15.0" customHeight="1">
      <c r="A10" s="69">
        <v>4.65761619E9</v>
      </c>
      <c r="B10" s="42" t="s">
        <v>181</v>
      </c>
      <c r="C10" s="38">
        <v>400.0</v>
      </c>
      <c r="D10" s="123">
        <v>120.0</v>
      </c>
      <c r="E10" s="123"/>
      <c r="F10" s="71">
        <f t="shared" si="1"/>
        <v>0</v>
      </c>
      <c r="G10" s="124">
        <f t="shared" si="2"/>
        <v>3.041666667</v>
      </c>
      <c r="H10" s="71"/>
    </row>
    <row r="11" ht="15.0" customHeight="1">
      <c r="A11" s="69">
        <v>5.40175519E9</v>
      </c>
      <c r="B11" s="42" t="s">
        <v>182</v>
      </c>
      <c r="C11" s="38">
        <v>400.0</v>
      </c>
      <c r="D11" s="123">
        <v>120.0</v>
      </c>
      <c r="E11" s="123"/>
      <c r="F11" s="71">
        <f t="shared" si="1"/>
        <v>0</v>
      </c>
      <c r="G11" s="124">
        <f t="shared" si="2"/>
        <v>3.041666667</v>
      </c>
      <c r="H11" s="71"/>
    </row>
    <row r="12" ht="15.0" customHeight="1">
      <c r="A12" s="69">
        <v>4.65760819E9</v>
      </c>
      <c r="B12" s="42" t="s">
        <v>183</v>
      </c>
      <c r="C12" s="38">
        <v>400.0</v>
      </c>
      <c r="D12" s="123">
        <v>120.0</v>
      </c>
      <c r="E12" s="123"/>
      <c r="F12" s="71">
        <f t="shared" si="1"/>
        <v>0</v>
      </c>
      <c r="G12" s="124">
        <f t="shared" si="2"/>
        <v>3.041666667</v>
      </c>
      <c r="H12" s="71"/>
    </row>
    <row r="13" ht="15.0" customHeight="1">
      <c r="A13" s="69">
        <v>4.71891719E9</v>
      </c>
      <c r="B13" s="42" t="s">
        <v>184</v>
      </c>
      <c r="C13" s="38">
        <v>400.0</v>
      </c>
      <c r="D13" s="123">
        <v>120.0</v>
      </c>
      <c r="E13" s="125"/>
      <c r="F13" s="71">
        <f t="shared" si="1"/>
        <v>0</v>
      </c>
      <c r="G13" s="124">
        <f t="shared" si="2"/>
        <v>3.041666667</v>
      </c>
      <c r="H13" s="71"/>
    </row>
    <row r="14" ht="15.0" customHeight="1">
      <c r="A14" s="69">
        <v>4.65759419E9</v>
      </c>
      <c r="B14" s="42" t="s">
        <v>185</v>
      </c>
      <c r="C14" s="38">
        <v>200.0</v>
      </c>
      <c r="D14" s="123">
        <v>120.0</v>
      </c>
      <c r="E14" s="123"/>
      <c r="F14" s="71">
        <f t="shared" si="1"/>
        <v>0</v>
      </c>
      <c r="G14" s="124">
        <f t="shared" si="2"/>
        <v>3.041666667</v>
      </c>
      <c r="H14" s="71"/>
    </row>
    <row r="15" ht="15.0" customHeight="1">
      <c r="A15" s="69">
        <v>4.71856919E9</v>
      </c>
      <c r="B15" s="42" t="s">
        <v>186</v>
      </c>
      <c r="C15" s="38">
        <v>400.0</v>
      </c>
      <c r="D15" s="123">
        <v>120.0</v>
      </c>
      <c r="E15" s="123"/>
      <c r="F15" s="71">
        <f t="shared" si="1"/>
        <v>0</v>
      </c>
      <c r="G15" s="124">
        <f t="shared" si="2"/>
        <v>3.041666667</v>
      </c>
      <c r="H15" s="71"/>
    </row>
    <row r="16" ht="15.0" customHeight="1">
      <c r="A16" s="69">
        <v>4.65754319E9</v>
      </c>
      <c r="B16" s="42" t="s">
        <v>187</v>
      </c>
      <c r="C16" s="38">
        <v>400.0</v>
      </c>
      <c r="D16" s="123">
        <v>120.0</v>
      </c>
      <c r="E16" s="123"/>
      <c r="F16" s="71">
        <f t="shared" si="1"/>
        <v>0</v>
      </c>
      <c r="G16" s="124">
        <f t="shared" si="2"/>
        <v>3.041666667</v>
      </c>
      <c r="H16" s="71"/>
    </row>
    <row r="17" ht="15.0" customHeight="1">
      <c r="A17" s="69">
        <v>4.65737319E9</v>
      </c>
      <c r="B17" s="42" t="s">
        <v>188</v>
      </c>
      <c r="C17" s="38">
        <v>200.0</v>
      </c>
      <c r="D17" s="123">
        <v>120.0</v>
      </c>
      <c r="E17" s="123"/>
      <c r="F17" s="71">
        <f t="shared" si="1"/>
        <v>0</v>
      </c>
      <c r="G17" s="124">
        <f t="shared" si="2"/>
        <v>3.041666667</v>
      </c>
      <c r="H17" s="71"/>
    </row>
    <row r="18" ht="15.0" customHeight="1">
      <c r="A18" s="126">
        <v>5.79564819E9</v>
      </c>
      <c r="B18" s="42" t="s">
        <v>189</v>
      </c>
      <c r="C18" s="38">
        <v>400.0</v>
      </c>
      <c r="D18" s="123">
        <v>120.0</v>
      </c>
      <c r="E18" s="123"/>
      <c r="F18" s="71">
        <f t="shared" si="1"/>
        <v>0</v>
      </c>
      <c r="G18" s="124">
        <f t="shared" si="2"/>
        <v>3.041666667</v>
      </c>
      <c r="H18" s="71"/>
    </row>
    <row r="19" ht="15.0" customHeight="1">
      <c r="A19" s="69">
        <v>5.58913419E9</v>
      </c>
      <c r="B19" s="42" t="s">
        <v>190</v>
      </c>
      <c r="C19" s="38">
        <v>100.0</v>
      </c>
      <c r="D19" s="123">
        <v>60.0</v>
      </c>
      <c r="E19" s="123"/>
      <c r="F19" s="71">
        <f t="shared" si="1"/>
        <v>0</v>
      </c>
      <c r="G19" s="124">
        <f t="shared" si="2"/>
        <v>6.083333333</v>
      </c>
      <c r="H19" s="71"/>
    </row>
    <row r="20" ht="15.0" customHeight="1">
      <c r="A20" s="69">
        <v>7.52860419E9</v>
      </c>
      <c r="B20" s="42" t="s">
        <v>191</v>
      </c>
      <c r="C20" s="38">
        <v>200.0</v>
      </c>
      <c r="D20" s="123">
        <v>60.0</v>
      </c>
      <c r="E20" s="123"/>
      <c r="F20" s="71">
        <f t="shared" si="1"/>
        <v>0</v>
      </c>
      <c r="G20" s="124">
        <f t="shared" si="2"/>
        <v>6.083333333</v>
      </c>
      <c r="H20" s="71"/>
    </row>
    <row r="21" ht="15.0" customHeight="1">
      <c r="A21" s="127">
        <v>5.40149619E9</v>
      </c>
      <c r="B21" s="13" t="s">
        <v>192</v>
      </c>
      <c r="C21" s="38">
        <v>200.0</v>
      </c>
      <c r="D21" s="123">
        <v>60.0</v>
      </c>
      <c r="E21" s="123"/>
      <c r="F21" s="71">
        <f t="shared" si="1"/>
        <v>0</v>
      </c>
      <c r="G21" s="124">
        <f t="shared" si="2"/>
        <v>6.083333333</v>
      </c>
      <c r="H21" s="71"/>
    </row>
    <row r="22" ht="15.0" customHeight="1">
      <c r="A22" s="127">
        <v>5.40170419E9</v>
      </c>
      <c r="B22" s="13" t="s">
        <v>193</v>
      </c>
      <c r="C22" s="38">
        <v>100.0</v>
      </c>
      <c r="D22" s="123">
        <v>60.0</v>
      </c>
      <c r="E22" s="123"/>
      <c r="F22" s="71">
        <f t="shared" si="1"/>
        <v>0</v>
      </c>
      <c r="G22" s="124">
        <f t="shared" si="2"/>
        <v>6.083333333</v>
      </c>
      <c r="H22" s="71"/>
    </row>
    <row r="23" ht="15.0" customHeight="1">
      <c r="A23" s="127">
        <v>5.40146119E9</v>
      </c>
      <c r="B23" s="69" t="s">
        <v>194</v>
      </c>
      <c r="C23" s="38">
        <v>200.0</v>
      </c>
      <c r="D23" s="123">
        <v>60.0</v>
      </c>
      <c r="E23" s="123"/>
      <c r="F23" s="71">
        <f t="shared" si="1"/>
        <v>0</v>
      </c>
      <c r="G23" s="124">
        <f t="shared" si="2"/>
        <v>6.083333333</v>
      </c>
      <c r="H23" s="71"/>
    </row>
    <row r="24" ht="15.0" customHeight="1">
      <c r="A24" s="128">
        <v>4.65735719E9</v>
      </c>
      <c r="B24" s="129" t="s">
        <v>195</v>
      </c>
      <c r="C24" s="38">
        <v>400.0</v>
      </c>
      <c r="D24" s="123">
        <v>120.0</v>
      </c>
      <c r="E24" s="123"/>
      <c r="F24" s="71">
        <f t="shared" si="1"/>
        <v>0</v>
      </c>
      <c r="G24" s="124">
        <f t="shared" si="2"/>
        <v>3.041666667</v>
      </c>
      <c r="H24" s="71"/>
    </row>
    <row r="25" ht="15.0" customHeight="1">
      <c r="A25" s="69">
        <v>7.00580619E9</v>
      </c>
      <c r="B25" s="42" t="s">
        <v>196</v>
      </c>
      <c r="C25" s="38">
        <v>100.0</v>
      </c>
      <c r="D25" s="123">
        <v>60.0</v>
      </c>
      <c r="E25" s="123"/>
      <c r="F25" s="71">
        <f t="shared" si="1"/>
        <v>0</v>
      </c>
      <c r="G25" s="124">
        <f t="shared" si="2"/>
        <v>6.083333333</v>
      </c>
      <c r="H25" s="71"/>
    </row>
    <row r="26" ht="15.0" customHeight="1">
      <c r="A26" s="126">
        <v>5.06150419E9</v>
      </c>
      <c r="B26" s="130" t="s">
        <v>197</v>
      </c>
      <c r="C26" s="38">
        <v>400.0</v>
      </c>
      <c r="D26" s="123">
        <v>120.0</v>
      </c>
      <c r="E26" s="123"/>
      <c r="F26" s="71">
        <f t="shared" si="1"/>
        <v>0</v>
      </c>
      <c r="G26" s="124">
        <f t="shared" si="2"/>
        <v>3.041666667</v>
      </c>
      <c r="H26" s="71"/>
    </row>
    <row r="27" ht="15.0" customHeight="1">
      <c r="A27" s="126">
        <v>7.44201719E9</v>
      </c>
      <c r="B27" s="130" t="s">
        <v>198</v>
      </c>
      <c r="C27" s="38">
        <v>200.0</v>
      </c>
      <c r="D27" s="123">
        <v>60.0</v>
      </c>
      <c r="E27" s="123"/>
      <c r="F27" s="71">
        <f t="shared" si="1"/>
        <v>0</v>
      </c>
      <c r="G27" s="124">
        <f t="shared" si="2"/>
        <v>6.083333333</v>
      </c>
      <c r="H27" s="71"/>
    </row>
    <row r="28" ht="15.0" customHeight="1">
      <c r="A28" s="126">
        <v>5.40167419E9</v>
      </c>
      <c r="B28" s="130" t="s">
        <v>199</v>
      </c>
      <c r="C28" s="38">
        <v>100.0</v>
      </c>
      <c r="D28" s="123">
        <v>60.0</v>
      </c>
      <c r="E28" s="123"/>
      <c r="F28" s="71">
        <f t="shared" si="1"/>
        <v>0</v>
      </c>
      <c r="G28" s="124">
        <f t="shared" si="2"/>
        <v>6.083333333</v>
      </c>
      <c r="H28" s="71"/>
    </row>
    <row r="29" ht="15.0" customHeight="1">
      <c r="A29" s="126">
        <v>5.33618019E9</v>
      </c>
      <c r="B29" s="130" t="s">
        <v>200</v>
      </c>
      <c r="C29" s="38">
        <v>200.0</v>
      </c>
      <c r="D29" s="123">
        <v>60.0</v>
      </c>
      <c r="E29" s="123"/>
      <c r="F29" s="71">
        <f t="shared" si="1"/>
        <v>0</v>
      </c>
      <c r="G29" s="124">
        <f t="shared" si="2"/>
        <v>6.083333333</v>
      </c>
      <c r="H29" s="71"/>
    </row>
    <row r="30" ht="15.0" customHeight="1">
      <c r="A30" s="126">
        <v>5.40165819E9</v>
      </c>
      <c r="B30" s="130" t="s">
        <v>201</v>
      </c>
      <c r="C30" s="38">
        <v>100.0</v>
      </c>
      <c r="D30" s="123">
        <v>60.0</v>
      </c>
      <c r="E30" s="123"/>
      <c r="F30" s="71">
        <f t="shared" si="1"/>
        <v>0</v>
      </c>
      <c r="G30" s="124">
        <f t="shared" si="2"/>
        <v>6.083333333</v>
      </c>
      <c r="H30" s="71"/>
    </row>
    <row r="31" ht="15.0" customHeight="1">
      <c r="A31" s="126">
        <v>4.65758619E9</v>
      </c>
      <c r="B31" s="130" t="s">
        <v>202</v>
      </c>
      <c r="C31" s="38">
        <v>400.0</v>
      </c>
      <c r="D31" s="123">
        <v>120.0</v>
      </c>
      <c r="E31" s="123"/>
      <c r="F31" s="71">
        <f t="shared" si="1"/>
        <v>0</v>
      </c>
      <c r="G31" s="124">
        <f t="shared" si="2"/>
        <v>3.041666667</v>
      </c>
      <c r="H31" s="71"/>
    </row>
    <row r="32" ht="15.0" customHeight="1">
      <c r="A32" s="126">
        <v>7.87643219E9</v>
      </c>
      <c r="B32" s="42" t="s">
        <v>203</v>
      </c>
      <c r="C32" s="38">
        <v>200.0</v>
      </c>
      <c r="D32" s="123">
        <v>60.0</v>
      </c>
      <c r="E32" s="123"/>
      <c r="F32" s="71">
        <f t="shared" si="1"/>
        <v>0</v>
      </c>
      <c r="G32" s="124">
        <f t="shared" si="2"/>
        <v>6.083333333</v>
      </c>
      <c r="H32" s="71"/>
    </row>
    <row r="33" ht="15.0" customHeight="1">
      <c r="A33" s="126">
        <v>5.07775319E9</v>
      </c>
      <c r="B33" s="131" t="s">
        <v>204</v>
      </c>
      <c r="C33" s="38">
        <v>200.0</v>
      </c>
      <c r="D33" s="132">
        <v>120.0</v>
      </c>
      <c r="E33" s="123"/>
      <c r="F33" s="71">
        <f t="shared" si="1"/>
        <v>0</v>
      </c>
      <c r="G33" s="124">
        <f t="shared" si="2"/>
        <v>3.041666667</v>
      </c>
      <c r="H33" s="71"/>
    </row>
    <row r="34" ht="15.0" customHeight="1">
      <c r="A34" s="126">
        <v>5.40178019E9</v>
      </c>
      <c r="B34" s="131" t="s">
        <v>205</v>
      </c>
      <c r="C34" s="38">
        <v>100.0</v>
      </c>
      <c r="D34" s="132">
        <v>60.0</v>
      </c>
      <c r="E34" s="123"/>
      <c r="F34" s="71">
        <f t="shared" si="1"/>
        <v>0</v>
      </c>
      <c r="G34" s="124">
        <f t="shared" si="2"/>
        <v>6.083333333</v>
      </c>
      <c r="H34" s="71"/>
    </row>
    <row r="35" ht="15.0" customHeight="1">
      <c r="A35" s="133">
        <v>5.40173919E9</v>
      </c>
      <c r="B35" s="134" t="s">
        <v>206</v>
      </c>
      <c r="C35" s="38">
        <v>100.0</v>
      </c>
      <c r="D35" s="123">
        <v>56.0</v>
      </c>
      <c r="E35" s="123"/>
      <c r="F35" s="71">
        <f t="shared" si="1"/>
        <v>0</v>
      </c>
      <c r="G35" s="124">
        <f t="shared" si="2"/>
        <v>6.517857143</v>
      </c>
      <c r="H35" s="71"/>
    </row>
    <row r="36" ht="15.0" customHeight="1">
      <c r="A36" s="133">
        <v>7.44205019E9</v>
      </c>
      <c r="B36" s="134" t="s">
        <v>207</v>
      </c>
      <c r="C36" s="38">
        <v>100.0</v>
      </c>
      <c r="D36" s="38">
        <v>60.0</v>
      </c>
      <c r="E36" s="123"/>
      <c r="F36" s="71">
        <f t="shared" si="1"/>
        <v>0</v>
      </c>
      <c r="G36" s="124">
        <f t="shared" si="2"/>
        <v>6.083333333</v>
      </c>
      <c r="H36" s="71"/>
    </row>
    <row r="37" ht="15.0" customHeight="1">
      <c r="A37" s="135"/>
      <c r="B37" s="136"/>
      <c r="C37" s="137" t="s">
        <v>208</v>
      </c>
      <c r="D37" s="137"/>
      <c r="E37" s="138">
        <f>SUM(E9:E36)</f>
        <v>0</v>
      </c>
      <c r="F37" s="139"/>
      <c r="G37" s="140"/>
      <c r="H37" s="141"/>
    </row>
    <row r="38" ht="15.0" customHeight="1">
      <c r="A38" s="142" t="s">
        <v>209</v>
      </c>
      <c r="B38" s="143"/>
      <c r="C38" s="144"/>
      <c r="D38" s="145"/>
      <c r="E38" s="146"/>
      <c r="F38" s="147"/>
      <c r="G38" s="148"/>
      <c r="H38" s="149"/>
    </row>
    <row r="39" ht="15.0" customHeight="1">
      <c r="A39" s="69">
        <v>1.075935019E10</v>
      </c>
      <c r="B39" s="42" t="s">
        <v>210</v>
      </c>
      <c r="C39" s="38">
        <v>12.0</v>
      </c>
      <c r="D39" s="123">
        <v>28.0</v>
      </c>
      <c r="E39" s="38"/>
      <c r="F39" s="59"/>
      <c r="G39" s="124">
        <f t="shared" ref="G39:G45" si="3">(365/D39)/C39</f>
        <v>1.086309524</v>
      </c>
      <c r="H39" s="38"/>
    </row>
    <row r="40" ht="15.0" customHeight="1">
      <c r="A40" s="69">
        <v>1.2172623122E10</v>
      </c>
      <c r="B40" s="42" t="s">
        <v>211</v>
      </c>
      <c r="C40" s="38">
        <v>3.0</v>
      </c>
      <c r="D40" s="123">
        <v>28.0</v>
      </c>
      <c r="E40" s="38"/>
      <c r="F40" s="38"/>
      <c r="G40" s="124">
        <f t="shared" si="3"/>
        <v>4.345238095</v>
      </c>
      <c r="H40" s="38"/>
    </row>
    <row r="41" ht="15.0" customHeight="1">
      <c r="A41" s="126">
        <v>1.1355279216E10</v>
      </c>
      <c r="B41" s="130" t="s">
        <v>212</v>
      </c>
      <c r="C41" s="38">
        <v>5.0</v>
      </c>
      <c r="D41" s="123">
        <v>28.0</v>
      </c>
      <c r="E41" s="38"/>
      <c r="F41" s="38"/>
      <c r="G41" s="124">
        <f t="shared" si="3"/>
        <v>2.607142857</v>
      </c>
      <c r="H41" s="38"/>
    </row>
    <row r="42" ht="15.0" customHeight="1">
      <c r="A42" s="150">
        <v>4.52841719E9</v>
      </c>
      <c r="B42" s="130" t="s">
        <v>213</v>
      </c>
      <c r="C42" s="38">
        <v>3.0</v>
      </c>
      <c r="D42" s="123">
        <v>84.0</v>
      </c>
      <c r="E42" s="38"/>
      <c r="F42" s="38"/>
      <c r="G42" s="124">
        <f t="shared" si="3"/>
        <v>1.448412698</v>
      </c>
      <c r="H42" s="38"/>
    </row>
    <row r="43" ht="15.0" customHeight="1">
      <c r="A43" s="126">
        <v>2.075199519E10</v>
      </c>
      <c r="B43" s="151" t="s">
        <v>214</v>
      </c>
      <c r="C43" s="38">
        <v>2.0</v>
      </c>
      <c r="D43" s="123">
        <v>56.0</v>
      </c>
      <c r="E43" s="38"/>
      <c r="F43" s="38"/>
      <c r="G43" s="124">
        <f t="shared" si="3"/>
        <v>3.258928571</v>
      </c>
      <c r="H43" s="38"/>
    </row>
    <row r="44" ht="15.0" customHeight="1">
      <c r="A44" s="133">
        <v>5.05090119E9</v>
      </c>
      <c r="B44" s="130" t="s">
        <v>215</v>
      </c>
      <c r="C44" s="38">
        <v>1.0</v>
      </c>
      <c r="D44" s="123">
        <v>84.0</v>
      </c>
      <c r="E44" s="38"/>
      <c r="F44" s="38"/>
      <c r="G44" s="124">
        <f t="shared" si="3"/>
        <v>4.345238095</v>
      </c>
      <c r="H44" s="38"/>
    </row>
    <row r="45" ht="15.0" customHeight="1">
      <c r="A45" s="126">
        <v>1.1447394216E10</v>
      </c>
      <c r="B45" s="130" t="s">
        <v>216</v>
      </c>
      <c r="C45" s="38">
        <v>3.0</v>
      </c>
      <c r="D45" s="38">
        <v>28.0</v>
      </c>
      <c r="E45" s="38"/>
      <c r="F45" s="38"/>
      <c r="G45" s="124">
        <f t="shared" si="3"/>
        <v>4.345238095</v>
      </c>
      <c r="H45" s="152"/>
    </row>
    <row r="46" ht="15.0" customHeight="1">
      <c r="A46" s="153" t="s">
        <v>217</v>
      </c>
      <c r="B46" s="154"/>
      <c r="C46" s="155"/>
      <c r="D46" s="156"/>
      <c r="E46" s="155"/>
      <c r="F46" s="155"/>
      <c r="G46" s="157"/>
      <c r="H46" s="155"/>
    </row>
    <row r="47" ht="15.0" customHeight="1">
      <c r="A47" s="158">
        <v>5.94762619E9</v>
      </c>
      <c r="B47" s="159" t="s">
        <v>218</v>
      </c>
      <c r="C47" s="38">
        <v>4.0</v>
      </c>
      <c r="D47" s="123">
        <v>14.0</v>
      </c>
      <c r="E47" s="38"/>
      <c r="F47" s="38"/>
      <c r="G47" s="124">
        <f t="shared" ref="G47:G53" si="4">(365/D47)/C47</f>
        <v>6.517857143</v>
      </c>
      <c r="H47" s="38"/>
    </row>
    <row r="48" ht="15.0" customHeight="1">
      <c r="A48" s="158">
        <v>5.94777419E9</v>
      </c>
      <c r="B48" s="159" t="s">
        <v>219</v>
      </c>
      <c r="C48" s="38">
        <v>4.0</v>
      </c>
      <c r="D48" s="123">
        <v>14.0</v>
      </c>
      <c r="E48" s="38"/>
      <c r="F48" s="38"/>
      <c r="G48" s="124">
        <f t="shared" si="4"/>
        <v>6.517857143</v>
      </c>
      <c r="H48" s="38"/>
    </row>
    <row r="49" ht="15.0" customHeight="1">
      <c r="A49" s="126">
        <v>5.47920719E9</v>
      </c>
      <c r="B49" s="130" t="s">
        <v>220</v>
      </c>
      <c r="C49" s="38">
        <v>4.0</v>
      </c>
      <c r="D49" s="123">
        <v>28.0</v>
      </c>
      <c r="E49" s="38"/>
      <c r="F49" s="160"/>
      <c r="G49" s="124">
        <f t="shared" si="4"/>
        <v>3.258928571</v>
      </c>
      <c r="H49" s="38"/>
    </row>
    <row r="50" ht="15.0" customHeight="1">
      <c r="A50" s="58">
        <v>5.91250419E9</v>
      </c>
      <c r="B50" s="4" t="s">
        <v>221</v>
      </c>
      <c r="C50" s="75">
        <v>4.0</v>
      </c>
      <c r="D50" s="123">
        <v>28.0</v>
      </c>
      <c r="E50" s="38"/>
      <c r="F50" s="160"/>
      <c r="G50" s="124">
        <f t="shared" si="4"/>
        <v>3.258928571</v>
      </c>
      <c r="H50" s="38"/>
    </row>
    <row r="51" ht="15.0" customHeight="1">
      <c r="A51" s="69">
        <v>2.075240119E10</v>
      </c>
      <c r="B51" s="42" t="s">
        <v>222</v>
      </c>
      <c r="C51" s="38">
        <v>5.0</v>
      </c>
      <c r="D51" s="132">
        <v>56.0</v>
      </c>
      <c r="E51" s="38"/>
      <c r="F51" s="160"/>
      <c r="G51" s="124">
        <f t="shared" si="4"/>
        <v>1.303571429</v>
      </c>
      <c r="H51" s="38"/>
    </row>
    <row r="52" ht="15.0" customHeight="1">
      <c r="A52" s="69">
        <v>2.075300919E10</v>
      </c>
      <c r="B52" s="42" t="s">
        <v>222</v>
      </c>
      <c r="C52" s="38">
        <v>5.0</v>
      </c>
      <c r="D52" s="132">
        <v>56.0</v>
      </c>
      <c r="E52" s="38"/>
      <c r="F52" s="160"/>
      <c r="G52" s="124">
        <f t="shared" si="4"/>
        <v>1.303571429</v>
      </c>
      <c r="H52" s="38"/>
    </row>
    <row r="53" ht="15.0" customHeight="1">
      <c r="A53" s="133">
        <v>5.05093619E9</v>
      </c>
      <c r="B53" s="161" t="s">
        <v>223</v>
      </c>
      <c r="C53" s="162">
        <v>2.0</v>
      </c>
      <c r="D53" s="123">
        <v>84.0</v>
      </c>
      <c r="E53" s="38"/>
      <c r="F53" s="38"/>
      <c r="G53" s="124">
        <f t="shared" si="4"/>
        <v>2.172619048</v>
      </c>
      <c r="H53" s="38"/>
    </row>
    <row r="54" ht="15.0" customHeight="1">
      <c r="A54" s="153" t="s">
        <v>224</v>
      </c>
      <c r="B54" s="154"/>
      <c r="C54" s="155"/>
      <c r="D54" s="147"/>
      <c r="E54" s="155"/>
      <c r="F54" s="155"/>
      <c r="G54" s="157"/>
      <c r="H54" s="155"/>
    </row>
    <row r="55" ht="15.0" customHeight="1">
      <c r="A55" s="69">
        <v>4.77423019E9</v>
      </c>
      <c r="B55" s="42" t="s">
        <v>225</v>
      </c>
      <c r="C55" s="38">
        <v>4.0</v>
      </c>
      <c r="D55" s="123">
        <v>28.0</v>
      </c>
      <c r="E55" s="38"/>
      <c r="F55" s="38"/>
      <c r="G55" s="124">
        <f t="shared" ref="G55:G63" si="5">(365/D55)/C55</f>
        <v>3.258928571</v>
      </c>
      <c r="H55" s="38"/>
    </row>
    <row r="56" ht="15.0" customHeight="1">
      <c r="A56" s="126">
        <v>5.00723219E9</v>
      </c>
      <c r="B56" s="130" t="s">
        <v>226</v>
      </c>
      <c r="C56" s="38">
        <v>8.0</v>
      </c>
      <c r="D56" s="123">
        <v>10.0</v>
      </c>
      <c r="E56" s="38"/>
      <c r="F56" s="38"/>
      <c r="G56" s="124">
        <f t="shared" si="5"/>
        <v>4.5625</v>
      </c>
      <c r="H56" s="38"/>
    </row>
    <row r="57" ht="15.0" customHeight="1">
      <c r="A57" s="69">
        <v>4.66363219E9</v>
      </c>
      <c r="B57" s="42" t="s">
        <v>227</v>
      </c>
      <c r="C57" s="38">
        <v>9.0</v>
      </c>
      <c r="D57" s="123">
        <v>12.0</v>
      </c>
      <c r="E57" s="38"/>
      <c r="F57" s="38"/>
      <c r="G57" s="124">
        <f t="shared" si="5"/>
        <v>3.37962963</v>
      </c>
      <c r="H57" s="38"/>
    </row>
    <row r="58" ht="15.0" customHeight="1">
      <c r="A58" s="69">
        <v>1.1298500316E10</v>
      </c>
      <c r="B58" s="42" t="s">
        <v>228</v>
      </c>
      <c r="C58" s="38">
        <v>5.0</v>
      </c>
      <c r="D58" s="123">
        <v>73.0</v>
      </c>
      <c r="E58" s="38"/>
      <c r="F58" s="38"/>
      <c r="G58" s="124">
        <f t="shared" si="5"/>
        <v>1</v>
      </c>
      <c r="H58" s="38"/>
    </row>
    <row r="59" ht="15.75" customHeight="1">
      <c r="A59" s="69">
        <v>2.0754765322E10</v>
      </c>
      <c r="B59" s="42" t="s">
        <v>229</v>
      </c>
      <c r="C59" s="38">
        <v>1.0</v>
      </c>
      <c r="D59" s="123">
        <v>84.0</v>
      </c>
      <c r="E59" s="38"/>
      <c r="F59" s="38"/>
      <c r="G59" s="124">
        <f t="shared" si="5"/>
        <v>4.345238095</v>
      </c>
      <c r="H59" s="38"/>
    </row>
    <row r="60" ht="15.75" customHeight="1">
      <c r="A60" s="69">
        <v>4.357108001E9</v>
      </c>
      <c r="B60" s="42" t="s">
        <v>230</v>
      </c>
      <c r="C60" s="38">
        <v>1.0</v>
      </c>
      <c r="D60" s="123">
        <v>365.0</v>
      </c>
      <c r="E60" s="38"/>
      <c r="F60" s="38"/>
      <c r="G60" s="124">
        <f t="shared" si="5"/>
        <v>1</v>
      </c>
      <c r="H60" s="38"/>
    </row>
    <row r="61" ht="15.75" customHeight="1">
      <c r="A61" s="58">
        <v>4.444191001E9</v>
      </c>
      <c r="B61" s="42" t="s">
        <v>231</v>
      </c>
      <c r="C61" s="38">
        <v>1.0</v>
      </c>
      <c r="D61" s="123">
        <v>365.0</v>
      </c>
      <c r="E61" s="38"/>
      <c r="F61" s="163"/>
      <c r="G61" s="124">
        <f t="shared" si="5"/>
        <v>1</v>
      </c>
      <c r="H61" s="38"/>
    </row>
    <row r="62" ht="15.75" customHeight="1">
      <c r="A62" s="69">
        <v>4.352483001E9</v>
      </c>
      <c r="B62" s="42" t="s">
        <v>232</v>
      </c>
      <c r="C62" s="38">
        <v>5.0</v>
      </c>
      <c r="D62" s="123">
        <v>365.0</v>
      </c>
      <c r="E62" s="38"/>
      <c r="F62" s="38"/>
      <c r="G62" s="124">
        <f t="shared" si="5"/>
        <v>0.2</v>
      </c>
      <c r="H62" s="38"/>
    </row>
    <row r="63" ht="15.75" customHeight="1">
      <c r="A63" s="69">
        <v>5.344620001E9</v>
      </c>
      <c r="B63" s="42" t="s">
        <v>233</v>
      </c>
      <c r="C63" s="38">
        <v>1.0</v>
      </c>
      <c r="D63" s="123">
        <v>365.0</v>
      </c>
      <c r="E63" s="38"/>
      <c r="F63" s="38"/>
      <c r="G63" s="124">
        <f t="shared" si="5"/>
        <v>1</v>
      </c>
      <c r="H63" s="38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3:F3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9.29"/>
    <col customWidth="1" min="3" max="3" width="12.0"/>
    <col customWidth="1" min="4" max="4" width="11.0"/>
    <col customWidth="1" min="5" max="5" width="12.0"/>
    <col customWidth="1" min="6" max="6" width="14.29"/>
    <col customWidth="1" min="7" max="7" width="16.71"/>
    <col customWidth="1" min="8" max="8" width="14.57"/>
    <col customWidth="1" min="9" max="26" width="10.71"/>
  </cols>
  <sheetData>
    <row r="1" ht="13.5" customHeight="1">
      <c r="A1" s="116" t="s">
        <v>5</v>
      </c>
      <c r="B1" s="117"/>
      <c r="C1" s="118"/>
      <c r="D1" s="118"/>
      <c r="E1" s="118"/>
      <c r="F1" s="118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3.5" customHeight="1">
      <c r="A2" s="116" t="s">
        <v>124</v>
      </c>
      <c r="B2" s="117"/>
      <c r="C2" s="118"/>
      <c r="D2" s="118"/>
      <c r="E2" s="118"/>
      <c r="F2" s="118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3.5" customHeight="1">
      <c r="A3" s="116" t="s">
        <v>125</v>
      </c>
      <c r="B3" s="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3.5" customHeight="1">
      <c r="A4" s="116" t="s">
        <v>127</v>
      </c>
      <c r="B4" s="117"/>
      <c r="C4" s="3" t="s">
        <v>128</v>
      </c>
      <c r="D4" s="118"/>
      <c r="E4" s="118"/>
      <c r="F4" s="118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3.5" customHeight="1">
      <c r="A5" s="116" t="s">
        <v>129</v>
      </c>
      <c r="B5" s="117"/>
      <c r="C5" s="3" t="s">
        <v>128</v>
      </c>
      <c r="D5" s="118"/>
      <c r="E5" s="118"/>
      <c r="F5" s="118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3.5" customHeight="1">
      <c r="A6" s="119" t="s">
        <v>130</v>
      </c>
      <c r="B6" s="120" t="s">
        <v>234</v>
      </c>
      <c r="C6" s="121"/>
      <c r="D6" s="121"/>
      <c r="E6" s="121"/>
      <c r="F6" s="121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3.5" customHeight="1">
      <c r="A7" s="4"/>
      <c r="B7" s="16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3.5" customHeight="1">
      <c r="A8" s="165" t="s">
        <v>235</v>
      </c>
      <c r="B8" s="166" t="s">
        <v>236</v>
      </c>
      <c r="C8" s="165" t="s">
        <v>135</v>
      </c>
      <c r="D8" s="165" t="s">
        <v>136</v>
      </c>
      <c r="E8" s="167" t="s">
        <v>237</v>
      </c>
      <c r="F8" s="168" t="s">
        <v>138</v>
      </c>
      <c r="G8" s="168" t="s">
        <v>139</v>
      </c>
      <c r="H8" s="169" t="s">
        <v>140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3.5" customHeight="1">
      <c r="A9" s="38">
        <v>6.75005219E9</v>
      </c>
      <c r="B9" s="170" t="s">
        <v>238</v>
      </c>
      <c r="C9" s="171">
        <v>200.0</v>
      </c>
      <c r="D9" s="171">
        <v>84.0</v>
      </c>
      <c r="E9" s="171"/>
      <c r="F9" s="71">
        <f t="shared" ref="F9:F73" si="1">E9/C9</f>
        <v>0</v>
      </c>
      <c r="G9" s="71">
        <f t="shared" ref="G9:G73" si="2">365/D9</f>
        <v>4.345238095</v>
      </c>
      <c r="H9" s="71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3.5" customHeight="1">
      <c r="A10" s="38">
        <v>3.005771322E9</v>
      </c>
      <c r="B10" s="170" t="s">
        <v>239</v>
      </c>
      <c r="C10" s="171">
        <v>100.0</v>
      </c>
      <c r="D10" s="171">
        <v>84.0</v>
      </c>
      <c r="E10" s="171"/>
      <c r="F10" s="71">
        <f t="shared" si="1"/>
        <v>0</v>
      </c>
      <c r="G10" s="71">
        <f t="shared" si="2"/>
        <v>4.345238095</v>
      </c>
      <c r="H10" s="71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3.5" customHeight="1">
      <c r="A11" s="38">
        <v>4.37535119E9</v>
      </c>
      <c r="B11" s="170" t="s">
        <v>240</v>
      </c>
      <c r="C11" s="171">
        <v>400.0</v>
      </c>
      <c r="D11" s="171">
        <v>84.0</v>
      </c>
      <c r="E11" s="171"/>
      <c r="F11" s="71">
        <f t="shared" si="1"/>
        <v>0</v>
      </c>
      <c r="G11" s="71">
        <f t="shared" si="2"/>
        <v>4.345238095</v>
      </c>
      <c r="H11" s="71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3.5" customHeight="1">
      <c r="A12" s="38">
        <v>3.183688122E9</v>
      </c>
      <c r="B12" s="170" t="s">
        <v>241</v>
      </c>
      <c r="C12" s="171">
        <v>300.0</v>
      </c>
      <c r="D12" s="171">
        <v>84.0</v>
      </c>
      <c r="E12" s="171"/>
      <c r="F12" s="71">
        <f t="shared" si="1"/>
        <v>0</v>
      </c>
      <c r="G12" s="71">
        <f t="shared" si="2"/>
        <v>4.345238095</v>
      </c>
      <c r="H12" s="71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3.5" customHeight="1">
      <c r="A13" s="38">
        <v>4.46965819E9</v>
      </c>
      <c r="B13" s="170" t="s">
        <v>242</v>
      </c>
      <c r="C13" s="171">
        <v>100.0</v>
      </c>
      <c r="D13" s="171">
        <v>84.0</v>
      </c>
      <c r="E13" s="171"/>
      <c r="F13" s="71">
        <f t="shared" si="1"/>
        <v>0</v>
      </c>
      <c r="G13" s="71">
        <f t="shared" si="2"/>
        <v>4.345238095</v>
      </c>
      <c r="H13" s="71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3.5" customHeight="1">
      <c r="A14" s="38">
        <v>3.33375219E9</v>
      </c>
      <c r="B14" s="170" t="s">
        <v>243</v>
      </c>
      <c r="C14" s="171">
        <v>200.0</v>
      </c>
      <c r="D14" s="171">
        <v>56.0</v>
      </c>
      <c r="E14" s="171"/>
      <c r="F14" s="71">
        <f t="shared" si="1"/>
        <v>0</v>
      </c>
      <c r="G14" s="71">
        <f t="shared" si="2"/>
        <v>6.517857143</v>
      </c>
      <c r="H14" s="71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3.5" customHeight="1">
      <c r="A15" s="38">
        <v>2.0764957322E10</v>
      </c>
      <c r="B15" s="170" t="s">
        <v>244</v>
      </c>
      <c r="C15" s="171">
        <v>500.0</v>
      </c>
      <c r="D15" s="171">
        <v>84.0</v>
      </c>
      <c r="E15" s="171"/>
      <c r="F15" s="71">
        <f t="shared" si="1"/>
        <v>0</v>
      </c>
      <c r="G15" s="71">
        <f t="shared" si="2"/>
        <v>4.345238095</v>
      </c>
      <c r="H15" s="71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3.5" customHeight="1">
      <c r="A16" s="38">
        <v>3.183742122E9</v>
      </c>
      <c r="B16" s="170" t="s">
        <v>245</v>
      </c>
      <c r="C16" s="171">
        <v>300.0</v>
      </c>
      <c r="D16" s="171">
        <v>84.0</v>
      </c>
      <c r="E16" s="171"/>
      <c r="F16" s="71">
        <f t="shared" si="1"/>
        <v>0</v>
      </c>
      <c r="G16" s="71">
        <f t="shared" si="2"/>
        <v>4.345238095</v>
      </c>
      <c r="H16" s="71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3.5" customHeight="1">
      <c r="A17" s="38">
        <v>3.032566122E9</v>
      </c>
      <c r="B17" s="170" t="s">
        <v>246</v>
      </c>
      <c r="C17" s="172">
        <v>100.0</v>
      </c>
      <c r="D17" s="172">
        <v>84.0</v>
      </c>
      <c r="E17" s="171"/>
      <c r="F17" s="71">
        <f t="shared" si="1"/>
        <v>0</v>
      </c>
      <c r="G17" s="71">
        <f t="shared" si="2"/>
        <v>4.345238095</v>
      </c>
      <c r="H17" s="71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3.5" customHeight="1">
      <c r="A18" s="38">
        <v>3.032574122E9</v>
      </c>
      <c r="B18" s="170" t="s">
        <v>247</v>
      </c>
      <c r="C18" s="70">
        <v>100.0</v>
      </c>
      <c r="D18" s="171">
        <v>84.0</v>
      </c>
      <c r="E18" s="171"/>
      <c r="F18" s="71">
        <f t="shared" si="1"/>
        <v>0</v>
      </c>
      <c r="G18" s="71">
        <f t="shared" si="2"/>
        <v>4.345238095</v>
      </c>
      <c r="H18" s="71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3.5" customHeight="1">
      <c r="A19" s="38">
        <v>4.48940319E9</v>
      </c>
      <c r="B19" s="170" t="s">
        <v>248</v>
      </c>
      <c r="C19" s="171">
        <v>150.0</v>
      </c>
      <c r="D19" s="171">
        <v>84.0</v>
      </c>
      <c r="E19" s="171"/>
      <c r="F19" s="71">
        <f t="shared" si="1"/>
        <v>0</v>
      </c>
      <c r="G19" s="71">
        <f t="shared" si="2"/>
        <v>4.345238095</v>
      </c>
      <c r="H19" s="71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3.5" customHeight="1">
      <c r="A20" s="38">
        <v>2.0764949322E10</v>
      </c>
      <c r="B20" s="170" t="s">
        <v>249</v>
      </c>
      <c r="C20" s="171">
        <v>500.0</v>
      </c>
      <c r="D20" s="171">
        <v>84.0</v>
      </c>
      <c r="E20" s="171"/>
      <c r="F20" s="71">
        <f t="shared" si="1"/>
        <v>0</v>
      </c>
      <c r="G20" s="71">
        <f t="shared" si="2"/>
        <v>4.345238095</v>
      </c>
      <c r="H20" s="71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3.5" customHeight="1">
      <c r="A21" s="38">
        <v>8.04743019E9</v>
      </c>
      <c r="B21" s="170" t="s">
        <v>250</v>
      </c>
      <c r="C21" s="171">
        <v>140.0</v>
      </c>
      <c r="D21" s="171">
        <v>84.0</v>
      </c>
      <c r="E21" s="171"/>
      <c r="F21" s="71">
        <f t="shared" si="1"/>
        <v>0</v>
      </c>
      <c r="G21" s="71">
        <f t="shared" si="2"/>
        <v>4.345238095</v>
      </c>
      <c r="H21" s="71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3.5" customHeight="1">
      <c r="A22" s="38">
        <v>5.58906119E9</v>
      </c>
      <c r="B22" s="170" t="s">
        <v>251</v>
      </c>
      <c r="C22" s="171">
        <v>350.0</v>
      </c>
      <c r="D22" s="171">
        <v>42.0</v>
      </c>
      <c r="E22" s="171"/>
      <c r="F22" s="71">
        <f t="shared" si="1"/>
        <v>0</v>
      </c>
      <c r="G22" s="71">
        <f t="shared" si="2"/>
        <v>8.69047619</v>
      </c>
      <c r="H22" s="71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3.5" customHeight="1">
      <c r="A23" s="38">
        <v>5.79539719E9</v>
      </c>
      <c r="B23" s="170" t="s">
        <v>252</v>
      </c>
      <c r="C23" s="171">
        <v>250.0</v>
      </c>
      <c r="D23" s="171">
        <v>42.0</v>
      </c>
      <c r="E23" s="171"/>
      <c r="F23" s="71">
        <f t="shared" si="1"/>
        <v>0</v>
      </c>
      <c r="G23" s="71">
        <f t="shared" si="2"/>
        <v>8.69047619</v>
      </c>
      <c r="H23" s="71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3.5" customHeight="1">
      <c r="A24" s="38">
        <v>3.001938322E9</v>
      </c>
      <c r="B24" s="170" t="s">
        <v>253</v>
      </c>
      <c r="C24" s="171">
        <v>100.0</v>
      </c>
      <c r="D24" s="171">
        <v>42.0</v>
      </c>
      <c r="E24" s="171"/>
      <c r="F24" s="71">
        <f t="shared" si="1"/>
        <v>0</v>
      </c>
      <c r="G24" s="71">
        <f t="shared" si="2"/>
        <v>8.69047619</v>
      </c>
      <c r="H24" s="71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3.5" customHeight="1">
      <c r="A25" s="38">
        <v>3.001962322E9</v>
      </c>
      <c r="B25" s="170" t="s">
        <v>254</v>
      </c>
      <c r="C25" s="171">
        <v>100.0</v>
      </c>
      <c r="D25" s="171">
        <v>56.0</v>
      </c>
      <c r="E25" s="171"/>
      <c r="F25" s="71">
        <f t="shared" si="1"/>
        <v>0</v>
      </c>
      <c r="G25" s="71">
        <f t="shared" si="2"/>
        <v>6.517857143</v>
      </c>
      <c r="H25" s="71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3.5" customHeight="1">
      <c r="A26" s="38">
        <v>5.06148219E9</v>
      </c>
      <c r="B26" s="170" t="s">
        <v>255</v>
      </c>
      <c r="C26" s="171">
        <v>300.0</v>
      </c>
      <c r="D26" s="171">
        <v>56.0</v>
      </c>
      <c r="E26" s="171"/>
      <c r="F26" s="71">
        <f t="shared" si="1"/>
        <v>0</v>
      </c>
      <c r="G26" s="71">
        <f t="shared" si="2"/>
        <v>6.517857143</v>
      </c>
      <c r="H26" s="71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3.5" customHeight="1">
      <c r="A27" s="38">
        <v>2.0764663322E10</v>
      </c>
      <c r="B27" s="170" t="s">
        <v>256</v>
      </c>
      <c r="C27" s="171">
        <v>100.0</v>
      </c>
      <c r="D27" s="171">
        <v>56.0</v>
      </c>
      <c r="E27" s="171"/>
      <c r="F27" s="71">
        <f t="shared" si="1"/>
        <v>0</v>
      </c>
      <c r="G27" s="71">
        <f t="shared" si="2"/>
        <v>6.517857143</v>
      </c>
      <c r="H27" s="71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3.5" customHeight="1">
      <c r="A28" s="38">
        <v>4.49857719E9</v>
      </c>
      <c r="B28" s="170" t="s">
        <v>257</v>
      </c>
      <c r="C28" s="171">
        <v>200.0</v>
      </c>
      <c r="D28" s="171">
        <v>28.0</v>
      </c>
      <c r="E28" s="171"/>
      <c r="F28" s="71">
        <f t="shared" si="1"/>
        <v>0</v>
      </c>
      <c r="G28" s="71">
        <f t="shared" si="2"/>
        <v>13.03571429</v>
      </c>
      <c r="H28" s="71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3.5" customHeight="1">
      <c r="A29" s="38">
        <v>3.03977319E9</v>
      </c>
      <c r="B29" s="170" t="s">
        <v>258</v>
      </c>
      <c r="C29" s="171">
        <v>400.0</v>
      </c>
      <c r="D29" s="171">
        <v>28.0</v>
      </c>
      <c r="E29" s="171"/>
      <c r="F29" s="71">
        <f t="shared" si="1"/>
        <v>0</v>
      </c>
      <c r="G29" s="71">
        <f t="shared" si="2"/>
        <v>13.03571429</v>
      </c>
      <c r="H29" s="71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3.5" customHeight="1">
      <c r="A30" s="38">
        <v>7.19079419E9</v>
      </c>
      <c r="B30" s="170" t="s">
        <v>259</v>
      </c>
      <c r="C30" s="171">
        <v>200.0</v>
      </c>
      <c r="D30" s="171">
        <v>56.0</v>
      </c>
      <c r="E30" s="171"/>
      <c r="F30" s="71">
        <f t="shared" si="1"/>
        <v>0</v>
      </c>
      <c r="G30" s="71">
        <f t="shared" si="2"/>
        <v>6.517857143</v>
      </c>
      <c r="H30" s="71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3.5" customHeight="1">
      <c r="A31" s="38">
        <v>7.19080819E9</v>
      </c>
      <c r="B31" s="170" t="s">
        <v>260</v>
      </c>
      <c r="C31" s="171">
        <v>100.0</v>
      </c>
      <c r="D31" s="171">
        <v>56.0</v>
      </c>
      <c r="E31" s="171"/>
      <c r="F31" s="71">
        <f t="shared" si="1"/>
        <v>0</v>
      </c>
      <c r="G31" s="71">
        <f t="shared" si="2"/>
        <v>6.517857143</v>
      </c>
      <c r="H31" s="71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3.5" customHeight="1">
      <c r="A32" s="38">
        <v>3.28992319E9</v>
      </c>
      <c r="B32" s="170" t="s">
        <v>261</v>
      </c>
      <c r="C32" s="171">
        <v>250.0</v>
      </c>
      <c r="D32" s="171">
        <v>42.0</v>
      </c>
      <c r="E32" s="171"/>
      <c r="F32" s="71">
        <f t="shared" si="1"/>
        <v>0</v>
      </c>
      <c r="G32" s="71">
        <f t="shared" si="2"/>
        <v>8.69047619</v>
      </c>
      <c r="H32" s="71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3.5" customHeight="1">
      <c r="A33" s="38">
        <v>4.49082719E9</v>
      </c>
      <c r="B33" s="170" t="s">
        <v>262</v>
      </c>
      <c r="C33" s="171">
        <v>200.0</v>
      </c>
      <c r="D33" s="171">
        <v>56.0</v>
      </c>
      <c r="E33" s="171"/>
      <c r="F33" s="71">
        <f t="shared" si="1"/>
        <v>0</v>
      </c>
      <c r="G33" s="71">
        <f t="shared" si="2"/>
        <v>6.517857143</v>
      </c>
      <c r="H33" s="71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3.5" customHeight="1">
      <c r="A34" s="38">
        <v>4.81071619E9</v>
      </c>
      <c r="B34" s="170" t="s">
        <v>263</v>
      </c>
      <c r="C34" s="171">
        <v>700.0</v>
      </c>
      <c r="D34" s="171">
        <v>56.0</v>
      </c>
      <c r="E34" s="171"/>
      <c r="F34" s="71">
        <f t="shared" si="1"/>
        <v>0</v>
      </c>
      <c r="G34" s="71">
        <f t="shared" si="2"/>
        <v>6.517857143</v>
      </c>
      <c r="H34" s="71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3.5" customHeight="1">
      <c r="A35" s="38">
        <v>4.62891819E9</v>
      </c>
      <c r="B35" s="170" t="s">
        <v>264</v>
      </c>
      <c r="C35" s="171">
        <v>100.0</v>
      </c>
      <c r="D35" s="171">
        <v>84.0</v>
      </c>
      <c r="E35" s="171"/>
      <c r="F35" s="71">
        <f t="shared" si="1"/>
        <v>0</v>
      </c>
      <c r="G35" s="71">
        <f t="shared" si="2"/>
        <v>4.345238095</v>
      </c>
      <c r="H35" s="71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3.5" customHeight="1">
      <c r="A36" s="38">
        <v>7.87603319E9</v>
      </c>
      <c r="B36" s="170" t="s">
        <v>265</v>
      </c>
      <c r="C36" s="171">
        <v>250.0</v>
      </c>
      <c r="D36" s="171">
        <v>84.0</v>
      </c>
      <c r="E36" s="171"/>
      <c r="F36" s="71">
        <f t="shared" si="1"/>
        <v>0</v>
      </c>
      <c r="G36" s="71">
        <f t="shared" si="2"/>
        <v>4.345238095</v>
      </c>
      <c r="H36" s="71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3.5" customHeight="1">
      <c r="A37" s="38">
        <v>6.60023919E9</v>
      </c>
      <c r="B37" s="170" t="s">
        <v>266</v>
      </c>
      <c r="C37" s="171">
        <v>225.0</v>
      </c>
      <c r="D37" s="171">
        <v>56.0</v>
      </c>
      <c r="E37" s="171"/>
      <c r="F37" s="71">
        <f t="shared" si="1"/>
        <v>0</v>
      </c>
      <c r="G37" s="71">
        <f t="shared" si="2"/>
        <v>6.517857143</v>
      </c>
      <c r="H37" s="71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3.5" customHeight="1">
      <c r="A38" s="38">
        <v>4.91255119E9</v>
      </c>
      <c r="B38" s="170" t="s">
        <v>267</v>
      </c>
      <c r="C38" s="171">
        <v>100.0</v>
      </c>
      <c r="D38" s="171">
        <v>84.0</v>
      </c>
      <c r="E38" s="171"/>
      <c r="F38" s="71">
        <f t="shared" si="1"/>
        <v>0</v>
      </c>
      <c r="G38" s="71">
        <f t="shared" si="2"/>
        <v>4.345238095</v>
      </c>
      <c r="H38" s="71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3.5" customHeight="1">
      <c r="A39" s="38">
        <v>3.18377719E9</v>
      </c>
      <c r="B39" s="170" t="s">
        <v>268</v>
      </c>
      <c r="C39" s="171">
        <v>100.0</v>
      </c>
      <c r="D39" s="171">
        <v>84.0</v>
      </c>
      <c r="E39" s="171"/>
      <c r="F39" s="71">
        <f t="shared" si="1"/>
        <v>0</v>
      </c>
      <c r="G39" s="71">
        <f t="shared" si="2"/>
        <v>4.345238095</v>
      </c>
      <c r="H39" s="71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3.5" customHeight="1">
      <c r="A40" s="38">
        <v>4.53793919E9</v>
      </c>
      <c r="B40" s="170" t="s">
        <v>269</v>
      </c>
      <c r="C40" s="171">
        <v>150.0</v>
      </c>
      <c r="D40" s="171">
        <v>56.0</v>
      </c>
      <c r="E40" s="171"/>
      <c r="F40" s="71">
        <f t="shared" si="1"/>
        <v>0</v>
      </c>
      <c r="G40" s="71">
        <f t="shared" si="2"/>
        <v>6.517857143</v>
      </c>
      <c r="H40" s="71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3.5" customHeight="1">
      <c r="A41" s="38">
        <v>3.002721122E9</v>
      </c>
      <c r="B41" s="170" t="s">
        <v>270</v>
      </c>
      <c r="C41" s="171">
        <v>400.0</v>
      </c>
      <c r="D41" s="171">
        <v>84.0</v>
      </c>
      <c r="E41" s="171"/>
      <c r="F41" s="71">
        <f t="shared" si="1"/>
        <v>0</v>
      </c>
      <c r="G41" s="71">
        <f t="shared" si="2"/>
        <v>4.345238095</v>
      </c>
      <c r="H41" s="71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3.5" customHeight="1">
      <c r="A42" s="38">
        <v>4.40448319E9</v>
      </c>
      <c r="B42" s="170" t="s">
        <v>271</v>
      </c>
      <c r="C42" s="171">
        <v>800.0</v>
      </c>
      <c r="D42" s="171">
        <v>56.0</v>
      </c>
      <c r="E42" s="171"/>
      <c r="F42" s="71">
        <f t="shared" si="1"/>
        <v>0</v>
      </c>
      <c r="G42" s="71">
        <f t="shared" si="2"/>
        <v>6.517857143</v>
      </c>
      <c r="H42" s="71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3.5" customHeight="1">
      <c r="A43" s="38">
        <v>3.005593322E9</v>
      </c>
      <c r="B43" s="170" t="s">
        <v>272</v>
      </c>
      <c r="C43" s="171">
        <v>100.0</v>
      </c>
      <c r="D43" s="171">
        <v>84.0</v>
      </c>
      <c r="E43" s="171"/>
      <c r="F43" s="71">
        <f t="shared" si="1"/>
        <v>0</v>
      </c>
      <c r="G43" s="71">
        <f t="shared" si="2"/>
        <v>4.345238095</v>
      </c>
      <c r="H43" s="71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3.5" customHeight="1">
      <c r="A44" s="38">
        <v>5.33616319E9</v>
      </c>
      <c r="B44" s="170" t="s">
        <v>273</v>
      </c>
      <c r="C44" s="171">
        <v>150.0</v>
      </c>
      <c r="D44" s="171">
        <v>84.0</v>
      </c>
      <c r="E44" s="171"/>
      <c r="F44" s="71">
        <f t="shared" si="1"/>
        <v>0</v>
      </c>
      <c r="G44" s="71">
        <f t="shared" si="2"/>
        <v>4.345238095</v>
      </c>
      <c r="H44" s="71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3.5" customHeight="1">
      <c r="A45" s="38">
        <v>6.75003619E9</v>
      </c>
      <c r="B45" s="170" t="s">
        <v>274</v>
      </c>
      <c r="C45" s="171">
        <v>100.0</v>
      </c>
      <c r="D45" s="171">
        <v>84.0</v>
      </c>
      <c r="E45" s="171"/>
      <c r="F45" s="71">
        <f t="shared" si="1"/>
        <v>0</v>
      </c>
      <c r="G45" s="71">
        <f t="shared" si="2"/>
        <v>4.345238095</v>
      </c>
      <c r="H45" s="71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3.5" customHeight="1">
      <c r="A46" s="38">
        <v>5.38541519E9</v>
      </c>
      <c r="B46" s="170" t="s">
        <v>275</v>
      </c>
      <c r="C46" s="171">
        <v>100.0</v>
      </c>
      <c r="D46" s="171">
        <v>28.0</v>
      </c>
      <c r="E46" s="171"/>
      <c r="F46" s="71">
        <f t="shared" si="1"/>
        <v>0</v>
      </c>
      <c r="G46" s="71">
        <f t="shared" si="2"/>
        <v>13.03571429</v>
      </c>
      <c r="H46" s="71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3.5" customHeight="1">
      <c r="A47" s="38">
        <v>7.52856619E9</v>
      </c>
      <c r="B47" s="170" t="s">
        <v>276</v>
      </c>
      <c r="C47" s="171">
        <v>350.0</v>
      </c>
      <c r="D47" s="171">
        <v>84.0</v>
      </c>
      <c r="E47" s="171"/>
      <c r="F47" s="71">
        <f t="shared" si="1"/>
        <v>0</v>
      </c>
      <c r="G47" s="71">
        <f t="shared" si="2"/>
        <v>4.345238095</v>
      </c>
      <c r="H47" s="71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3.5" customHeight="1">
      <c r="A48" s="38">
        <v>3.50734319E9</v>
      </c>
      <c r="B48" s="170" t="s">
        <v>277</v>
      </c>
      <c r="C48" s="171">
        <v>150.0</v>
      </c>
      <c r="D48" s="171">
        <v>84.0</v>
      </c>
      <c r="E48" s="171"/>
      <c r="F48" s="71">
        <f t="shared" si="1"/>
        <v>0</v>
      </c>
      <c r="G48" s="71">
        <f t="shared" si="2"/>
        <v>4.345238095</v>
      </c>
      <c r="H48" s="71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3.5" customHeight="1">
      <c r="A49" s="38">
        <v>5.97305819E9</v>
      </c>
      <c r="B49" s="170" t="s">
        <v>278</v>
      </c>
      <c r="C49" s="171">
        <v>150.0</v>
      </c>
      <c r="D49" s="171">
        <v>84.0</v>
      </c>
      <c r="E49" s="171"/>
      <c r="F49" s="71">
        <f t="shared" si="1"/>
        <v>0</v>
      </c>
      <c r="G49" s="71">
        <f t="shared" si="2"/>
        <v>4.345238095</v>
      </c>
      <c r="H49" s="71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3.5" customHeight="1">
      <c r="A50" s="38">
        <v>3.50743219E9</v>
      </c>
      <c r="B50" s="170" t="s">
        <v>279</v>
      </c>
      <c r="C50" s="171">
        <v>150.0</v>
      </c>
      <c r="D50" s="171">
        <v>84.0</v>
      </c>
      <c r="E50" s="171"/>
      <c r="F50" s="71">
        <f t="shared" si="1"/>
        <v>0</v>
      </c>
      <c r="G50" s="71">
        <f t="shared" si="2"/>
        <v>4.345238095</v>
      </c>
      <c r="H50" s="71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3.5" customHeight="1">
      <c r="A51" s="38">
        <v>3.50719019E9</v>
      </c>
      <c r="B51" s="170" t="s">
        <v>280</v>
      </c>
      <c r="C51" s="171">
        <v>150.0</v>
      </c>
      <c r="D51" s="171">
        <v>84.0</v>
      </c>
      <c r="E51" s="171"/>
      <c r="F51" s="71">
        <f t="shared" si="1"/>
        <v>0</v>
      </c>
      <c r="G51" s="71">
        <f t="shared" si="2"/>
        <v>4.345238095</v>
      </c>
      <c r="H51" s="71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3.5" customHeight="1">
      <c r="A52" s="38">
        <v>3.183696122E9</v>
      </c>
      <c r="B52" s="170" t="s">
        <v>281</v>
      </c>
      <c r="C52" s="171">
        <v>200.0</v>
      </c>
      <c r="D52" s="171">
        <v>42.0</v>
      </c>
      <c r="E52" s="171"/>
      <c r="F52" s="71">
        <f t="shared" si="1"/>
        <v>0</v>
      </c>
      <c r="G52" s="71">
        <f t="shared" si="2"/>
        <v>8.69047619</v>
      </c>
      <c r="H52" s="71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3.5" customHeight="1">
      <c r="A53" s="38">
        <v>6.74997619E9</v>
      </c>
      <c r="B53" s="170" t="s">
        <v>282</v>
      </c>
      <c r="C53" s="171">
        <v>100.0</v>
      </c>
      <c r="D53" s="171">
        <v>84.0</v>
      </c>
      <c r="E53" s="171"/>
      <c r="F53" s="71">
        <f t="shared" si="1"/>
        <v>0</v>
      </c>
      <c r="G53" s="71">
        <f t="shared" si="2"/>
        <v>4.345238095</v>
      </c>
      <c r="H53" s="71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3.5" customHeight="1">
      <c r="A54" s="38">
        <v>3.18370019E9</v>
      </c>
      <c r="B54" s="170" t="s">
        <v>283</v>
      </c>
      <c r="C54" s="171">
        <v>100.0</v>
      </c>
      <c r="D54" s="171">
        <v>84.0</v>
      </c>
      <c r="E54" s="171"/>
      <c r="F54" s="71">
        <f t="shared" si="1"/>
        <v>0</v>
      </c>
      <c r="G54" s="71">
        <f t="shared" si="2"/>
        <v>4.345238095</v>
      </c>
      <c r="H54" s="71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3.5" customHeight="1">
      <c r="A55" s="38">
        <v>6.74999219E9</v>
      </c>
      <c r="B55" s="170" t="s">
        <v>284</v>
      </c>
      <c r="C55" s="171">
        <v>100.0</v>
      </c>
      <c r="D55" s="171">
        <v>84.0</v>
      </c>
      <c r="E55" s="171"/>
      <c r="F55" s="71">
        <f t="shared" si="1"/>
        <v>0</v>
      </c>
      <c r="G55" s="71">
        <f t="shared" si="2"/>
        <v>4.345238095</v>
      </c>
      <c r="H55" s="71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3.5" customHeight="1">
      <c r="A56" s="38">
        <v>3.004732122E9</v>
      </c>
      <c r="B56" s="170" t="s">
        <v>285</v>
      </c>
      <c r="C56" s="171">
        <v>300.0</v>
      </c>
      <c r="D56" s="171">
        <v>84.0</v>
      </c>
      <c r="E56" s="171"/>
      <c r="F56" s="71">
        <f t="shared" si="1"/>
        <v>0</v>
      </c>
      <c r="G56" s="71">
        <f t="shared" si="2"/>
        <v>4.345238095</v>
      </c>
      <c r="H56" s="71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3.5" customHeight="1">
      <c r="A57" s="38">
        <v>7.00571719E9</v>
      </c>
      <c r="B57" s="170" t="s">
        <v>286</v>
      </c>
      <c r="C57" s="171">
        <v>200.0</v>
      </c>
      <c r="D57" s="171">
        <v>84.0</v>
      </c>
      <c r="E57" s="171"/>
      <c r="F57" s="71">
        <f t="shared" si="1"/>
        <v>0</v>
      </c>
      <c r="G57" s="71">
        <f t="shared" si="2"/>
        <v>4.345238095</v>
      </c>
      <c r="H57" s="71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3.5" customHeight="1">
      <c r="A58" s="38">
        <v>3.029590322E9</v>
      </c>
      <c r="B58" s="170" t="s">
        <v>287</v>
      </c>
      <c r="C58" s="171">
        <v>200.0</v>
      </c>
      <c r="D58" s="171">
        <v>28.0</v>
      </c>
      <c r="E58" s="171"/>
      <c r="F58" s="71">
        <f t="shared" si="1"/>
        <v>0</v>
      </c>
      <c r="G58" s="71">
        <f t="shared" si="2"/>
        <v>13.03571429</v>
      </c>
      <c r="H58" s="71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3.5" customHeight="1">
      <c r="A59" s="38">
        <v>5.85262519E9</v>
      </c>
      <c r="B59" s="170" t="s">
        <v>288</v>
      </c>
      <c r="C59" s="171">
        <v>150.0</v>
      </c>
      <c r="D59" s="171">
        <v>42.0</v>
      </c>
      <c r="E59" s="171"/>
      <c r="F59" s="71">
        <f t="shared" si="1"/>
        <v>0</v>
      </c>
      <c r="G59" s="71">
        <f t="shared" si="2"/>
        <v>8.69047619</v>
      </c>
      <c r="H59" s="71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3.5" customHeight="1">
      <c r="A60" s="38">
        <v>6.48164719E9</v>
      </c>
      <c r="B60" s="170" t="s">
        <v>289</v>
      </c>
      <c r="C60" s="171">
        <v>250.0</v>
      </c>
      <c r="D60" s="171">
        <v>84.0</v>
      </c>
      <c r="E60" s="171"/>
      <c r="F60" s="71">
        <f t="shared" si="1"/>
        <v>0</v>
      </c>
      <c r="G60" s="71">
        <f t="shared" si="2"/>
        <v>4.345238095</v>
      </c>
      <c r="H60" s="71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3.5" customHeight="1">
      <c r="A61" s="38" t="s">
        <v>290</v>
      </c>
      <c r="B61" s="4" t="s">
        <v>291</v>
      </c>
      <c r="C61" s="171">
        <v>150.0</v>
      </c>
      <c r="D61" s="171">
        <v>56.0</v>
      </c>
      <c r="E61" s="171"/>
      <c r="F61" s="71">
        <f t="shared" si="1"/>
        <v>0</v>
      </c>
      <c r="G61" s="71">
        <f t="shared" si="2"/>
        <v>6.517857143</v>
      </c>
      <c r="H61" s="71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3.5" customHeight="1">
      <c r="A62" s="38">
        <v>3.183793122E9</v>
      </c>
      <c r="B62" s="170" t="s">
        <v>292</v>
      </c>
      <c r="C62" s="171">
        <v>250.0</v>
      </c>
      <c r="D62" s="171">
        <v>84.0</v>
      </c>
      <c r="E62" s="171"/>
      <c r="F62" s="71">
        <f t="shared" si="1"/>
        <v>0</v>
      </c>
      <c r="G62" s="71">
        <f t="shared" si="2"/>
        <v>4.345238095</v>
      </c>
      <c r="H62" s="71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3.5" customHeight="1">
      <c r="A63" s="38">
        <v>2.0764655322E10</v>
      </c>
      <c r="B63" s="170" t="s">
        <v>293</v>
      </c>
      <c r="C63" s="171">
        <v>100.0</v>
      </c>
      <c r="D63" s="171">
        <v>56.0</v>
      </c>
      <c r="E63" s="171"/>
      <c r="F63" s="71">
        <f t="shared" si="1"/>
        <v>0</v>
      </c>
      <c r="G63" s="71">
        <f t="shared" si="2"/>
        <v>6.517857143</v>
      </c>
      <c r="H63" s="71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3.5" customHeight="1">
      <c r="A64" s="38">
        <v>2.0764574322E10</v>
      </c>
      <c r="B64" s="170" t="s">
        <v>294</v>
      </c>
      <c r="C64" s="171">
        <v>100.0</v>
      </c>
      <c r="D64" s="171">
        <v>56.0</v>
      </c>
      <c r="E64" s="171"/>
      <c r="F64" s="71">
        <f t="shared" si="1"/>
        <v>0</v>
      </c>
      <c r="G64" s="71">
        <f t="shared" si="2"/>
        <v>6.517857143</v>
      </c>
      <c r="H64" s="71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3.5" customHeight="1">
      <c r="A65" s="38">
        <v>7.22784119E9</v>
      </c>
      <c r="B65" s="170" t="s">
        <v>295</v>
      </c>
      <c r="C65" s="171">
        <v>100.0</v>
      </c>
      <c r="D65" s="171">
        <v>182.0</v>
      </c>
      <c r="E65" s="171"/>
      <c r="F65" s="71">
        <f t="shared" si="1"/>
        <v>0</v>
      </c>
      <c r="G65" s="71">
        <f t="shared" si="2"/>
        <v>2.005494505</v>
      </c>
      <c r="H65" s="71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3.5" customHeight="1">
      <c r="A66" s="38">
        <v>4.49100919E9</v>
      </c>
      <c r="B66" s="170" t="s">
        <v>296</v>
      </c>
      <c r="C66" s="171">
        <v>200.0</v>
      </c>
      <c r="D66" s="171">
        <v>56.0</v>
      </c>
      <c r="E66" s="171"/>
      <c r="F66" s="71">
        <f t="shared" si="1"/>
        <v>0</v>
      </c>
      <c r="G66" s="71">
        <f t="shared" si="2"/>
        <v>6.517857143</v>
      </c>
      <c r="H66" s="71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3.5" customHeight="1">
      <c r="A67" s="38">
        <v>3.18373419E9</v>
      </c>
      <c r="B67" s="170" t="s">
        <v>297</v>
      </c>
      <c r="C67" s="171">
        <v>300.0</v>
      </c>
      <c r="D67" s="171">
        <v>28.0</v>
      </c>
      <c r="E67" s="171"/>
      <c r="F67" s="71">
        <f t="shared" si="1"/>
        <v>0</v>
      </c>
      <c r="G67" s="71">
        <f t="shared" si="2"/>
        <v>13.03571429</v>
      </c>
      <c r="H67" s="71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3.5" customHeight="1">
      <c r="A68" s="38">
        <v>3.33382519E9</v>
      </c>
      <c r="B68" s="170" t="s">
        <v>298</v>
      </c>
      <c r="C68" s="171">
        <v>150.0</v>
      </c>
      <c r="D68" s="171">
        <v>84.0</v>
      </c>
      <c r="E68" s="171"/>
      <c r="F68" s="71">
        <f t="shared" si="1"/>
        <v>0</v>
      </c>
      <c r="G68" s="71">
        <f t="shared" si="2"/>
        <v>4.345238095</v>
      </c>
      <c r="H68" s="71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3.5" customHeight="1">
      <c r="A69" s="38">
        <v>2.0767107322E10</v>
      </c>
      <c r="B69" s="170" t="s">
        <v>299</v>
      </c>
      <c r="C69" s="171">
        <v>250.0</v>
      </c>
      <c r="D69" s="171">
        <v>56.0</v>
      </c>
      <c r="E69" s="171"/>
      <c r="F69" s="71">
        <f t="shared" si="1"/>
        <v>0</v>
      </c>
      <c r="G69" s="71">
        <f t="shared" si="2"/>
        <v>6.517857143</v>
      </c>
      <c r="H69" s="71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3.5" customHeight="1">
      <c r="A70" s="38">
        <v>3.015050122E9</v>
      </c>
      <c r="B70" s="170" t="s">
        <v>300</v>
      </c>
      <c r="C70" s="171">
        <v>100.0</v>
      </c>
      <c r="D70" s="171">
        <v>56.0</v>
      </c>
      <c r="E70" s="171"/>
      <c r="F70" s="71">
        <f t="shared" si="1"/>
        <v>0</v>
      </c>
      <c r="G70" s="71">
        <f t="shared" si="2"/>
        <v>6.517857143</v>
      </c>
      <c r="H70" s="71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3.5" customHeight="1">
      <c r="A71" s="38">
        <v>3.18380719E9</v>
      </c>
      <c r="B71" s="170" t="s">
        <v>301</v>
      </c>
      <c r="C71" s="171">
        <v>400.0</v>
      </c>
      <c r="D71" s="171">
        <v>56.0</v>
      </c>
      <c r="E71" s="171"/>
      <c r="F71" s="71">
        <f t="shared" si="1"/>
        <v>0</v>
      </c>
      <c r="G71" s="71">
        <f t="shared" si="2"/>
        <v>6.517857143</v>
      </c>
      <c r="H71" s="71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3.5" customHeight="1">
      <c r="A72" s="38">
        <v>4.53635519E9</v>
      </c>
      <c r="B72" s="170" t="s">
        <v>302</v>
      </c>
      <c r="C72" s="171">
        <v>100.0</v>
      </c>
      <c r="D72" s="171">
        <v>56.0</v>
      </c>
      <c r="E72" s="171"/>
      <c r="F72" s="71">
        <f t="shared" si="1"/>
        <v>0</v>
      </c>
      <c r="G72" s="71">
        <f t="shared" si="2"/>
        <v>6.517857143</v>
      </c>
      <c r="H72" s="71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3.5" customHeight="1">
      <c r="A73" s="75">
        <v>4.46071519E9</v>
      </c>
      <c r="B73" s="173" t="s">
        <v>303</v>
      </c>
      <c r="C73" s="172">
        <v>500.0</v>
      </c>
      <c r="D73" s="172">
        <v>56.0</v>
      </c>
      <c r="E73" s="171"/>
      <c r="F73" s="76">
        <f t="shared" si="1"/>
        <v>0</v>
      </c>
      <c r="G73" s="76">
        <f t="shared" si="2"/>
        <v>6.517857143</v>
      </c>
      <c r="H73" s="71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3.5" customHeight="1">
      <c r="A74" s="174"/>
      <c r="B74" s="174"/>
      <c r="C74" s="175"/>
      <c r="D74" s="176" t="s">
        <v>208</v>
      </c>
      <c r="E74" s="141">
        <f>SUM(E9:E73)</f>
        <v>0</v>
      </c>
      <c r="F74" s="141"/>
      <c r="G74" s="141"/>
      <c r="H74" s="141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3.5" customHeight="1">
      <c r="A75" s="165"/>
      <c r="B75" s="165" t="s">
        <v>304</v>
      </c>
      <c r="C75" s="165"/>
      <c r="D75" s="165" t="s">
        <v>136</v>
      </c>
      <c r="E75" s="167"/>
      <c r="F75" s="168" t="s">
        <v>138</v>
      </c>
      <c r="G75" s="168" t="s">
        <v>139</v>
      </c>
      <c r="H75" s="169" t="s">
        <v>140</v>
      </c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3.5" customHeight="1">
      <c r="A76" s="38">
        <v>2.075199519E10</v>
      </c>
      <c r="B76" s="69" t="s">
        <v>214</v>
      </c>
      <c r="C76" s="38">
        <v>2.0</v>
      </c>
      <c r="D76" s="38">
        <v>56.0</v>
      </c>
      <c r="E76" s="38"/>
      <c r="F76" s="38"/>
      <c r="G76" s="76">
        <f t="shared" ref="G76:G94" si="3">(365/D76)/C76</f>
        <v>3.258928571</v>
      </c>
      <c r="H76" s="38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3.5" customHeight="1">
      <c r="A77" s="38">
        <v>4.97590119E9</v>
      </c>
      <c r="B77" s="69" t="s">
        <v>305</v>
      </c>
      <c r="C77" s="38">
        <v>1.0</v>
      </c>
      <c r="D77" s="38"/>
      <c r="E77" s="38"/>
      <c r="F77" s="38"/>
      <c r="G77" s="76" t="str">
        <f t="shared" si="3"/>
        <v>#DIV/0!</v>
      </c>
      <c r="H77" s="38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3.5" customHeight="1">
      <c r="A78" s="38">
        <v>3.55594119E9</v>
      </c>
      <c r="B78" s="69" t="s">
        <v>306</v>
      </c>
      <c r="C78" s="38">
        <v>3.0</v>
      </c>
      <c r="D78" s="38">
        <v>14.0</v>
      </c>
      <c r="E78" s="38"/>
      <c r="F78" s="38"/>
      <c r="G78" s="76">
        <f t="shared" si="3"/>
        <v>8.69047619</v>
      </c>
      <c r="H78" s="38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3.5" customHeight="1">
      <c r="A79" s="38">
        <v>1.075935019E10</v>
      </c>
      <c r="B79" s="69" t="s">
        <v>307</v>
      </c>
      <c r="C79" s="38">
        <v>12.0</v>
      </c>
      <c r="D79" s="38">
        <v>28.0</v>
      </c>
      <c r="E79" s="38"/>
      <c r="F79" s="38"/>
      <c r="G79" s="76">
        <f t="shared" si="3"/>
        <v>1.086309524</v>
      </c>
      <c r="H79" s="38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3.5" customHeight="1">
      <c r="A80" s="38">
        <v>1.1447394216E10</v>
      </c>
      <c r="B80" s="69" t="s">
        <v>308</v>
      </c>
      <c r="C80" s="38">
        <v>3.0</v>
      </c>
      <c r="D80" s="38">
        <v>28.0</v>
      </c>
      <c r="E80" s="38"/>
      <c r="F80" s="38"/>
      <c r="G80" s="76">
        <f t="shared" si="3"/>
        <v>4.345238095</v>
      </c>
      <c r="H80" s="38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3.5" customHeight="1">
      <c r="A81" s="38">
        <v>6.53385019E9</v>
      </c>
      <c r="B81" s="69" t="s">
        <v>309</v>
      </c>
      <c r="C81" s="38">
        <v>3.0</v>
      </c>
      <c r="D81" s="38">
        <v>14.0</v>
      </c>
      <c r="E81" s="38"/>
      <c r="F81" s="38"/>
      <c r="G81" s="76">
        <f t="shared" si="3"/>
        <v>8.69047619</v>
      </c>
      <c r="H81" s="38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3.5" customHeight="1">
      <c r="A82" s="38">
        <v>1.2172623122E10</v>
      </c>
      <c r="B82" s="69" t="s">
        <v>310</v>
      </c>
      <c r="C82" s="38">
        <v>3.0</v>
      </c>
      <c r="D82" s="38">
        <v>28.0</v>
      </c>
      <c r="E82" s="38"/>
      <c r="F82" s="38"/>
      <c r="G82" s="76">
        <f t="shared" si="3"/>
        <v>4.345238095</v>
      </c>
      <c r="H82" s="38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3.5" customHeight="1">
      <c r="A83" s="38">
        <v>1.1355279216E10</v>
      </c>
      <c r="B83" s="69" t="s">
        <v>311</v>
      </c>
      <c r="C83" s="38">
        <v>5.0</v>
      </c>
      <c r="D83" s="38">
        <v>28.0</v>
      </c>
      <c r="E83" s="38"/>
      <c r="F83" s="38"/>
      <c r="G83" s="76">
        <f t="shared" si="3"/>
        <v>2.607142857</v>
      </c>
      <c r="H83" s="38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3.5" customHeight="1">
      <c r="A84" s="38">
        <v>8.75377619E9</v>
      </c>
      <c r="B84" s="69" t="s">
        <v>312</v>
      </c>
      <c r="C84" s="38">
        <v>3.0</v>
      </c>
      <c r="D84" s="38">
        <v>28.0</v>
      </c>
      <c r="E84" s="38"/>
      <c r="F84" s="38"/>
      <c r="G84" s="76">
        <f t="shared" si="3"/>
        <v>4.345238095</v>
      </c>
      <c r="H84" s="38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3.5" customHeight="1">
      <c r="A85" s="38">
        <v>8.04754519E9</v>
      </c>
      <c r="B85" s="69" t="s">
        <v>313</v>
      </c>
      <c r="C85" s="38">
        <v>2.0</v>
      </c>
      <c r="D85" s="38">
        <v>84.0</v>
      </c>
      <c r="E85" s="38"/>
      <c r="F85" s="38"/>
      <c r="G85" s="76">
        <f t="shared" si="3"/>
        <v>2.172619048</v>
      </c>
      <c r="H85" s="38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3.5" customHeight="1">
      <c r="A86" s="38">
        <v>4.52841719E9</v>
      </c>
      <c r="B86" s="69" t="s">
        <v>314</v>
      </c>
      <c r="C86" s="38">
        <v>3.0</v>
      </c>
      <c r="D86" s="38">
        <v>84.0</v>
      </c>
      <c r="E86" s="38"/>
      <c r="F86" s="38"/>
      <c r="G86" s="76">
        <f t="shared" si="3"/>
        <v>1.448412698</v>
      </c>
      <c r="H86" s="38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3.5" customHeight="1">
      <c r="A87" s="38">
        <v>3.121305122E9</v>
      </c>
      <c r="B87" s="69" t="s">
        <v>315</v>
      </c>
      <c r="C87" s="38">
        <v>5.0</v>
      </c>
      <c r="D87" s="38">
        <v>28.0</v>
      </c>
      <c r="E87" s="38"/>
      <c r="F87" s="38"/>
      <c r="G87" s="76">
        <f t="shared" si="3"/>
        <v>2.607142857</v>
      </c>
      <c r="H87" s="38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3.5" customHeight="1">
      <c r="A88" s="38">
        <v>5.05090119E9</v>
      </c>
      <c r="B88" s="69" t="s">
        <v>316</v>
      </c>
      <c r="C88" s="38">
        <v>1.0</v>
      </c>
      <c r="D88" s="38">
        <v>84.0</v>
      </c>
      <c r="E88" s="38"/>
      <c r="F88" s="38"/>
      <c r="G88" s="76">
        <f t="shared" si="3"/>
        <v>4.345238095</v>
      </c>
      <c r="H88" s="38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3.5" customHeight="1">
      <c r="A89" s="38">
        <v>1.2146401216E10</v>
      </c>
      <c r="B89" s="69" t="s">
        <v>317</v>
      </c>
      <c r="C89" s="38">
        <v>1.0</v>
      </c>
      <c r="D89" s="38">
        <v>360.0</v>
      </c>
      <c r="E89" s="38"/>
      <c r="F89" s="38"/>
      <c r="G89" s="76">
        <f t="shared" si="3"/>
        <v>1.013888889</v>
      </c>
      <c r="H89" s="38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3.5" customHeight="1">
      <c r="A90" s="38">
        <v>5.38550419E9</v>
      </c>
      <c r="B90" s="69" t="s">
        <v>318</v>
      </c>
      <c r="C90" s="38">
        <v>2.0</v>
      </c>
      <c r="D90" s="38">
        <v>28.0</v>
      </c>
      <c r="E90" s="38"/>
      <c r="F90" s="38"/>
      <c r="G90" s="76">
        <f t="shared" si="3"/>
        <v>6.517857143</v>
      </c>
      <c r="H90" s="38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3.5" customHeight="1">
      <c r="A91" s="38">
        <v>1.1098993122E10</v>
      </c>
      <c r="B91" s="69" t="s">
        <v>319</v>
      </c>
      <c r="C91" s="38">
        <v>3.0</v>
      </c>
      <c r="D91" s="38">
        <v>28.0</v>
      </c>
      <c r="E91" s="38"/>
      <c r="F91" s="38"/>
      <c r="G91" s="76">
        <f t="shared" si="3"/>
        <v>4.345238095</v>
      </c>
      <c r="H91" s="38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3.5" customHeight="1">
      <c r="A92" s="38">
        <v>3.30467119E9</v>
      </c>
      <c r="B92" s="69" t="s">
        <v>320</v>
      </c>
      <c r="C92" s="38">
        <v>1.0</v>
      </c>
      <c r="D92" s="38">
        <v>60.0</v>
      </c>
      <c r="E92" s="38"/>
      <c r="F92" s="38"/>
      <c r="G92" s="76">
        <f t="shared" si="3"/>
        <v>6.083333333</v>
      </c>
      <c r="H92" s="38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3.5" customHeight="1">
      <c r="A93" s="38">
        <v>5.85264119E9</v>
      </c>
      <c r="B93" s="69" t="s">
        <v>321</v>
      </c>
      <c r="C93" s="38">
        <v>1.0</v>
      </c>
      <c r="D93" s="38">
        <v>14.0</v>
      </c>
      <c r="E93" s="38"/>
      <c r="F93" s="38"/>
      <c r="G93" s="76">
        <f t="shared" si="3"/>
        <v>26.07142857</v>
      </c>
      <c r="H93" s="38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3.5" customHeight="1">
      <c r="A94" s="38">
        <v>1.2172828322E10</v>
      </c>
      <c r="B94" s="69" t="s">
        <v>322</v>
      </c>
      <c r="C94" s="38">
        <v>1.0</v>
      </c>
      <c r="D94" s="38">
        <v>30.0</v>
      </c>
      <c r="E94" s="38"/>
      <c r="F94" s="38"/>
      <c r="G94" s="76">
        <f t="shared" si="3"/>
        <v>12.16666667</v>
      </c>
      <c r="H94" s="38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3.5" customHeight="1">
      <c r="A95" s="165"/>
      <c r="B95" s="165" t="s">
        <v>323</v>
      </c>
      <c r="C95" s="165" t="s">
        <v>324</v>
      </c>
      <c r="D95" s="165" t="s">
        <v>136</v>
      </c>
      <c r="E95" s="167"/>
      <c r="F95" s="168" t="s">
        <v>138</v>
      </c>
      <c r="G95" s="168" t="s">
        <v>139</v>
      </c>
      <c r="H95" s="169" t="s">
        <v>140</v>
      </c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3.5" customHeight="1">
      <c r="A96" s="38">
        <v>2.075240119E10</v>
      </c>
      <c r="B96" s="69" t="s">
        <v>325</v>
      </c>
      <c r="C96" s="38">
        <v>5.0</v>
      </c>
      <c r="D96" s="38">
        <v>56.0</v>
      </c>
      <c r="E96" s="38"/>
      <c r="F96" s="38"/>
      <c r="G96" s="76">
        <f t="shared" ref="G96:G112" si="4">(365/D96)/C96</f>
        <v>1.303571429</v>
      </c>
      <c r="H96" s="38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3.5" customHeight="1">
      <c r="A97" s="38">
        <v>2.075300919E10</v>
      </c>
      <c r="B97" s="69" t="s">
        <v>326</v>
      </c>
      <c r="C97" s="38">
        <v>5.0</v>
      </c>
      <c r="D97" s="38">
        <v>56.0</v>
      </c>
      <c r="E97" s="38"/>
      <c r="F97" s="38"/>
      <c r="G97" s="76">
        <f t="shared" si="4"/>
        <v>1.303571429</v>
      </c>
      <c r="H97" s="38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3.5" customHeight="1">
      <c r="A98" s="38">
        <v>8.36278519E9</v>
      </c>
      <c r="B98" s="69" t="s">
        <v>327</v>
      </c>
      <c r="C98" s="38">
        <v>2.0</v>
      </c>
      <c r="D98" s="38">
        <v>84.0</v>
      </c>
      <c r="E98" s="38"/>
      <c r="F98" s="38"/>
      <c r="G98" s="76">
        <f t="shared" si="4"/>
        <v>2.172619048</v>
      </c>
      <c r="H98" s="38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3.5" customHeight="1">
      <c r="A99" s="38">
        <v>8.27820219E9</v>
      </c>
      <c r="B99" s="69" t="s">
        <v>328</v>
      </c>
      <c r="C99" s="38">
        <v>3.0</v>
      </c>
      <c r="D99" s="38">
        <v>28.0</v>
      </c>
      <c r="E99" s="38"/>
      <c r="F99" s="38"/>
      <c r="G99" s="76">
        <f t="shared" si="4"/>
        <v>4.345238095</v>
      </c>
      <c r="H99" s="38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3.5" customHeight="1">
      <c r="A100" s="38">
        <v>6.72937119E9</v>
      </c>
      <c r="B100" s="69" t="s">
        <v>329</v>
      </c>
      <c r="C100" s="38">
        <v>3.0</v>
      </c>
      <c r="D100" s="38">
        <v>30.0</v>
      </c>
      <c r="E100" s="38"/>
      <c r="F100" s="38"/>
      <c r="G100" s="76">
        <f t="shared" si="4"/>
        <v>4.055555556</v>
      </c>
      <c r="H100" s="38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3.5" customHeight="1">
      <c r="A101" s="38">
        <v>5.05093619E9</v>
      </c>
      <c r="B101" s="69" t="s">
        <v>330</v>
      </c>
      <c r="C101" s="38">
        <v>2.0</v>
      </c>
      <c r="D101" s="38">
        <v>84.0</v>
      </c>
      <c r="E101" s="38"/>
      <c r="F101" s="38"/>
      <c r="G101" s="76">
        <f t="shared" si="4"/>
        <v>2.172619048</v>
      </c>
      <c r="H101" s="38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3.5" customHeight="1">
      <c r="A102" s="38">
        <v>5.14242319E9</v>
      </c>
      <c r="B102" s="69" t="s">
        <v>331</v>
      </c>
      <c r="C102" s="38">
        <v>2.0</v>
      </c>
      <c r="D102" s="38">
        <v>28.0</v>
      </c>
      <c r="E102" s="38"/>
      <c r="F102" s="38"/>
      <c r="G102" s="76">
        <f t="shared" si="4"/>
        <v>6.517857143</v>
      </c>
      <c r="H102" s="38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3.5" customHeight="1">
      <c r="A103" s="38">
        <v>5.94762619E9</v>
      </c>
      <c r="B103" s="69" t="s">
        <v>332</v>
      </c>
      <c r="C103" s="38">
        <v>4.0</v>
      </c>
      <c r="D103" s="38">
        <v>14.0</v>
      </c>
      <c r="E103" s="38"/>
      <c r="F103" s="38"/>
      <c r="G103" s="76">
        <f t="shared" si="4"/>
        <v>6.517857143</v>
      </c>
      <c r="H103" s="38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3.5" customHeight="1">
      <c r="A104" s="38">
        <v>5.94777419E9</v>
      </c>
      <c r="B104" s="69" t="s">
        <v>333</v>
      </c>
      <c r="C104" s="38">
        <v>4.0</v>
      </c>
      <c r="D104" s="38">
        <v>14.0</v>
      </c>
      <c r="E104" s="38"/>
      <c r="F104" s="38"/>
      <c r="G104" s="76">
        <f t="shared" si="4"/>
        <v>6.517857143</v>
      </c>
      <c r="H104" s="38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3.5" customHeight="1">
      <c r="A105" s="38">
        <v>5.47920719E9</v>
      </c>
      <c r="B105" s="69" t="s">
        <v>334</v>
      </c>
      <c r="C105" s="38">
        <v>4.0</v>
      </c>
      <c r="D105" s="38">
        <v>28.0</v>
      </c>
      <c r="E105" s="38"/>
      <c r="F105" s="38"/>
      <c r="G105" s="76">
        <f t="shared" si="4"/>
        <v>3.258928571</v>
      </c>
      <c r="H105" s="38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3.5" customHeight="1">
      <c r="A106" s="38">
        <v>5.91250419E9</v>
      </c>
      <c r="B106" s="69" t="s">
        <v>335</v>
      </c>
      <c r="C106" s="38">
        <v>4.0</v>
      </c>
      <c r="D106" s="38">
        <v>28.0</v>
      </c>
      <c r="E106" s="38"/>
      <c r="F106" s="38"/>
      <c r="G106" s="76">
        <f t="shared" si="4"/>
        <v>3.258928571</v>
      </c>
      <c r="H106" s="38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3.5" customHeight="1">
      <c r="A107" s="38">
        <v>5.85265019E9</v>
      </c>
      <c r="B107" s="69" t="s">
        <v>336</v>
      </c>
      <c r="C107" s="38">
        <v>2.0</v>
      </c>
      <c r="D107" s="38">
        <v>14.0</v>
      </c>
      <c r="E107" s="38"/>
      <c r="F107" s="38"/>
      <c r="G107" s="76">
        <f t="shared" si="4"/>
        <v>13.03571429</v>
      </c>
      <c r="H107" s="38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3.5" customHeight="1">
      <c r="A108" s="38">
        <v>1.1098985122E10</v>
      </c>
      <c r="B108" s="69" t="s">
        <v>337</v>
      </c>
      <c r="C108" s="38">
        <v>3.0</v>
      </c>
      <c r="D108" s="38">
        <v>28.0</v>
      </c>
      <c r="E108" s="38"/>
      <c r="F108" s="38"/>
      <c r="G108" s="76">
        <f t="shared" si="4"/>
        <v>4.345238095</v>
      </c>
      <c r="H108" s="38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3.5" customHeight="1">
      <c r="A109" s="38">
        <v>3.121313122E9</v>
      </c>
      <c r="B109" s="69" t="s">
        <v>338</v>
      </c>
      <c r="C109" s="38">
        <v>4.0</v>
      </c>
      <c r="D109" s="38">
        <v>28.0</v>
      </c>
      <c r="E109" s="38"/>
      <c r="F109" s="38"/>
      <c r="G109" s="76">
        <f t="shared" si="4"/>
        <v>3.258928571</v>
      </c>
      <c r="H109" s="38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3.5" customHeight="1">
      <c r="A110" s="38">
        <v>1.1174118122E10</v>
      </c>
      <c r="B110" s="69" t="s">
        <v>339</v>
      </c>
      <c r="C110" s="38">
        <v>3.0</v>
      </c>
      <c r="D110" s="38">
        <v>28.0</v>
      </c>
      <c r="E110" s="38"/>
      <c r="F110" s="38"/>
      <c r="G110" s="76">
        <f t="shared" si="4"/>
        <v>4.345238095</v>
      </c>
      <c r="H110" s="38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3.5" customHeight="1">
      <c r="A111" s="38">
        <v>3.121291122E9</v>
      </c>
      <c r="B111" s="69" t="s">
        <v>340</v>
      </c>
      <c r="C111" s="38">
        <v>4.0</v>
      </c>
      <c r="D111" s="38">
        <v>28.0</v>
      </c>
      <c r="E111" s="38"/>
      <c r="F111" s="38"/>
      <c r="G111" s="76">
        <f t="shared" si="4"/>
        <v>3.258928571</v>
      </c>
      <c r="H111" s="38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3.5" customHeight="1">
      <c r="A112" s="38">
        <v>3.005496122E9</v>
      </c>
      <c r="B112" s="69" t="s">
        <v>341</v>
      </c>
      <c r="C112" s="38">
        <v>4.0</v>
      </c>
      <c r="D112" s="38">
        <v>30.0</v>
      </c>
      <c r="E112" s="38"/>
      <c r="F112" s="38"/>
      <c r="G112" s="76">
        <f t="shared" si="4"/>
        <v>3.041666667</v>
      </c>
      <c r="H112" s="38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3.5" customHeight="1">
      <c r="A113" s="165"/>
      <c r="B113" s="165" t="s">
        <v>224</v>
      </c>
      <c r="C113" s="165" t="s">
        <v>324</v>
      </c>
      <c r="D113" s="165" t="s">
        <v>136</v>
      </c>
      <c r="E113" s="167"/>
      <c r="F113" s="168" t="s">
        <v>138</v>
      </c>
      <c r="G113" s="177" t="s">
        <v>139</v>
      </c>
      <c r="H113" s="169" t="s">
        <v>140</v>
      </c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3.5" customHeight="1">
      <c r="A114" s="38">
        <v>4.88028519E9</v>
      </c>
      <c r="B114" s="42" t="s">
        <v>342</v>
      </c>
      <c r="C114" s="38">
        <v>2.0</v>
      </c>
      <c r="D114" s="38">
        <v>70.0</v>
      </c>
      <c r="E114" s="38"/>
      <c r="F114" s="38"/>
      <c r="G114" s="71">
        <f t="shared" ref="G114:G128" si="5">(365/D114)/C114</f>
        <v>2.607142857</v>
      </c>
      <c r="H114" s="38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3.5" customHeight="1">
      <c r="A115" s="38">
        <v>4.88030719E9</v>
      </c>
      <c r="B115" s="42" t="s">
        <v>343</v>
      </c>
      <c r="C115" s="38">
        <v>2.0</v>
      </c>
      <c r="D115" s="38">
        <v>84.0</v>
      </c>
      <c r="E115" s="38"/>
      <c r="F115" s="38"/>
      <c r="G115" s="71">
        <f t="shared" si="5"/>
        <v>2.172619048</v>
      </c>
      <c r="H115" s="38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3.5" customHeight="1">
      <c r="A116" s="38">
        <v>4.444191001E9</v>
      </c>
      <c r="B116" s="69" t="s">
        <v>344</v>
      </c>
      <c r="C116" s="38">
        <v>1.0</v>
      </c>
      <c r="D116" s="38">
        <v>365.0</v>
      </c>
      <c r="E116" s="38"/>
      <c r="F116" s="38"/>
      <c r="G116" s="71">
        <f t="shared" si="5"/>
        <v>1</v>
      </c>
      <c r="H116" s="38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3.5" customHeight="1">
      <c r="A117" s="38">
        <v>4.555040001E9</v>
      </c>
      <c r="B117" s="69" t="s">
        <v>345</v>
      </c>
      <c r="C117" s="38">
        <v>3.0</v>
      </c>
      <c r="D117" s="38">
        <v>84.0</v>
      </c>
      <c r="E117" s="38"/>
      <c r="F117" s="38"/>
      <c r="G117" s="71">
        <f t="shared" si="5"/>
        <v>1.448412698</v>
      </c>
      <c r="H117" s="38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3.5" customHeight="1">
      <c r="A118" s="38">
        <v>5.42248519E9</v>
      </c>
      <c r="B118" s="42" t="s">
        <v>346</v>
      </c>
      <c r="C118" s="38">
        <v>1.0</v>
      </c>
      <c r="D118" s="38">
        <v>28.0</v>
      </c>
      <c r="E118" s="38"/>
      <c r="F118" s="38"/>
      <c r="G118" s="71">
        <f t="shared" si="5"/>
        <v>13.03571429</v>
      </c>
      <c r="H118" s="38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3.5" customHeight="1">
      <c r="A119" s="38">
        <v>4.554124001E9</v>
      </c>
      <c r="B119" s="42" t="s">
        <v>347</v>
      </c>
      <c r="C119" s="38">
        <v>1.0</v>
      </c>
      <c r="D119" s="38">
        <v>30.0</v>
      </c>
      <c r="E119" s="38"/>
      <c r="F119" s="38"/>
      <c r="G119" s="71">
        <f t="shared" si="5"/>
        <v>12.16666667</v>
      </c>
      <c r="H119" s="38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3.5" customHeight="1">
      <c r="A120" s="38">
        <v>4.516273001E9</v>
      </c>
      <c r="B120" s="42" t="s">
        <v>348</v>
      </c>
      <c r="C120" s="38">
        <v>1.0</v>
      </c>
      <c r="D120" s="38">
        <v>30.0</v>
      </c>
      <c r="E120" s="38"/>
      <c r="F120" s="38"/>
      <c r="G120" s="71">
        <f t="shared" si="5"/>
        <v>12.16666667</v>
      </c>
      <c r="H120" s="38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3.5" customHeight="1">
      <c r="A121" s="38">
        <v>4.516265001E9</v>
      </c>
      <c r="B121" s="42" t="s">
        <v>349</v>
      </c>
      <c r="C121" s="38">
        <v>1.0</v>
      </c>
      <c r="D121" s="38">
        <v>30.0</v>
      </c>
      <c r="E121" s="38"/>
      <c r="F121" s="38"/>
      <c r="G121" s="71">
        <f t="shared" si="5"/>
        <v>12.16666667</v>
      </c>
      <c r="H121" s="38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3.5" customHeight="1">
      <c r="A122" s="38">
        <v>4.52818219E9</v>
      </c>
      <c r="B122" s="42" t="s">
        <v>350</v>
      </c>
      <c r="C122" s="38">
        <v>1.0</v>
      </c>
      <c r="D122" s="38">
        <v>28.0</v>
      </c>
      <c r="E122" s="38"/>
      <c r="F122" s="38"/>
      <c r="G122" s="71">
        <f t="shared" si="5"/>
        <v>13.03571429</v>
      </c>
      <c r="H122" s="38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3.5" customHeight="1">
      <c r="A123" s="38">
        <v>4.813707001E9</v>
      </c>
      <c r="B123" s="42" t="s">
        <v>351</v>
      </c>
      <c r="C123" s="38">
        <v>1.0</v>
      </c>
      <c r="D123" s="38">
        <v>45.0</v>
      </c>
      <c r="E123" s="38"/>
      <c r="F123" s="38"/>
      <c r="G123" s="71">
        <f t="shared" si="5"/>
        <v>8.111111111</v>
      </c>
      <c r="H123" s="38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3.5" customHeight="1">
      <c r="A124" s="38">
        <v>4.516303001E9</v>
      </c>
      <c r="B124" s="42" t="s">
        <v>352</v>
      </c>
      <c r="C124" s="38">
        <v>1.0</v>
      </c>
      <c r="D124" s="38">
        <v>360.0</v>
      </c>
      <c r="E124" s="38"/>
      <c r="F124" s="38"/>
      <c r="G124" s="71">
        <f t="shared" si="5"/>
        <v>1.013888889</v>
      </c>
      <c r="H124" s="38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3.5" customHeight="1">
      <c r="A125" s="38">
        <v>4.70872519E9</v>
      </c>
      <c r="B125" s="42" t="s">
        <v>353</v>
      </c>
      <c r="C125" s="38">
        <v>12.0</v>
      </c>
      <c r="D125" s="38">
        <v>28.0</v>
      </c>
      <c r="E125" s="38"/>
      <c r="F125" s="38"/>
      <c r="G125" s="71">
        <f t="shared" si="5"/>
        <v>1.086309524</v>
      </c>
      <c r="H125" s="38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3.5" customHeight="1">
      <c r="A126" s="38">
        <v>4.48935719E9</v>
      </c>
      <c r="B126" s="42" t="s">
        <v>354</v>
      </c>
      <c r="C126" s="38">
        <v>1.0</v>
      </c>
      <c r="D126" s="38">
        <v>84.0</v>
      </c>
      <c r="E126" s="38"/>
      <c r="F126" s="38"/>
      <c r="G126" s="71">
        <f t="shared" si="5"/>
        <v>4.345238095</v>
      </c>
      <c r="H126" s="38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3.5" customHeight="1">
      <c r="A127" s="38">
        <v>4.48924119E9</v>
      </c>
      <c r="B127" s="42" t="s">
        <v>355</v>
      </c>
      <c r="C127" s="38">
        <v>1.0</v>
      </c>
      <c r="D127" s="38">
        <v>84.0</v>
      </c>
      <c r="E127" s="38"/>
      <c r="F127" s="38"/>
      <c r="G127" s="71">
        <f t="shared" si="5"/>
        <v>4.345238095</v>
      </c>
      <c r="H127" s="38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3.5" customHeight="1">
      <c r="A128" s="38">
        <v>4.48922519E9</v>
      </c>
      <c r="B128" s="42" t="s">
        <v>356</v>
      </c>
      <c r="C128" s="38">
        <v>1.0</v>
      </c>
      <c r="D128" s="38">
        <v>84.0</v>
      </c>
      <c r="E128" s="38"/>
      <c r="F128" s="38"/>
      <c r="G128" s="71">
        <f t="shared" si="5"/>
        <v>4.345238095</v>
      </c>
      <c r="H128" s="38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3.5" customHeight="1">
      <c r="A130" s="178" t="s">
        <v>357</v>
      </c>
      <c r="B130" s="179"/>
      <c r="C130" s="167" t="s">
        <v>237</v>
      </c>
      <c r="D130" s="165" t="s">
        <v>324</v>
      </c>
      <c r="E130" s="165" t="s">
        <v>136</v>
      </c>
      <c r="F130" s="167" t="s">
        <v>138</v>
      </c>
      <c r="G130" s="167" t="s">
        <v>139</v>
      </c>
      <c r="H130" s="167" t="s">
        <v>140</v>
      </c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3.5" customHeight="1">
      <c r="A131" s="42">
        <v>1.1183974216E10</v>
      </c>
      <c r="B131" s="42" t="s">
        <v>358</v>
      </c>
      <c r="C131" s="180"/>
      <c r="D131" s="38">
        <v>10.0</v>
      </c>
      <c r="E131" s="38">
        <v>1.0</v>
      </c>
      <c r="F131" s="38"/>
      <c r="G131" s="38">
        <f t="shared" ref="G131:G141" si="6">365/D131</f>
        <v>36.5</v>
      </c>
      <c r="H131" s="38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3.5" customHeight="1">
      <c r="A132" s="42">
        <v>1.1183982216E10</v>
      </c>
      <c r="B132" s="42" t="s">
        <v>359</v>
      </c>
      <c r="C132" s="159"/>
      <c r="D132" s="38">
        <v>10.0</v>
      </c>
      <c r="E132" s="38">
        <v>1.0</v>
      </c>
      <c r="F132" s="38"/>
      <c r="G132" s="38">
        <f t="shared" si="6"/>
        <v>36.5</v>
      </c>
      <c r="H132" s="38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3.5" customHeight="1">
      <c r="A133" s="42">
        <v>1.1298500316E10</v>
      </c>
      <c r="B133" s="42" t="s">
        <v>360</v>
      </c>
      <c r="C133" s="159"/>
      <c r="D133" s="38">
        <v>5.0</v>
      </c>
      <c r="E133" s="38">
        <v>74.0</v>
      </c>
      <c r="F133" s="38"/>
      <c r="G133" s="38">
        <f t="shared" si="6"/>
        <v>73</v>
      </c>
      <c r="H133" s="38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3.5" customHeight="1">
      <c r="A134" s="42">
        <v>4.66363219E9</v>
      </c>
      <c r="B134" s="42" t="s">
        <v>361</v>
      </c>
      <c r="C134" s="159"/>
      <c r="D134" s="38">
        <v>9.0</v>
      </c>
      <c r="E134" s="38">
        <v>28.0</v>
      </c>
      <c r="F134" s="71"/>
      <c r="G134" s="71">
        <f t="shared" si="6"/>
        <v>40.55555556</v>
      </c>
      <c r="H134" s="71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3.5" customHeight="1">
      <c r="A135" s="42">
        <v>4.52263019E9</v>
      </c>
      <c r="B135" s="42" t="s">
        <v>362</v>
      </c>
      <c r="C135" s="159"/>
      <c r="D135" s="38">
        <v>5.0</v>
      </c>
      <c r="E135" s="38">
        <v>14.0</v>
      </c>
      <c r="F135" s="71"/>
      <c r="G135" s="38">
        <f t="shared" si="6"/>
        <v>73</v>
      </c>
      <c r="H135" s="38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3.5" customHeight="1">
      <c r="A136" s="42">
        <v>4.52232019E9</v>
      </c>
      <c r="B136" s="42" t="s">
        <v>363</v>
      </c>
      <c r="C136" s="159"/>
      <c r="D136" s="38">
        <v>5.0</v>
      </c>
      <c r="E136" s="38">
        <v>14.0</v>
      </c>
      <c r="F136" s="38"/>
      <c r="G136" s="38">
        <f t="shared" si="6"/>
        <v>73</v>
      </c>
      <c r="H136" s="38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3.5" customHeight="1">
      <c r="A137" s="42">
        <v>1.1360981216E10</v>
      </c>
      <c r="B137" s="42" t="s">
        <v>364</v>
      </c>
      <c r="C137" s="159"/>
      <c r="D137" s="38">
        <v>5.0</v>
      </c>
      <c r="E137" s="38">
        <v>28.0</v>
      </c>
      <c r="F137" s="38"/>
      <c r="G137" s="38">
        <f t="shared" si="6"/>
        <v>73</v>
      </c>
      <c r="H137" s="38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3.5" customHeight="1">
      <c r="A138" s="42">
        <v>3.149501001E9</v>
      </c>
      <c r="B138" s="42" t="s">
        <v>365</v>
      </c>
      <c r="C138" s="159"/>
      <c r="D138" s="38">
        <v>1.0</v>
      </c>
      <c r="E138" s="38">
        <v>168.0</v>
      </c>
      <c r="F138" s="38"/>
      <c r="G138" s="38">
        <f t="shared" si="6"/>
        <v>365</v>
      </c>
      <c r="H138" s="38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3.5" customHeight="1">
      <c r="A139" s="42">
        <v>1.0825468001E10</v>
      </c>
      <c r="B139" s="42" t="s">
        <v>366</v>
      </c>
      <c r="C139" s="159"/>
      <c r="D139" s="38">
        <v>1.0</v>
      </c>
      <c r="E139" s="38">
        <v>56.0</v>
      </c>
      <c r="F139" s="38"/>
      <c r="G139" s="38">
        <f t="shared" si="6"/>
        <v>365</v>
      </c>
      <c r="H139" s="38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3.5" customHeight="1">
      <c r="A140" s="42">
        <v>1.0825441001E10</v>
      </c>
      <c r="B140" s="42" t="s">
        <v>367</v>
      </c>
      <c r="C140" s="159"/>
      <c r="D140" s="38">
        <v>1.0</v>
      </c>
      <c r="E140" s="38">
        <v>56.0</v>
      </c>
      <c r="F140" s="38"/>
      <c r="G140" s="38">
        <f t="shared" si="6"/>
        <v>365</v>
      </c>
      <c r="H140" s="38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3.5" customHeight="1">
      <c r="A141" s="42">
        <v>3.246353001E9</v>
      </c>
      <c r="B141" s="42" t="s">
        <v>368</v>
      </c>
      <c r="C141" s="159"/>
      <c r="D141" s="38">
        <v>1.0</v>
      </c>
      <c r="E141" s="38">
        <v>56.0</v>
      </c>
      <c r="F141" s="38"/>
      <c r="G141" s="38">
        <f t="shared" si="6"/>
        <v>365</v>
      </c>
      <c r="H141" s="38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3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3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3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3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3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3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3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3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3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3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3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3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3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3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3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3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3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3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3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3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3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3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3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3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3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3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3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3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3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3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3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3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3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3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3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3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3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3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3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3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3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3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3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3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3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3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3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3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3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3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3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3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3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3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3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3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3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3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3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3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3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3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3:F3"/>
    <mergeCell ref="A130:B130"/>
  </mergeCells>
  <conditionalFormatting sqref="A61:B61">
    <cfRule type="expression" dxfId="0" priority="1">
      <formula>#REF!&gt;0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2" width="30.0"/>
    <col customWidth="1" min="3" max="3" width="37.43"/>
    <col customWidth="1" min="4" max="4" width="8.0"/>
    <col customWidth="1" min="5" max="5" width="12.86"/>
    <col customWidth="1" min="6" max="6" width="15.29"/>
    <col customWidth="1" min="7" max="7" width="13.71"/>
  </cols>
  <sheetData>
    <row r="1" ht="15.75" customHeight="1">
      <c r="A1" s="57" t="s">
        <v>5</v>
      </c>
      <c r="D1" s="181"/>
      <c r="E1" s="181"/>
      <c r="F1" s="181"/>
      <c r="G1" s="181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5.75" customHeight="1">
      <c r="A2" s="57" t="s">
        <v>124</v>
      </c>
      <c r="D2" s="181"/>
      <c r="E2" s="181"/>
      <c r="F2" s="181"/>
      <c r="G2" s="181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15.75" customHeight="1">
      <c r="A3" s="57" t="s">
        <v>125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15.75" customHeight="1">
      <c r="A4" s="57" t="s">
        <v>127</v>
      </c>
      <c r="C4" s="4" t="s">
        <v>128</v>
      </c>
      <c r="E4" s="181"/>
      <c r="F4" s="181"/>
      <c r="G4" s="181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15.75" customHeight="1">
      <c r="A5" s="57" t="s">
        <v>129</v>
      </c>
      <c r="C5" s="4" t="s">
        <v>128</v>
      </c>
      <c r="E5" s="181"/>
      <c r="F5" s="181"/>
      <c r="G5" s="181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ht="15.75" customHeight="1">
      <c r="A6" s="182" t="s">
        <v>130</v>
      </c>
      <c r="B6" s="183" t="s">
        <v>369</v>
      </c>
      <c r="C6" s="184"/>
      <c r="D6" s="185"/>
      <c r="E6" s="185"/>
      <c r="F6" s="185"/>
      <c r="G6" s="185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15.75" customHeight="1">
      <c r="A7" s="16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86" t="s">
        <v>235</v>
      </c>
      <c r="B8" s="186" t="s">
        <v>236</v>
      </c>
      <c r="C8" s="186" t="s">
        <v>370</v>
      </c>
      <c r="D8" s="186" t="s">
        <v>135</v>
      </c>
      <c r="E8" s="186" t="s">
        <v>136</v>
      </c>
      <c r="F8" s="186" t="s">
        <v>237</v>
      </c>
      <c r="G8" s="186" t="s">
        <v>138</v>
      </c>
      <c r="H8" s="186" t="s">
        <v>139</v>
      </c>
      <c r="I8" s="186" t="s">
        <v>140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15.75" customHeight="1">
      <c r="A9" s="187">
        <v>8.94671019E9</v>
      </c>
      <c r="B9" s="42" t="s">
        <v>371</v>
      </c>
      <c r="C9" s="42" t="s">
        <v>372</v>
      </c>
      <c r="D9" s="38">
        <v>100.0</v>
      </c>
      <c r="E9" s="38">
        <v>84.0</v>
      </c>
      <c r="F9" s="188"/>
      <c r="G9" s="38">
        <f t="shared" ref="G9:G102" si="1">F9/D9</f>
        <v>0</v>
      </c>
      <c r="H9" s="71">
        <f t="shared" ref="H9:H102" si="2">(360/E9)</f>
        <v>4.285714286</v>
      </c>
      <c r="I9" s="42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15.75" customHeight="1">
      <c r="A10" s="187">
        <v>9.01506019E9</v>
      </c>
      <c r="B10" s="42" t="s">
        <v>373</v>
      </c>
      <c r="C10" s="42" t="s">
        <v>374</v>
      </c>
      <c r="D10" s="38">
        <v>100.0</v>
      </c>
      <c r="E10" s="38">
        <v>56.0</v>
      </c>
      <c r="F10" s="188"/>
      <c r="G10" s="38">
        <f t="shared" si="1"/>
        <v>0</v>
      </c>
      <c r="H10" s="71">
        <f t="shared" si="2"/>
        <v>6.428571429</v>
      </c>
      <c r="I10" s="42"/>
    </row>
    <row r="11" ht="15.75" customHeight="1">
      <c r="A11" s="187">
        <v>1.005951619E10</v>
      </c>
      <c r="B11" s="42" t="s">
        <v>375</v>
      </c>
      <c r="C11" s="42" t="s">
        <v>376</v>
      </c>
      <c r="D11" s="38">
        <v>100.0</v>
      </c>
      <c r="E11" s="38"/>
      <c r="F11" s="188"/>
      <c r="G11" s="38">
        <f t="shared" si="1"/>
        <v>0</v>
      </c>
      <c r="H11" s="71" t="str">
        <f t="shared" si="2"/>
        <v>#DIV/0!</v>
      </c>
      <c r="I11" s="42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t="15.75" customHeight="1">
      <c r="A12" s="187">
        <v>6.36859019E9</v>
      </c>
      <c r="B12" s="42" t="s">
        <v>377</v>
      </c>
      <c r="C12" s="42" t="s">
        <v>378</v>
      </c>
      <c r="D12" s="38">
        <v>100.0</v>
      </c>
      <c r="E12" s="38">
        <v>15.0</v>
      </c>
      <c r="F12" s="188"/>
      <c r="G12" s="38">
        <f t="shared" si="1"/>
        <v>0</v>
      </c>
      <c r="H12" s="71">
        <f t="shared" si="2"/>
        <v>24</v>
      </c>
      <c r="I12" s="42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t="15.75" customHeight="1">
      <c r="A13" s="187">
        <v>5.03165619E9</v>
      </c>
      <c r="B13" s="42" t="s">
        <v>379</v>
      </c>
      <c r="C13" s="42" t="s">
        <v>380</v>
      </c>
      <c r="D13" s="38">
        <v>100.0</v>
      </c>
      <c r="E13" s="38">
        <v>28.0</v>
      </c>
      <c r="F13" s="188"/>
      <c r="G13" s="38">
        <f t="shared" si="1"/>
        <v>0</v>
      </c>
      <c r="H13" s="71">
        <f t="shared" si="2"/>
        <v>12.85714286</v>
      </c>
      <c r="I13" s="42"/>
    </row>
    <row r="14" ht="15.75" customHeight="1">
      <c r="A14" s="187">
        <v>8.08663019E9</v>
      </c>
      <c r="B14" s="42" t="s">
        <v>381</v>
      </c>
      <c r="C14" s="42" t="s">
        <v>382</v>
      </c>
      <c r="D14" s="38">
        <v>100.0</v>
      </c>
      <c r="E14" s="38">
        <v>56.0</v>
      </c>
      <c r="F14" s="188"/>
      <c r="G14" s="38">
        <f t="shared" si="1"/>
        <v>0</v>
      </c>
      <c r="H14" s="71">
        <f t="shared" si="2"/>
        <v>6.428571429</v>
      </c>
      <c r="I14" s="42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15.75" customHeight="1">
      <c r="A15" s="187">
        <v>1.1820591122E10</v>
      </c>
      <c r="B15" s="42" t="s">
        <v>383</v>
      </c>
      <c r="C15" s="42" t="s">
        <v>384</v>
      </c>
      <c r="D15" s="38">
        <v>100.0</v>
      </c>
      <c r="E15" s="38">
        <v>56.0</v>
      </c>
      <c r="F15" s="188"/>
      <c r="G15" s="38">
        <f t="shared" si="1"/>
        <v>0</v>
      </c>
      <c r="H15" s="71">
        <f t="shared" si="2"/>
        <v>6.428571429</v>
      </c>
      <c r="I15" s="42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15.75" customHeight="1">
      <c r="A16" s="187">
        <v>1.1820567122E10</v>
      </c>
      <c r="B16" s="42" t="s">
        <v>385</v>
      </c>
      <c r="C16" s="42" t="s">
        <v>386</v>
      </c>
      <c r="D16" s="38">
        <v>100.0</v>
      </c>
      <c r="E16" s="38">
        <v>28.0</v>
      </c>
      <c r="F16" s="188"/>
      <c r="G16" s="38">
        <f t="shared" si="1"/>
        <v>0</v>
      </c>
      <c r="H16" s="71">
        <f t="shared" si="2"/>
        <v>12.85714286</v>
      </c>
      <c r="I16" s="42"/>
    </row>
    <row r="17" ht="15.75" customHeight="1">
      <c r="A17" s="187">
        <v>9.01491819E9</v>
      </c>
      <c r="B17" s="42" t="s">
        <v>387</v>
      </c>
      <c r="C17" s="42" t="s">
        <v>388</v>
      </c>
      <c r="D17" s="38">
        <v>100.0</v>
      </c>
      <c r="E17" s="38">
        <v>56.0</v>
      </c>
      <c r="F17" s="188"/>
      <c r="G17" s="38">
        <f t="shared" si="1"/>
        <v>0</v>
      </c>
      <c r="H17" s="71">
        <f t="shared" si="2"/>
        <v>6.428571429</v>
      </c>
      <c r="I17" s="42"/>
    </row>
    <row r="18" ht="15.75" customHeight="1">
      <c r="A18" s="187">
        <v>1.1820613122E10</v>
      </c>
      <c r="B18" s="42" t="s">
        <v>389</v>
      </c>
      <c r="C18" s="42" t="s">
        <v>390</v>
      </c>
      <c r="D18" s="38">
        <v>100.0</v>
      </c>
      <c r="E18" s="38">
        <v>56.0</v>
      </c>
      <c r="F18" s="188"/>
      <c r="G18" s="38">
        <f t="shared" si="1"/>
        <v>0</v>
      </c>
      <c r="H18" s="71">
        <f t="shared" si="2"/>
        <v>6.428571429</v>
      </c>
      <c r="I18" s="42"/>
    </row>
    <row r="19" ht="15.75" customHeight="1">
      <c r="A19" s="187">
        <v>8.49859819E9</v>
      </c>
      <c r="B19" s="42" t="s">
        <v>391</v>
      </c>
      <c r="C19" s="42" t="s">
        <v>392</v>
      </c>
      <c r="D19" s="38">
        <v>100.0</v>
      </c>
      <c r="E19" s="38">
        <v>56.0</v>
      </c>
      <c r="F19" s="188"/>
      <c r="G19" s="38">
        <f t="shared" si="1"/>
        <v>0</v>
      </c>
      <c r="H19" s="71">
        <f t="shared" si="2"/>
        <v>6.428571429</v>
      </c>
      <c r="I19" s="42"/>
    </row>
    <row r="20" ht="15.75" customHeight="1">
      <c r="A20" s="187">
        <v>8.83698119E9</v>
      </c>
      <c r="B20" s="42" t="s">
        <v>393</v>
      </c>
      <c r="C20" s="42" t="s">
        <v>394</v>
      </c>
      <c r="D20" s="38">
        <v>100.0</v>
      </c>
      <c r="E20" s="38">
        <v>49.0</v>
      </c>
      <c r="F20" s="188"/>
      <c r="G20" s="38">
        <f t="shared" si="1"/>
        <v>0</v>
      </c>
      <c r="H20" s="71">
        <f t="shared" si="2"/>
        <v>7.346938776</v>
      </c>
      <c r="I20" s="42"/>
    </row>
    <row r="21" ht="15.75" customHeight="1">
      <c r="A21" s="187">
        <v>9.20309519E9</v>
      </c>
      <c r="B21" s="42" t="s">
        <v>395</v>
      </c>
      <c r="C21" s="42" t="s">
        <v>396</v>
      </c>
      <c r="D21" s="38">
        <v>200.0</v>
      </c>
      <c r="E21" s="38">
        <v>28.0</v>
      </c>
      <c r="F21" s="188"/>
      <c r="G21" s="38">
        <f t="shared" si="1"/>
        <v>0</v>
      </c>
      <c r="H21" s="71">
        <f t="shared" si="2"/>
        <v>12.85714286</v>
      </c>
      <c r="I21" s="42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15.75" customHeight="1">
      <c r="A22" s="187">
        <v>9.28926719E9</v>
      </c>
      <c r="B22" s="42" t="s">
        <v>397</v>
      </c>
      <c r="C22" s="42" t="s">
        <v>398</v>
      </c>
      <c r="D22" s="38">
        <v>200.0</v>
      </c>
      <c r="E22" s="38">
        <v>28.0</v>
      </c>
      <c r="F22" s="188"/>
      <c r="G22" s="38">
        <f t="shared" si="1"/>
        <v>0</v>
      </c>
      <c r="H22" s="71">
        <f t="shared" si="2"/>
        <v>12.85714286</v>
      </c>
      <c r="I22" s="42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15.75" customHeight="1">
      <c r="A23" s="187">
        <v>9.00499819E9</v>
      </c>
      <c r="B23" s="42" t="s">
        <v>399</v>
      </c>
      <c r="C23" s="42" t="s">
        <v>400</v>
      </c>
      <c r="D23" s="38">
        <v>100.0</v>
      </c>
      <c r="E23" s="38">
        <v>42.0</v>
      </c>
      <c r="F23" s="188"/>
      <c r="G23" s="38">
        <f t="shared" si="1"/>
        <v>0</v>
      </c>
      <c r="H23" s="71">
        <f t="shared" si="2"/>
        <v>8.571428571</v>
      </c>
      <c r="I23" s="42"/>
    </row>
    <row r="24" ht="15.75" customHeight="1">
      <c r="A24" s="187">
        <v>8.49660919E9</v>
      </c>
      <c r="B24" s="42" t="s">
        <v>401</v>
      </c>
      <c r="C24" s="42" t="s">
        <v>402</v>
      </c>
      <c r="D24" s="38">
        <v>100.0</v>
      </c>
      <c r="E24" s="38">
        <v>21.0</v>
      </c>
      <c r="F24" s="188"/>
      <c r="G24" s="38">
        <f t="shared" si="1"/>
        <v>0</v>
      </c>
      <c r="H24" s="71">
        <f t="shared" si="2"/>
        <v>17.14285714</v>
      </c>
      <c r="I24" s="42"/>
    </row>
    <row r="25" ht="15.75" customHeight="1">
      <c r="A25" s="187">
        <v>9.00577319E9</v>
      </c>
      <c r="B25" s="42" t="s">
        <v>403</v>
      </c>
      <c r="C25" s="42" t="s">
        <v>404</v>
      </c>
      <c r="D25" s="38">
        <v>100.0</v>
      </c>
      <c r="E25" s="38">
        <v>56.0</v>
      </c>
      <c r="F25" s="188"/>
      <c r="G25" s="38">
        <f t="shared" si="1"/>
        <v>0</v>
      </c>
      <c r="H25" s="71">
        <f t="shared" si="2"/>
        <v>6.428571429</v>
      </c>
      <c r="I25" s="42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5.75" customHeight="1">
      <c r="A26" s="187">
        <v>1.177622319E10</v>
      </c>
      <c r="B26" s="42" t="s">
        <v>405</v>
      </c>
      <c r="C26" s="42" t="s">
        <v>406</v>
      </c>
      <c r="D26" s="38">
        <v>100.0</v>
      </c>
      <c r="E26" s="38">
        <v>42.0</v>
      </c>
      <c r="F26" s="188"/>
      <c r="G26" s="38">
        <f t="shared" si="1"/>
        <v>0</v>
      </c>
      <c r="H26" s="71">
        <f t="shared" si="2"/>
        <v>8.571428571</v>
      </c>
      <c r="I26" s="42"/>
    </row>
    <row r="27" ht="15.75" customHeight="1">
      <c r="A27" s="187">
        <v>3.045838122E9</v>
      </c>
      <c r="B27" s="42" t="s">
        <v>407</v>
      </c>
      <c r="C27" s="42" t="s">
        <v>408</v>
      </c>
      <c r="D27" s="38">
        <v>100.0</v>
      </c>
      <c r="E27" s="38">
        <v>35.0</v>
      </c>
      <c r="F27" s="188"/>
      <c r="G27" s="38">
        <f t="shared" si="1"/>
        <v>0</v>
      </c>
      <c r="H27" s="71">
        <f t="shared" si="2"/>
        <v>10.28571429</v>
      </c>
      <c r="I27" s="42"/>
    </row>
    <row r="28" ht="15.75" customHeight="1">
      <c r="A28" s="187">
        <v>1.1776193122E10</v>
      </c>
      <c r="B28" s="42" t="s">
        <v>409</v>
      </c>
      <c r="C28" s="42" t="s">
        <v>410</v>
      </c>
      <c r="D28" s="38">
        <v>100.0</v>
      </c>
      <c r="E28" s="38">
        <v>56.0</v>
      </c>
      <c r="F28" s="188"/>
      <c r="G28" s="38">
        <f t="shared" si="1"/>
        <v>0</v>
      </c>
      <c r="H28" s="71">
        <f t="shared" si="2"/>
        <v>6.428571429</v>
      </c>
      <c r="I28" s="42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5.75" customHeight="1">
      <c r="A29" s="187">
        <v>9.00569219E9</v>
      </c>
      <c r="B29" s="42" t="s">
        <v>411</v>
      </c>
      <c r="C29" s="42" t="s">
        <v>412</v>
      </c>
      <c r="D29" s="38">
        <v>100.0</v>
      </c>
      <c r="E29" s="38">
        <v>56.0</v>
      </c>
      <c r="F29" s="188"/>
      <c r="G29" s="38">
        <f t="shared" si="1"/>
        <v>0</v>
      </c>
      <c r="H29" s="71">
        <f t="shared" si="2"/>
        <v>6.428571429</v>
      </c>
      <c r="I29" s="42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5.75" customHeight="1">
      <c r="A30" s="187">
        <v>1.1731629322E10</v>
      </c>
      <c r="B30" s="42" t="s">
        <v>413</v>
      </c>
      <c r="C30" s="42" t="s">
        <v>414</v>
      </c>
      <c r="D30" s="38">
        <v>100.0</v>
      </c>
      <c r="E30" s="38">
        <v>42.0</v>
      </c>
      <c r="F30" s="188"/>
      <c r="G30" s="38">
        <f t="shared" si="1"/>
        <v>0</v>
      </c>
      <c r="H30" s="71">
        <f t="shared" si="2"/>
        <v>8.571428571</v>
      </c>
      <c r="I30" s="42"/>
    </row>
    <row r="31" ht="15.75" customHeight="1">
      <c r="A31" s="187">
        <v>9.01556619E9</v>
      </c>
      <c r="B31" s="42" t="s">
        <v>415</v>
      </c>
      <c r="C31" s="42" t="s">
        <v>416</v>
      </c>
      <c r="D31" s="38">
        <v>100.0</v>
      </c>
      <c r="E31" s="38">
        <v>56.0</v>
      </c>
      <c r="F31" s="188"/>
      <c r="G31" s="38">
        <f t="shared" si="1"/>
        <v>0</v>
      </c>
      <c r="H31" s="71">
        <f t="shared" si="2"/>
        <v>6.428571429</v>
      </c>
      <c r="I31" s="42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15.75" customHeight="1">
      <c r="A32" s="187">
        <v>5.95764819E9</v>
      </c>
      <c r="B32" s="42" t="s">
        <v>417</v>
      </c>
      <c r="C32" s="42" t="s">
        <v>418</v>
      </c>
      <c r="D32" s="38">
        <v>100.0</v>
      </c>
      <c r="E32" s="38">
        <v>56.0</v>
      </c>
      <c r="F32" s="188"/>
      <c r="G32" s="38">
        <f t="shared" si="1"/>
        <v>0</v>
      </c>
      <c r="H32" s="71">
        <f t="shared" si="2"/>
        <v>6.428571429</v>
      </c>
      <c r="I32" s="42"/>
    </row>
    <row r="33" ht="15.75" customHeight="1">
      <c r="A33" s="187">
        <v>9.34239719E9</v>
      </c>
      <c r="B33" s="42" t="s">
        <v>419</v>
      </c>
      <c r="C33" s="42" t="s">
        <v>420</v>
      </c>
      <c r="D33" s="38">
        <v>100.0</v>
      </c>
      <c r="E33" s="38">
        <v>56.0</v>
      </c>
      <c r="F33" s="188"/>
      <c r="G33" s="38">
        <f t="shared" si="1"/>
        <v>0</v>
      </c>
      <c r="H33" s="71">
        <f t="shared" si="2"/>
        <v>6.428571429</v>
      </c>
      <c r="I33" s="42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15.75" customHeight="1">
      <c r="A34" s="187">
        <v>9.11854319E9</v>
      </c>
      <c r="B34" s="42" t="s">
        <v>421</v>
      </c>
      <c r="C34" s="42" t="s">
        <v>422</v>
      </c>
      <c r="D34" s="38">
        <v>100.0</v>
      </c>
      <c r="E34" s="38">
        <v>21.0</v>
      </c>
      <c r="F34" s="188"/>
      <c r="G34" s="38">
        <f t="shared" si="1"/>
        <v>0</v>
      </c>
      <c r="H34" s="71">
        <f t="shared" si="2"/>
        <v>17.14285714</v>
      </c>
      <c r="I34" s="42"/>
    </row>
    <row r="35" ht="15.75" customHeight="1">
      <c r="A35" s="189">
        <v>4.78461819E9</v>
      </c>
      <c r="B35" s="42" t="s">
        <v>423</v>
      </c>
      <c r="C35" s="42" t="s">
        <v>424</v>
      </c>
      <c r="D35" s="38">
        <v>100.0</v>
      </c>
      <c r="E35" s="38">
        <v>42.0</v>
      </c>
      <c r="F35" s="188"/>
      <c r="G35" s="38">
        <f t="shared" si="1"/>
        <v>0</v>
      </c>
      <c r="H35" s="71">
        <f t="shared" si="2"/>
        <v>8.571428571</v>
      </c>
      <c r="I35" s="42"/>
    </row>
    <row r="36" ht="15.75" customHeight="1">
      <c r="A36" s="189">
        <v>6.68773319E9</v>
      </c>
      <c r="B36" s="42" t="s">
        <v>425</v>
      </c>
      <c r="C36" s="42" t="s">
        <v>426</v>
      </c>
      <c r="D36" s="38">
        <v>100.0</v>
      </c>
      <c r="E36" s="38">
        <v>56.0</v>
      </c>
      <c r="F36" s="188"/>
      <c r="G36" s="38">
        <f t="shared" si="1"/>
        <v>0</v>
      </c>
      <c r="H36" s="71">
        <f t="shared" si="2"/>
        <v>6.428571429</v>
      </c>
      <c r="I36" s="42"/>
    </row>
    <row r="37" ht="15.75" customHeight="1">
      <c r="A37" s="187">
        <v>3.18489719E9</v>
      </c>
      <c r="B37" s="42" t="s">
        <v>427</v>
      </c>
      <c r="C37" s="42" t="s">
        <v>428</v>
      </c>
      <c r="D37" s="38">
        <v>100.0</v>
      </c>
      <c r="E37" s="38">
        <v>56.0</v>
      </c>
      <c r="F37" s="188"/>
      <c r="G37" s="38">
        <f t="shared" si="1"/>
        <v>0</v>
      </c>
      <c r="H37" s="71">
        <f t="shared" si="2"/>
        <v>6.428571429</v>
      </c>
      <c r="I37" s="42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5.75" customHeight="1">
      <c r="A38" s="189">
        <v>1.1820966122E10</v>
      </c>
      <c r="B38" s="42" t="s">
        <v>429</v>
      </c>
      <c r="C38" s="42" t="s">
        <v>430</v>
      </c>
      <c r="D38" s="38">
        <v>100.0</v>
      </c>
      <c r="E38" s="38">
        <v>56.0</v>
      </c>
      <c r="F38" s="188"/>
      <c r="G38" s="38">
        <f t="shared" si="1"/>
        <v>0</v>
      </c>
      <c r="H38" s="71">
        <f t="shared" si="2"/>
        <v>6.428571429</v>
      </c>
      <c r="I38" s="42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5.75" customHeight="1">
      <c r="A39" s="189">
        <v>3.000087122E9</v>
      </c>
      <c r="B39" s="42" t="s">
        <v>431</v>
      </c>
      <c r="C39" s="42" t="s">
        <v>432</v>
      </c>
      <c r="D39" s="38">
        <v>100.0</v>
      </c>
      <c r="E39" s="38">
        <v>56.0</v>
      </c>
      <c r="F39" s="188"/>
      <c r="G39" s="38">
        <f t="shared" si="1"/>
        <v>0</v>
      </c>
      <c r="H39" s="71">
        <f t="shared" si="2"/>
        <v>6.428571429</v>
      </c>
      <c r="I39" s="42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5.75" customHeight="1">
      <c r="A40" s="187">
        <v>1.182079619E10</v>
      </c>
      <c r="B40" s="42" t="s">
        <v>433</v>
      </c>
      <c r="C40" s="42" t="s">
        <v>434</v>
      </c>
      <c r="D40" s="38">
        <v>100.0</v>
      </c>
      <c r="E40" s="38">
        <v>56.0</v>
      </c>
      <c r="F40" s="188"/>
      <c r="G40" s="38">
        <f t="shared" si="1"/>
        <v>0</v>
      </c>
      <c r="H40" s="71">
        <f t="shared" si="2"/>
        <v>6.428571429</v>
      </c>
      <c r="I40" s="42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5.75" customHeight="1">
      <c r="A41" s="187">
        <v>8.35537119E9</v>
      </c>
      <c r="B41" s="42" t="s">
        <v>435</v>
      </c>
      <c r="C41" s="42" t="s">
        <v>436</v>
      </c>
      <c r="D41" s="38">
        <v>100.0</v>
      </c>
      <c r="E41" s="38">
        <v>28.0</v>
      </c>
      <c r="F41" s="188"/>
      <c r="G41" s="38">
        <f t="shared" si="1"/>
        <v>0</v>
      </c>
      <c r="H41" s="71">
        <f t="shared" si="2"/>
        <v>12.85714286</v>
      </c>
      <c r="I41" s="42"/>
    </row>
    <row r="42" ht="15.75" customHeight="1">
      <c r="A42" s="187">
        <v>8.35525819E9</v>
      </c>
      <c r="B42" s="42" t="s">
        <v>437</v>
      </c>
      <c r="C42" s="42" t="s">
        <v>438</v>
      </c>
      <c r="D42" s="38">
        <v>100.0</v>
      </c>
      <c r="E42" s="38">
        <v>28.0</v>
      </c>
      <c r="F42" s="188"/>
      <c r="G42" s="38">
        <f t="shared" si="1"/>
        <v>0</v>
      </c>
      <c r="H42" s="71">
        <f t="shared" si="2"/>
        <v>12.85714286</v>
      </c>
      <c r="I42" s="42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5.75" customHeight="1">
      <c r="A43" s="187">
        <v>8.35531219E9</v>
      </c>
      <c r="B43" s="42" t="s">
        <v>439</v>
      </c>
      <c r="C43" s="42" t="s">
        <v>440</v>
      </c>
      <c r="D43" s="38">
        <v>100.0</v>
      </c>
      <c r="E43" s="38">
        <v>28.0</v>
      </c>
      <c r="F43" s="188"/>
      <c r="G43" s="38">
        <f t="shared" si="1"/>
        <v>0</v>
      </c>
      <c r="H43" s="71">
        <f t="shared" si="2"/>
        <v>12.85714286</v>
      </c>
      <c r="I43" s="42"/>
    </row>
    <row r="44" ht="15.75" customHeight="1">
      <c r="A44" s="187">
        <v>6.65602119E9</v>
      </c>
      <c r="B44" s="42" t="s">
        <v>441</v>
      </c>
      <c r="C44" s="42" t="s">
        <v>442</v>
      </c>
      <c r="D44" s="38">
        <v>100.0</v>
      </c>
      <c r="E44" s="38">
        <v>56.0</v>
      </c>
      <c r="F44" s="188"/>
      <c r="G44" s="38">
        <f t="shared" si="1"/>
        <v>0</v>
      </c>
      <c r="H44" s="71">
        <f t="shared" si="2"/>
        <v>6.428571429</v>
      </c>
      <c r="I44" s="42"/>
    </row>
    <row r="45" ht="15.75" customHeight="1">
      <c r="A45" s="187">
        <v>3.73755119E9</v>
      </c>
      <c r="B45" s="42" t="s">
        <v>443</v>
      </c>
      <c r="C45" s="42" t="s">
        <v>444</v>
      </c>
      <c r="D45" s="38">
        <v>100.0</v>
      </c>
      <c r="E45" s="38">
        <v>42.0</v>
      </c>
      <c r="F45" s="188"/>
      <c r="G45" s="38">
        <f t="shared" si="1"/>
        <v>0</v>
      </c>
      <c r="H45" s="71">
        <f t="shared" si="2"/>
        <v>8.571428571</v>
      </c>
      <c r="I45" s="42"/>
    </row>
    <row r="46" ht="15.75" customHeight="1">
      <c r="A46" s="187">
        <v>7.55999219E9</v>
      </c>
      <c r="B46" s="42" t="s">
        <v>445</v>
      </c>
      <c r="C46" s="42" t="s">
        <v>446</v>
      </c>
      <c r="D46" s="38">
        <v>100.0</v>
      </c>
      <c r="E46" s="38">
        <v>28.0</v>
      </c>
      <c r="F46" s="188"/>
      <c r="G46" s="38">
        <f t="shared" si="1"/>
        <v>0</v>
      </c>
      <c r="H46" s="71">
        <f t="shared" si="2"/>
        <v>12.85714286</v>
      </c>
      <c r="I46" s="42"/>
    </row>
    <row r="47" ht="15.75" customHeight="1">
      <c r="A47" s="187">
        <v>8.86029719E9</v>
      </c>
      <c r="B47" s="42" t="s">
        <v>447</v>
      </c>
      <c r="C47" s="42" t="s">
        <v>448</v>
      </c>
      <c r="D47" s="38">
        <v>100.0</v>
      </c>
      <c r="E47" s="38">
        <v>28.0</v>
      </c>
      <c r="F47" s="188"/>
      <c r="G47" s="38">
        <f t="shared" si="1"/>
        <v>0</v>
      </c>
      <c r="H47" s="71">
        <f t="shared" si="2"/>
        <v>12.85714286</v>
      </c>
      <c r="I47" s="42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5.75" customHeight="1">
      <c r="A48" s="187">
        <v>8.82860119E9</v>
      </c>
      <c r="B48" s="42" t="s">
        <v>449</v>
      </c>
      <c r="C48" s="42" t="s">
        <v>450</v>
      </c>
      <c r="D48" s="38">
        <v>100.0</v>
      </c>
      <c r="E48" s="38">
        <v>42.0</v>
      </c>
      <c r="F48" s="188"/>
      <c r="G48" s="38">
        <f t="shared" si="1"/>
        <v>0</v>
      </c>
      <c r="H48" s="71">
        <f t="shared" si="2"/>
        <v>8.571428571</v>
      </c>
      <c r="I48" s="42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5.75" customHeight="1">
      <c r="A49" s="187">
        <v>8.93235219E9</v>
      </c>
      <c r="B49" s="42" t="s">
        <v>451</v>
      </c>
      <c r="C49" s="42" t="s">
        <v>452</v>
      </c>
      <c r="D49" s="38">
        <v>100.0</v>
      </c>
      <c r="E49" s="38">
        <v>56.0</v>
      </c>
      <c r="F49" s="188"/>
      <c r="G49" s="38">
        <f t="shared" si="1"/>
        <v>0</v>
      </c>
      <c r="H49" s="71">
        <f t="shared" si="2"/>
        <v>6.428571429</v>
      </c>
      <c r="I49" s="42"/>
    </row>
    <row r="50" ht="15.75" customHeight="1">
      <c r="A50" s="187">
        <v>9.00580319E9</v>
      </c>
      <c r="B50" s="42" t="s">
        <v>453</v>
      </c>
      <c r="C50" s="42" t="s">
        <v>454</v>
      </c>
      <c r="D50" s="38">
        <v>200.0</v>
      </c>
      <c r="E50" s="38">
        <v>56.0</v>
      </c>
      <c r="F50" s="188"/>
      <c r="G50" s="38">
        <f t="shared" si="1"/>
        <v>0</v>
      </c>
      <c r="H50" s="71">
        <f t="shared" si="2"/>
        <v>6.428571429</v>
      </c>
      <c r="I50" s="42"/>
    </row>
    <row r="51" ht="15.75" customHeight="1">
      <c r="A51" s="187">
        <v>9.04327619E9</v>
      </c>
      <c r="B51" s="42" t="s">
        <v>455</v>
      </c>
      <c r="C51" s="42" t="s">
        <v>456</v>
      </c>
      <c r="D51" s="38">
        <v>200.0</v>
      </c>
      <c r="E51" s="38">
        <v>56.0</v>
      </c>
      <c r="F51" s="188"/>
      <c r="G51" s="38">
        <f t="shared" si="1"/>
        <v>0</v>
      </c>
      <c r="H51" s="71">
        <f t="shared" si="2"/>
        <v>6.428571429</v>
      </c>
      <c r="I51" s="42"/>
    </row>
    <row r="52" ht="15.75" customHeight="1">
      <c r="A52" s="187">
        <v>8.94677919E9</v>
      </c>
      <c r="B52" s="42" t="s">
        <v>457</v>
      </c>
      <c r="C52" s="42" t="s">
        <v>458</v>
      </c>
      <c r="D52" s="38">
        <v>100.0</v>
      </c>
      <c r="E52" s="38">
        <v>56.0</v>
      </c>
      <c r="F52" s="188"/>
      <c r="G52" s="38">
        <f t="shared" si="1"/>
        <v>0</v>
      </c>
      <c r="H52" s="71">
        <f t="shared" si="2"/>
        <v>6.428571429</v>
      </c>
      <c r="I52" s="42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5.75" customHeight="1">
      <c r="A53" s="187">
        <v>1.1820583122E10</v>
      </c>
      <c r="B53" s="42" t="s">
        <v>459</v>
      </c>
      <c r="C53" s="42" t="s">
        <v>460</v>
      </c>
      <c r="D53" s="38">
        <v>100.0</v>
      </c>
      <c r="E53" s="38">
        <v>56.0</v>
      </c>
      <c r="F53" s="188"/>
      <c r="G53" s="38">
        <f t="shared" si="1"/>
        <v>0</v>
      </c>
      <c r="H53" s="71">
        <f t="shared" si="2"/>
        <v>6.428571429</v>
      </c>
      <c r="I53" s="42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5.75" customHeight="1">
      <c r="A54" s="187">
        <v>8.81485619E9</v>
      </c>
      <c r="B54" s="42" t="s">
        <v>461</v>
      </c>
      <c r="C54" s="42" t="s">
        <v>462</v>
      </c>
      <c r="D54" s="38">
        <v>100.0</v>
      </c>
      <c r="E54" s="38">
        <v>42.0</v>
      </c>
      <c r="F54" s="188"/>
      <c r="G54" s="38">
        <f t="shared" si="1"/>
        <v>0</v>
      </c>
      <c r="H54" s="71">
        <f t="shared" si="2"/>
        <v>8.571428571</v>
      </c>
      <c r="I54" s="42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5.75" customHeight="1">
      <c r="A55" s="187">
        <v>8.89058719E9</v>
      </c>
      <c r="B55" s="42" t="s">
        <v>463</v>
      </c>
      <c r="C55" s="42" t="s">
        <v>464</v>
      </c>
      <c r="D55" s="38">
        <v>100.0</v>
      </c>
      <c r="E55" s="38">
        <v>28.0</v>
      </c>
      <c r="F55" s="188"/>
      <c r="G55" s="38">
        <f t="shared" si="1"/>
        <v>0</v>
      </c>
      <c r="H55" s="71">
        <f t="shared" si="2"/>
        <v>12.85714286</v>
      </c>
      <c r="I55" s="42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5.75" customHeight="1">
      <c r="A56" s="187">
        <v>3.27174919E9</v>
      </c>
      <c r="B56" s="42" t="s">
        <v>465</v>
      </c>
      <c r="C56" s="42" t="s">
        <v>466</v>
      </c>
      <c r="D56" s="38">
        <v>100.0</v>
      </c>
      <c r="E56" s="38">
        <v>28.0</v>
      </c>
      <c r="F56" s="188"/>
      <c r="G56" s="38">
        <f t="shared" si="1"/>
        <v>0</v>
      </c>
      <c r="H56" s="71">
        <f t="shared" si="2"/>
        <v>12.85714286</v>
      </c>
      <c r="I56" s="42"/>
    </row>
    <row r="57" ht="15.75" customHeight="1">
      <c r="A57" s="187">
        <v>5.95092919E9</v>
      </c>
      <c r="B57" s="42" t="s">
        <v>467</v>
      </c>
      <c r="C57" s="42" t="s">
        <v>468</v>
      </c>
      <c r="D57" s="38">
        <v>100.0</v>
      </c>
      <c r="E57" s="38">
        <v>28.0</v>
      </c>
      <c r="F57" s="188"/>
      <c r="G57" s="38">
        <f t="shared" si="1"/>
        <v>0</v>
      </c>
      <c r="H57" s="71">
        <f t="shared" si="2"/>
        <v>12.85714286</v>
      </c>
      <c r="I57" s="42"/>
    </row>
    <row r="58" ht="15.75" customHeight="1">
      <c r="A58" s="187">
        <v>5.39012519E9</v>
      </c>
      <c r="B58" s="42" t="s">
        <v>469</v>
      </c>
      <c r="C58" s="42" t="s">
        <v>470</v>
      </c>
      <c r="D58" s="38">
        <v>100.0</v>
      </c>
      <c r="E58" s="38">
        <v>56.0</v>
      </c>
      <c r="F58" s="188"/>
      <c r="G58" s="38">
        <f t="shared" si="1"/>
        <v>0</v>
      </c>
      <c r="H58" s="71">
        <f t="shared" si="2"/>
        <v>6.428571429</v>
      </c>
      <c r="I58" s="42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5.75" customHeight="1">
      <c r="A59" s="187">
        <v>8.92416319E9</v>
      </c>
      <c r="B59" s="42" t="s">
        <v>471</v>
      </c>
      <c r="C59" s="42" t="s">
        <v>472</v>
      </c>
      <c r="D59" s="38">
        <v>100.0</v>
      </c>
      <c r="E59" s="38">
        <v>28.0</v>
      </c>
      <c r="F59" s="188"/>
      <c r="G59" s="38">
        <f t="shared" si="1"/>
        <v>0</v>
      </c>
      <c r="H59" s="71">
        <f t="shared" si="2"/>
        <v>12.85714286</v>
      </c>
      <c r="I59" s="42"/>
    </row>
    <row r="60" ht="15.75" customHeight="1">
      <c r="A60" s="187">
        <v>8.94884419E9</v>
      </c>
      <c r="B60" s="42" t="s">
        <v>473</v>
      </c>
      <c r="C60" s="42" t="s">
        <v>474</v>
      </c>
      <c r="D60" s="38">
        <v>100.0</v>
      </c>
      <c r="E60" s="38">
        <v>28.0</v>
      </c>
      <c r="F60" s="188"/>
      <c r="G60" s="38">
        <f t="shared" si="1"/>
        <v>0</v>
      </c>
      <c r="H60" s="71">
        <f t="shared" si="2"/>
        <v>12.85714286</v>
      </c>
      <c r="I60" s="42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5.75" customHeight="1">
      <c r="A61" s="187">
        <v>8.94888719E9</v>
      </c>
      <c r="B61" s="42" t="s">
        <v>475</v>
      </c>
      <c r="C61" s="42" t="s">
        <v>476</v>
      </c>
      <c r="D61" s="38">
        <v>100.0</v>
      </c>
      <c r="E61" s="38">
        <v>28.0</v>
      </c>
      <c r="F61" s="188"/>
      <c r="G61" s="38">
        <f t="shared" si="1"/>
        <v>0</v>
      </c>
      <c r="H61" s="71">
        <f t="shared" si="2"/>
        <v>12.85714286</v>
      </c>
      <c r="I61" s="42"/>
    </row>
    <row r="62" ht="15.75" customHeight="1">
      <c r="A62" s="187">
        <v>9.01517519E9</v>
      </c>
      <c r="B62" s="42" t="s">
        <v>477</v>
      </c>
      <c r="C62" s="42" t="s">
        <v>478</v>
      </c>
      <c r="D62" s="38">
        <v>100.0</v>
      </c>
      <c r="E62" s="38">
        <v>28.0</v>
      </c>
      <c r="F62" s="188"/>
      <c r="G62" s="38">
        <f t="shared" si="1"/>
        <v>0</v>
      </c>
      <c r="H62" s="71">
        <f t="shared" si="2"/>
        <v>12.85714286</v>
      </c>
      <c r="I62" s="42"/>
    </row>
    <row r="63" ht="15.75" customHeight="1">
      <c r="A63" s="187">
        <v>4.82703119E9</v>
      </c>
      <c r="B63" s="42" t="s">
        <v>479</v>
      </c>
      <c r="C63" s="42" t="s">
        <v>480</v>
      </c>
      <c r="D63" s="38">
        <v>100.0</v>
      </c>
      <c r="E63" s="38">
        <v>56.0</v>
      </c>
      <c r="F63" s="188"/>
      <c r="G63" s="38">
        <f t="shared" si="1"/>
        <v>0</v>
      </c>
      <c r="H63" s="71">
        <f t="shared" si="2"/>
        <v>6.428571429</v>
      </c>
      <c r="I63" s="42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5.75" customHeight="1">
      <c r="A64" s="187">
        <v>7.47589619E9</v>
      </c>
      <c r="B64" s="42" t="s">
        <v>481</v>
      </c>
      <c r="C64" s="42" t="s">
        <v>482</v>
      </c>
      <c r="D64" s="38">
        <v>100.0</v>
      </c>
      <c r="E64" s="38">
        <v>28.0</v>
      </c>
      <c r="F64" s="188"/>
      <c r="G64" s="38">
        <f t="shared" si="1"/>
        <v>0</v>
      </c>
      <c r="H64" s="71">
        <f t="shared" si="2"/>
        <v>12.85714286</v>
      </c>
      <c r="I64" s="42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5.75" customHeight="1">
      <c r="A65" s="187">
        <v>7.57469019E9</v>
      </c>
      <c r="B65" s="69" t="s">
        <v>483</v>
      </c>
      <c r="C65" s="69" t="s">
        <v>484</v>
      </c>
      <c r="D65" s="38">
        <v>100.0</v>
      </c>
      <c r="E65" s="38">
        <v>28.0</v>
      </c>
      <c r="F65" s="188"/>
      <c r="G65" s="38">
        <f t="shared" si="1"/>
        <v>0</v>
      </c>
      <c r="H65" s="71">
        <f t="shared" si="2"/>
        <v>12.85714286</v>
      </c>
      <c r="I65" s="42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5.75" customHeight="1">
      <c r="A66" s="187">
        <v>9.01560419E9</v>
      </c>
      <c r="B66" s="42" t="s">
        <v>485</v>
      </c>
      <c r="C66" s="42" t="s">
        <v>486</v>
      </c>
      <c r="D66" s="38">
        <v>100.0</v>
      </c>
      <c r="E66" s="38">
        <v>28.0</v>
      </c>
      <c r="F66" s="188"/>
      <c r="G66" s="38">
        <f t="shared" si="1"/>
        <v>0</v>
      </c>
      <c r="H66" s="71">
        <f t="shared" si="2"/>
        <v>12.85714286</v>
      </c>
      <c r="I66" s="42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5.75" customHeight="1">
      <c r="A67" s="187">
        <v>1.2017547122E10</v>
      </c>
      <c r="B67" s="42" t="s">
        <v>487</v>
      </c>
      <c r="C67" s="42" t="s">
        <v>488</v>
      </c>
      <c r="D67" s="38">
        <v>100.0</v>
      </c>
      <c r="E67" s="38">
        <v>28.0</v>
      </c>
      <c r="F67" s="188"/>
      <c r="G67" s="38">
        <f t="shared" si="1"/>
        <v>0</v>
      </c>
      <c r="H67" s="71">
        <f t="shared" si="2"/>
        <v>12.85714286</v>
      </c>
      <c r="I67" s="42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5.75" customHeight="1">
      <c r="A68" s="187">
        <v>1.1732234122E10</v>
      </c>
      <c r="B68" s="42" t="s">
        <v>489</v>
      </c>
      <c r="C68" s="42" t="s">
        <v>490</v>
      </c>
      <c r="D68" s="38">
        <v>100.0</v>
      </c>
      <c r="E68" s="38">
        <v>56.0</v>
      </c>
      <c r="F68" s="188"/>
      <c r="G68" s="38">
        <f t="shared" si="1"/>
        <v>0</v>
      </c>
      <c r="H68" s="71">
        <f t="shared" si="2"/>
        <v>6.428571429</v>
      </c>
      <c r="I68" s="42"/>
    </row>
    <row r="69" ht="15.75" customHeight="1">
      <c r="A69" s="187">
        <v>1.1820788122E10</v>
      </c>
      <c r="B69" s="42" t="s">
        <v>491</v>
      </c>
      <c r="C69" s="42" t="s">
        <v>492</v>
      </c>
      <c r="D69" s="38">
        <v>100.0</v>
      </c>
      <c r="E69" s="38">
        <v>56.0</v>
      </c>
      <c r="F69" s="188"/>
      <c r="G69" s="38">
        <f t="shared" si="1"/>
        <v>0</v>
      </c>
      <c r="H69" s="71">
        <f t="shared" si="2"/>
        <v>6.428571429</v>
      </c>
      <c r="I69" s="42"/>
    </row>
    <row r="70" ht="15.75" customHeight="1">
      <c r="A70" s="187">
        <v>1.2149133122E10</v>
      </c>
      <c r="B70" s="42" t="s">
        <v>493</v>
      </c>
      <c r="C70" s="42" t="s">
        <v>494</v>
      </c>
      <c r="D70" s="38">
        <v>100.0</v>
      </c>
      <c r="E70" s="38">
        <v>56.0</v>
      </c>
      <c r="F70" s="188"/>
      <c r="G70" s="38">
        <f t="shared" si="1"/>
        <v>0</v>
      </c>
      <c r="H70" s="71">
        <f t="shared" si="2"/>
        <v>6.428571429</v>
      </c>
      <c r="I70" s="42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5.75" customHeight="1">
      <c r="A71" s="187">
        <v>1.2133113122E10</v>
      </c>
      <c r="B71" s="42" t="s">
        <v>495</v>
      </c>
      <c r="C71" s="42" t="s">
        <v>496</v>
      </c>
      <c r="D71" s="38">
        <v>100.0</v>
      </c>
      <c r="E71" s="38">
        <v>56.0</v>
      </c>
      <c r="F71" s="188"/>
      <c r="G71" s="38">
        <f t="shared" si="1"/>
        <v>0</v>
      </c>
      <c r="H71" s="71">
        <f t="shared" si="2"/>
        <v>6.428571429</v>
      </c>
      <c r="I71" s="42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5.75" customHeight="1">
      <c r="A72" s="187">
        <v>8.86017319E9</v>
      </c>
      <c r="B72" s="42" t="s">
        <v>497</v>
      </c>
      <c r="C72" s="42" t="s">
        <v>498</v>
      </c>
      <c r="D72" s="38">
        <v>100.0</v>
      </c>
      <c r="E72" s="38">
        <v>21.0</v>
      </c>
      <c r="F72" s="188"/>
      <c r="G72" s="38">
        <f t="shared" si="1"/>
        <v>0</v>
      </c>
      <c r="H72" s="71">
        <f t="shared" si="2"/>
        <v>17.14285714</v>
      </c>
      <c r="I72" s="42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5.75" customHeight="1">
      <c r="A73" s="187">
        <v>9.31871219E9</v>
      </c>
      <c r="B73" s="42" t="s">
        <v>499</v>
      </c>
      <c r="C73" s="42" t="s">
        <v>500</v>
      </c>
      <c r="D73" s="38">
        <v>100.0</v>
      </c>
      <c r="E73" s="38">
        <v>28.0</v>
      </c>
      <c r="F73" s="188"/>
      <c r="G73" s="38">
        <f t="shared" si="1"/>
        <v>0</v>
      </c>
      <c r="H73" s="71">
        <f t="shared" si="2"/>
        <v>12.85714286</v>
      </c>
      <c r="I73" s="42"/>
    </row>
    <row r="74" ht="15.75" customHeight="1">
      <c r="A74" s="187">
        <v>5.14467119E9</v>
      </c>
      <c r="B74" s="42" t="s">
        <v>501</v>
      </c>
      <c r="C74" s="42" t="s">
        <v>502</v>
      </c>
      <c r="D74" s="38">
        <v>100.0</v>
      </c>
      <c r="E74" s="38">
        <v>84.0</v>
      </c>
      <c r="F74" s="188"/>
      <c r="G74" s="38">
        <f t="shared" si="1"/>
        <v>0</v>
      </c>
      <c r="H74" s="71">
        <f t="shared" si="2"/>
        <v>4.285714286</v>
      </c>
      <c r="I74" s="42"/>
    </row>
    <row r="75" ht="15.75" customHeight="1">
      <c r="A75" s="187">
        <v>9.31526819E9</v>
      </c>
      <c r="B75" s="42" t="s">
        <v>503</v>
      </c>
      <c r="C75" s="42" t="s">
        <v>504</v>
      </c>
      <c r="D75" s="38">
        <v>100.0</v>
      </c>
      <c r="E75" s="38">
        <v>56.0</v>
      </c>
      <c r="F75" s="188"/>
      <c r="G75" s="38">
        <f t="shared" si="1"/>
        <v>0</v>
      </c>
      <c r="H75" s="71">
        <f t="shared" si="2"/>
        <v>6.428571429</v>
      </c>
      <c r="I75" s="42"/>
    </row>
    <row r="76" ht="15.75" customHeight="1">
      <c r="A76" s="187">
        <v>8.83674419E9</v>
      </c>
      <c r="B76" s="42" t="s">
        <v>505</v>
      </c>
      <c r="C76" s="42" t="s">
        <v>506</v>
      </c>
      <c r="D76" s="38">
        <v>100.0</v>
      </c>
      <c r="E76" s="38"/>
      <c r="F76" s="188"/>
      <c r="G76" s="38">
        <f t="shared" si="1"/>
        <v>0</v>
      </c>
      <c r="H76" s="71" t="str">
        <f t="shared" si="2"/>
        <v>#DIV/0!</v>
      </c>
      <c r="I76" s="42"/>
    </row>
    <row r="77" ht="15.75" customHeight="1">
      <c r="A77" s="187">
        <v>7.09253919E9</v>
      </c>
      <c r="B77" s="42" t="s">
        <v>507</v>
      </c>
      <c r="C77" s="42" t="s">
        <v>508</v>
      </c>
      <c r="D77" s="38">
        <v>100.0</v>
      </c>
      <c r="E77" s="38">
        <v>56.0</v>
      </c>
      <c r="F77" s="188"/>
      <c r="G77" s="38">
        <f t="shared" si="1"/>
        <v>0</v>
      </c>
      <c r="H77" s="71">
        <f t="shared" si="2"/>
        <v>6.428571429</v>
      </c>
      <c r="I77" s="42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5.75" customHeight="1">
      <c r="A78" s="187">
        <v>9.00763619E9</v>
      </c>
      <c r="B78" s="42" t="s">
        <v>509</v>
      </c>
      <c r="C78" s="42" t="s">
        <v>510</v>
      </c>
      <c r="D78" s="38">
        <v>100.0</v>
      </c>
      <c r="E78" s="38">
        <v>42.0</v>
      </c>
      <c r="F78" s="188"/>
      <c r="G78" s="38">
        <f t="shared" si="1"/>
        <v>0</v>
      </c>
      <c r="H78" s="71">
        <f t="shared" si="2"/>
        <v>8.571428571</v>
      </c>
      <c r="I78" s="42"/>
    </row>
    <row r="79" ht="15.75" customHeight="1">
      <c r="A79" s="187">
        <v>3.20309319E9</v>
      </c>
      <c r="B79" s="42" t="s">
        <v>511</v>
      </c>
      <c r="C79" s="42" t="s">
        <v>512</v>
      </c>
      <c r="D79" s="38">
        <v>100.0</v>
      </c>
      <c r="E79" s="38">
        <v>56.0</v>
      </c>
      <c r="F79" s="188"/>
      <c r="G79" s="38">
        <f t="shared" si="1"/>
        <v>0</v>
      </c>
      <c r="H79" s="71">
        <f t="shared" si="2"/>
        <v>6.428571429</v>
      </c>
      <c r="I79" s="42"/>
    </row>
    <row r="80" ht="15.75" customHeight="1">
      <c r="A80" s="187">
        <v>9.00575719E9</v>
      </c>
      <c r="B80" s="42" t="s">
        <v>513</v>
      </c>
      <c r="C80" s="42" t="s">
        <v>514</v>
      </c>
      <c r="D80" s="38">
        <v>100.0</v>
      </c>
      <c r="E80" s="38">
        <v>56.0</v>
      </c>
      <c r="F80" s="188"/>
      <c r="G80" s="38">
        <f t="shared" si="1"/>
        <v>0</v>
      </c>
      <c r="H80" s="71">
        <f t="shared" si="2"/>
        <v>6.428571429</v>
      </c>
      <c r="I80" s="42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5.75" customHeight="1">
      <c r="A81" s="187">
        <v>8.92838019E9</v>
      </c>
      <c r="B81" s="42" t="s">
        <v>515</v>
      </c>
      <c r="C81" s="42" t="s">
        <v>516</v>
      </c>
      <c r="D81" s="38">
        <v>100.0</v>
      </c>
      <c r="E81" s="38">
        <v>56.0</v>
      </c>
      <c r="F81" s="188"/>
      <c r="G81" s="38">
        <f t="shared" si="1"/>
        <v>0</v>
      </c>
      <c r="H81" s="71">
        <f t="shared" si="2"/>
        <v>6.428571429</v>
      </c>
      <c r="I81" s="42"/>
    </row>
    <row r="82" ht="15.75" customHeight="1">
      <c r="A82" s="187">
        <v>4.61879319E9</v>
      </c>
      <c r="B82" s="42" t="s">
        <v>517</v>
      </c>
      <c r="C82" s="42" t="s">
        <v>518</v>
      </c>
      <c r="D82" s="38">
        <v>100.0</v>
      </c>
      <c r="E82" s="38">
        <v>84.0</v>
      </c>
      <c r="F82" s="188"/>
      <c r="G82" s="38">
        <f t="shared" si="1"/>
        <v>0</v>
      </c>
      <c r="H82" s="71">
        <f t="shared" si="2"/>
        <v>4.285714286</v>
      </c>
      <c r="I82" s="42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5.75" customHeight="1">
      <c r="A83" s="187">
        <v>4.61883119E9</v>
      </c>
      <c r="B83" s="42" t="s">
        <v>519</v>
      </c>
      <c r="C83" s="42" t="s">
        <v>520</v>
      </c>
      <c r="D83" s="38">
        <v>100.0</v>
      </c>
      <c r="E83" s="38">
        <v>84.0</v>
      </c>
      <c r="F83" s="188"/>
      <c r="G83" s="38">
        <f t="shared" si="1"/>
        <v>0</v>
      </c>
      <c r="H83" s="71">
        <f t="shared" si="2"/>
        <v>4.285714286</v>
      </c>
      <c r="I83" s="42"/>
    </row>
    <row r="84" ht="15.75" customHeight="1">
      <c r="A84" s="187">
        <v>9.34527219E9</v>
      </c>
      <c r="B84" s="42" t="s">
        <v>521</v>
      </c>
      <c r="C84" s="42" t="s">
        <v>522</v>
      </c>
      <c r="D84" s="38">
        <v>200.0</v>
      </c>
      <c r="E84" s="38">
        <v>56.0</v>
      </c>
      <c r="F84" s="188"/>
      <c r="G84" s="38">
        <f t="shared" si="1"/>
        <v>0</v>
      </c>
      <c r="H84" s="71">
        <f t="shared" si="2"/>
        <v>6.428571429</v>
      </c>
      <c r="I84" s="42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5.75" customHeight="1">
      <c r="A85" s="187">
        <v>7.12697219E9</v>
      </c>
      <c r="B85" s="42" t="s">
        <v>523</v>
      </c>
      <c r="C85" s="42" t="s">
        <v>524</v>
      </c>
      <c r="D85" s="38">
        <v>100.0</v>
      </c>
      <c r="E85" s="38">
        <v>49.0</v>
      </c>
      <c r="F85" s="188"/>
      <c r="G85" s="38">
        <f t="shared" si="1"/>
        <v>0</v>
      </c>
      <c r="H85" s="71">
        <f t="shared" si="2"/>
        <v>7.346938776</v>
      </c>
      <c r="I85" s="42"/>
    </row>
    <row r="86" ht="15.75" customHeight="1">
      <c r="A86" s="187">
        <v>5.10952319E9</v>
      </c>
      <c r="B86" s="42" t="s">
        <v>525</v>
      </c>
      <c r="C86" s="42" t="s">
        <v>526</v>
      </c>
      <c r="D86" s="38">
        <v>100.0</v>
      </c>
      <c r="E86" s="38">
        <v>84.0</v>
      </c>
      <c r="F86" s="188"/>
      <c r="G86" s="38">
        <f t="shared" si="1"/>
        <v>0</v>
      </c>
      <c r="H86" s="71">
        <f t="shared" si="2"/>
        <v>4.285714286</v>
      </c>
      <c r="I86" s="42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5.75" customHeight="1">
      <c r="A87" s="187">
        <v>3.05200119E9</v>
      </c>
      <c r="B87" s="42" t="s">
        <v>527</v>
      </c>
      <c r="C87" s="42" t="s">
        <v>528</v>
      </c>
      <c r="D87" s="38">
        <v>100.0</v>
      </c>
      <c r="E87" s="38">
        <v>49.0</v>
      </c>
      <c r="F87" s="188"/>
      <c r="G87" s="38">
        <f t="shared" si="1"/>
        <v>0</v>
      </c>
      <c r="H87" s="71">
        <f t="shared" si="2"/>
        <v>7.346938776</v>
      </c>
      <c r="I87" s="42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5.75" customHeight="1">
      <c r="A88" s="187">
        <v>9.01497719E9</v>
      </c>
      <c r="B88" s="42" t="s">
        <v>529</v>
      </c>
      <c r="C88" s="42" t="s">
        <v>530</v>
      </c>
      <c r="D88" s="38">
        <v>100.0</v>
      </c>
      <c r="E88" s="38">
        <v>28.0</v>
      </c>
      <c r="F88" s="188"/>
      <c r="G88" s="38">
        <f t="shared" si="1"/>
        <v>0</v>
      </c>
      <c r="H88" s="71">
        <f t="shared" si="2"/>
        <v>12.85714286</v>
      </c>
      <c r="I88" s="42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5.75" customHeight="1">
      <c r="A89" s="187">
        <v>9.00772519E9</v>
      </c>
      <c r="B89" s="42" t="s">
        <v>531</v>
      </c>
      <c r="C89" s="42" t="s">
        <v>532</v>
      </c>
      <c r="D89" s="38">
        <v>200.0</v>
      </c>
      <c r="E89" s="38">
        <v>56.0</v>
      </c>
      <c r="F89" s="188"/>
      <c r="G89" s="38">
        <f t="shared" si="1"/>
        <v>0</v>
      </c>
      <c r="H89" s="71">
        <f t="shared" si="2"/>
        <v>6.428571429</v>
      </c>
      <c r="I89" s="42"/>
    </row>
    <row r="90" ht="15.75" customHeight="1">
      <c r="A90" s="187">
        <v>9.00774119E9</v>
      </c>
      <c r="B90" s="42" t="s">
        <v>533</v>
      </c>
      <c r="C90" s="42" t="s">
        <v>534</v>
      </c>
      <c r="D90" s="38">
        <v>200.0</v>
      </c>
      <c r="E90" s="38">
        <v>56.0</v>
      </c>
      <c r="F90" s="188"/>
      <c r="G90" s="38">
        <f t="shared" si="1"/>
        <v>0</v>
      </c>
      <c r="H90" s="71">
        <f t="shared" si="2"/>
        <v>6.428571429</v>
      </c>
      <c r="I90" s="42"/>
    </row>
    <row r="91" ht="15.75" customHeight="1">
      <c r="A91" s="187">
        <v>8.94635319E9</v>
      </c>
      <c r="B91" s="42" t="s">
        <v>535</v>
      </c>
      <c r="C91" s="42" t="s">
        <v>536</v>
      </c>
      <c r="D91" s="38">
        <v>100.0</v>
      </c>
      <c r="E91" s="38">
        <v>56.0</v>
      </c>
      <c r="F91" s="188"/>
      <c r="G91" s="38">
        <f t="shared" si="1"/>
        <v>0</v>
      </c>
      <c r="H91" s="71">
        <f t="shared" si="2"/>
        <v>6.428571429</v>
      </c>
      <c r="I91" s="42"/>
    </row>
    <row r="92" ht="15.75" customHeight="1">
      <c r="A92" s="187">
        <v>8.90655619E9</v>
      </c>
      <c r="B92" s="42" t="s">
        <v>537</v>
      </c>
      <c r="C92" s="42" t="s">
        <v>538</v>
      </c>
      <c r="D92" s="38">
        <v>100.0</v>
      </c>
      <c r="E92" s="38">
        <v>28.0</v>
      </c>
      <c r="F92" s="188"/>
      <c r="G92" s="38">
        <f t="shared" si="1"/>
        <v>0</v>
      </c>
      <c r="H92" s="71">
        <f t="shared" si="2"/>
        <v>12.85714286</v>
      </c>
      <c r="I92" s="42"/>
    </row>
    <row r="93" ht="15.75" customHeight="1">
      <c r="A93" s="187">
        <v>8.79168619E9</v>
      </c>
      <c r="B93" s="42" t="s">
        <v>539</v>
      </c>
      <c r="C93" s="42" t="s">
        <v>540</v>
      </c>
      <c r="D93" s="38">
        <v>100.0</v>
      </c>
      <c r="E93" s="38">
        <v>56.0</v>
      </c>
      <c r="F93" s="188"/>
      <c r="G93" s="38">
        <f t="shared" si="1"/>
        <v>0</v>
      </c>
      <c r="H93" s="71">
        <f t="shared" si="2"/>
        <v>6.428571429</v>
      </c>
      <c r="I93" s="42"/>
    </row>
    <row r="94" ht="15.75" customHeight="1">
      <c r="A94" s="187">
        <v>5.80257119E9</v>
      </c>
      <c r="B94" s="42" t="s">
        <v>541</v>
      </c>
      <c r="C94" s="42" t="s">
        <v>542</v>
      </c>
      <c r="D94" s="38">
        <v>100.0</v>
      </c>
      <c r="E94" s="38">
        <v>84.0</v>
      </c>
      <c r="F94" s="188"/>
      <c r="G94" s="38">
        <f t="shared" si="1"/>
        <v>0</v>
      </c>
      <c r="H94" s="71">
        <f t="shared" si="2"/>
        <v>4.285714286</v>
      </c>
      <c r="I94" s="42"/>
    </row>
    <row r="95" ht="15.75" customHeight="1">
      <c r="A95" s="187">
        <v>4.61881519E9</v>
      </c>
      <c r="B95" s="42" t="s">
        <v>543</v>
      </c>
      <c r="C95" s="42" t="s">
        <v>544</v>
      </c>
      <c r="D95" s="38">
        <v>100.0</v>
      </c>
      <c r="E95" s="38">
        <v>84.0</v>
      </c>
      <c r="F95" s="188"/>
      <c r="G95" s="38">
        <f t="shared" si="1"/>
        <v>0</v>
      </c>
      <c r="H95" s="71">
        <f t="shared" si="2"/>
        <v>4.285714286</v>
      </c>
      <c r="I95" s="42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5.75" customHeight="1">
      <c r="A96" s="187">
        <v>4.61885819E9</v>
      </c>
      <c r="B96" s="42" t="s">
        <v>545</v>
      </c>
      <c r="C96" s="42" t="s">
        <v>546</v>
      </c>
      <c r="D96" s="38">
        <v>100.0</v>
      </c>
      <c r="E96" s="38">
        <v>84.0</v>
      </c>
      <c r="F96" s="188"/>
      <c r="G96" s="38">
        <f t="shared" si="1"/>
        <v>0</v>
      </c>
      <c r="H96" s="71">
        <f t="shared" si="2"/>
        <v>4.285714286</v>
      </c>
      <c r="I96" s="42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5.75" customHeight="1">
      <c r="A97" s="187">
        <v>5.09479819E9</v>
      </c>
      <c r="B97" s="42" t="s">
        <v>547</v>
      </c>
      <c r="C97" s="42" t="s">
        <v>548</v>
      </c>
      <c r="D97" s="38">
        <v>100.0</v>
      </c>
      <c r="E97" s="38">
        <v>14.0</v>
      </c>
      <c r="F97" s="188"/>
      <c r="G97" s="38">
        <f t="shared" si="1"/>
        <v>0</v>
      </c>
      <c r="H97" s="71">
        <f t="shared" si="2"/>
        <v>25.71428571</v>
      </c>
      <c r="I97" s="42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5.75" customHeight="1">
      <c r="A98" s="187">
        <v>9.31532219E9</v>
      </c>
      <c r="B98" s="42" t="s">
        <v>549</v>
      </c>
      <c r="C98" s="42" t="s">
        <v>550</v>
      </c>
      <c r="D98" s="38">
        <v>200.0</v>
      </c>
      <c r="E98" s="38">
        <v>28.0</v>
      </c>
      <c r="F98" s="188"/>
      <c r="G98" s="38">
        <f t="shared" si="1"/>
        <v>0</v>
      </c>
      <c r="H98" s="71">
        <f t="shared" si="2"/>
        <v>12.85714286</v>
      </c>
      <c r="I98" s="42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5.75" customHeight="1">
      <c r="A99" s="187">
        <v>9.31534919E9</v>
      </c>
      <c r="B99" s="42" t="s">
        <v>551</v>
      </c>
      <c r="C99" s="42" t="s">
        <v>552</v>
      </c>
      <c r="D99" s="38">
        <v>100.0</v>
      </c>
      <c r="E99" s="38">
        <v>28.0</v>
      </c>
      <c r="F99" s="188"/>
      <c r="G99" s="38">
        <f t="shared" si="1"/>
        <v>0</v>
      </c>
      <c r="H99" s="71">
        <f t="shared" si="2"/>
        <v>12.85714286</v>
      </c>
      <c r="I99" s="42"/>
    </row>
    <row r="100" ht="15.75" customHeight="1">
      <c r="A100" s="187">
        <v>8.42932419E9</v>
      </c>
      <c r="B100" s="42" t="s">
        <v>553</v>
      </c>
      <c r="C100" s="42" t="s">
        <v>554</v>
      </c>
      <c r="D100" s="38">
        <v>200.0</v>
      </c>
      <c r="E100" s="38">
        <v>56.0</v>
      </c>
      <c r="F100" s="188"/>
      <c r="G100" s="38">
        <f t="shared" si="1"/>
        <v>0</v>
      </c>
      <c r="H100" s="71">
        <f t="shared" si="2"/>
        <v>6.428571429</v>
      </c>
      <c r="I100" s="42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5.75" customHeight="1">
      <c r="A101" s="187">
        <v>7.21277119E9</v>
      </c>
      <c r="B101" s="42" t="s">
        <v>555</v>
      </c>
      <c r="C101" s="42" t="s">
        <v>556</v>
      </c>
      <c r="D101" s="38">
        <v>100.0</v>
      </c>
      <c r="E101" s="38">
        <v>60.0</v>
      </c>
      <c r="F101" s="188"/>
      <c r="G101" s="38">
        <f t="shared" si="1"/>
        <v>0</v>
      </c>
      <c r="H101" s="71">
        <f t="shared" si="2"/>
        <v>6</v>
      </c>
      <c r="I101" s="42"/>
    </row>
    <row r="102" ht="15.75" customHeight="1">
      <c r="A102" s="187">
        <v>9.03807819E9</v>
      </c>
      <c r="B102" s="42" t="s">
        <v>557</v>
      </c>
      <c r="C102" s="42" t="s">
        <v>558</v>
      </c>
      <c r="D102" s="38">
        <v>100.0</v>
      </c>
      <c r="E102" s="38">
        <v>28.0</v>
      </c>
      <c r="F102" s="188"/>
      <c r="G102" s="38">
        <f t="shared" si="1"/>
        <v>0</v>
      </c>
      <c r="H102" s="71">
        <f t="shared" si="2"/>
        <v>12.85714286</v>
      </c>
      <c r="I102" s="42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5.75" customHeight="1">
      <c r="A103" s="190" t="s">
        <v>208</v>
      </c>
      <c r="B103" s="191"/>
      <c r="C103" s="191"/>
      <c r="D103" s="191"/>
      <c r="E103" s="179"/>
      <c r="F103" s="192">
        <f>SUM(F9:F102)</f>
        <v>0</v>
      </c>
      <c r="G103" s="192"/>
      <c r="H103" s="193"/>
      <c r="I103" s="19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5.75" customHeight="1">
      <c r="A104" s="195" t="s">
        <v>304</v>
      </c>
      <c r="B104" s="195"/>
      <c r="C104" s="195"/>
      <c r="D104" s="195" t="s">
        <v>324</v>
      </c>
      <c r="E104" s="195" t="s">
        <v>559</v>
      </c>
      <c r="F104" s="196"/>
      <c r="G104" s="196" t="s">
        <v>138</v>
      </c>
      <c r="H104" s="197" t="s">
        <v>139</v>
      </c>
      <c r="I104" s="196" t="s">
        <v>140</v>
      </c>
    </row>
    <row r="105" ht="15.75" customHeight="1">
      <c r="A105" s="187">
        <v>8.95982019E9</v>
      </c>
      <c r="B105" s="42" t="s">
        <v>560</v>
      </c>
      <c r="C105" s="38" t="s">
        <v>561</v>
      </c>
      <c r="D105" s="38">
        <v>2.0</v>
      </c>
      <c r="E105" s="38">
        <v>28.0</v>
      </c>
      <c r="F105" s="38"/>
      <c r="G105" s="38"/>
      <c r="H105" s="71">
        <f t="shared" ref="H105:H168" si="3">(360/E105)/D105</f>
        <v>6.428571429</v>
      </c>
      <c r="I105" s="42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5.75" customHeight="1">
      <c r="A106" s="187">
        <v>9.22726119E9</v>
      </c>
      <c r="B106" s="42" t="s">
        <v>562</v>
      </c>
      <c r="C106" s="38" t="s">
        <v>561</v>
      </c>
      <c r="D106" s="38">
        <v>2.0</v>
      </c>
      <c r="E106" s="38">
        <v>84.0</v>
      </c>
      <c r="F106" s="38"/>
      <c r="G106" s="38"/>
      <c r="H106" s="71">
        <f t="shared" si="3"/>
        <v>2.142857143</v>
      </c>
      <c r="I106" s="42"/>
    </row>
    <row r="107" ht="15.75" customHeight="1">
      <c r="A107" s="187">
        <v>7.95720319E9</v>
      </c>
      <c r="B107" s="42" t="s">
        <v>563</v>
      </c>
      <c r="C107" s="38" t="s">
        <v>561</v>
      </c>
      <c r="D107" s="38">
        <v>2.0</v>
      </c>
      <c r="E107" s="38">
        <v>28.0</v>
      </c>
      <c r="F107" s="38"/>
      <c r="G107" s="38"/>
      <c r="H107" s="71">
        <f t="shared" si="3"/>
        <v>6.428571429</v>
      </c>
      <c r="I107" s="42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5.75" customHeight="1">
      <c r="A108" s="187">
        <v>9.28929119E9</v>
      </c>
      <c r="B108" s="42" t="s">
        <v>564</v>
      </c>
      <c r="C108" s="38" t="s">
        <v>561</v>
      </c>
      <c r="D108" s="38">
        <v>2.0</v>
      </c>
      <c r="E108" s="38">
        <v>42.0</v>
      </c>
      <c r="F108" s="38"/>
      <c r="G108" s="38"/>
      <c r="H108" s="71">
        <f t="shared" si="3"/>
        <v>4.285714286</v>
      </c>
      <c r="I108" s="42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5.75" customHeight="1">
      <c r="A109" s="187">
        <v>9.00503019E9</v>
      </c>
      <c r="B109" s="42" t="s">
        <v>565</v>
      </c>
      <c r="C109" s="38" t="s">
        <v>561</v>
      </c>
      <c r="D109" s="38">
        <v>2.0</v>
      </c>
      <c r="E109" s="38">
        <v>42.0</v>
      </c>
      <c r="F109" s="38"/>
      <c r="G109" s="38"/>
      <c r="H109" s="71">
        <f t="shared" si="3"/>
        <v>4.285714286</v>
      </c>
      <c r="I109" s="42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5.75" customHeight="1">
      <c r="A110" s="187">
        <v>6.47293119E9</v>
      </c>
      <c r="B110" s="69" t="s">
        <v>566</v>
      </c>
      <c r="C110" s="38" t="s">
        <v>561</v>
      </c>
      <c r="D110" s="38">
        <v>2.0</v>
      </c>
      <c r="E110" s="38">
        <v>56.0</v>
      </c>
      <c r="F110" s="38"/>
      <c r="G110" s="38"/>
      <c r="H110" s="71">
        <f t="shared" si="3"/>
        <v>3.214285714</v>
      </c>
      <c r="I110" s="42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5.75" customHeight="1">
      <c r="A111" s="187">
        <v>8.49664119E9</v>
      </c>
      <c r="B111" s="42" t="s">
        <v>567</v>
      </c>
      <c r="C111" s="38" t="s">
        <v>561</v>
      </c>
      <c r="D111" s="38">
        <v>2.0</v>
      </c>
      <c r="E111" s="38">
        <v>84.0</v>
      </c>
      <c r="F111" s="38"/>
      <c r="G111" s="38"/>
      <c r="H111" s="71">
        <f t="shared" si="3"/>
        <v>2.142857143</v>
      </c>
      <c r="I111" s="42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5.75" customHeight="1">
      <c r="A112" s="187">
        <v>1.1972316122E10</v>
      </c>
      <c r="B112" s="42" t="s">
        <v>568</v>
      </c>
      <c r="C112" s="38" t="s">
        <v>561</v>
      </c>
      <c r="D112" s="38">
        <v>2.0</v>
      </c>
      <c r="E112" s="38">
        <v>84.0</v>
      </c>
      <c r="F112" s="38"/>
      <c r="G112" s="38"/>
      <c r="H112" s="71">
        <f t="shared" si="3"/>
        <v>2.142857143</v>
      </c>
      <c r="I112" s="42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5.75" customHeight="1">
      <c r="A113" s="187">
        <v>7.03020719E9</v>
      </c>
      <c r="B113" s="42" t="s">
        <v>569</v>
      </c>
      <c r="C113" s="38" t="s">
        <v>561</v>
      </c>
      <c r="D113" s="38">
        <v>2.0</v>
      </c>
      <c r="E113" s="38">
        <v>140.0</v>
      </c>
      <c r="F113" s="38"/>
      <c r="G113" s="38"/>
      <c r="H113" s="71">
        <f t="shared" si="3"/>
        <v>1.285714286</v>
      </c>
      <c r="I113" s="42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5.75" customHeight="1">
      <c r="A114" s="187">
        <v>3.045846122E9</v>
      </c>
      <c r="B114" s="42" t="s">
        <v>570</v>
      </c>
      <c r="C114" s="38" t="s">
        <v>561</v>
      </c>
      <c r="D114" s="38">
        <v>2.0</v>
      </c>
      <c r="E114" s="38">
        <v>84.0</v>
      </c>
      <c r="F114" s="38"/>
      <c r="G114" s="38"/>
      <c r="H114" s="71">
        <f t="shared" si="3"/>
        <v>2.142857143</v>
      </c>
      <c r="I114" s="42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5.75" customHeight="1">
      <c r="A115" s="187">
        <v>1.1776215122E10</v>
      </c>
      <c r="B115" s="42" t="s">
        <v>571</v>
      </c>
      <c r="C115" s="38" t="s">
        <v>561</v>
      </c>
      <c r="D115" s="38">
        <v>2.0</v>
      </c>
      <c r="E115" s="38">
        <v>56.0</v>
      </c>
      <c r="F115" s="38"/>
      <c r="G115" s="38"/>
      <c r="H115" s="71">
        <f t="shared" si="3"/>
        <v>3.214285714</v>
      </c>
      <c r="I115" s="42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5.75" customHeight="1">
      <c r="A116" s="187">
        <v>9.17513019E9</v>
      </c>
      <c r="B116" s="42" t="s">
        <v>572</v>
      </c>
      <c r="C116" s="38" t="s">
        <v>561</v>
      </c>
      <c r="D116" s="38">
        <v>2.0</v>
      </c>
      <c r="E116" s="38">
        <v>42.0</v>
      </c>
      <c r="F116" s="38"/>
      <c r="G116" s="38"/>
      <c r="H116" s="71">
        <f t="shared" si="3"/>
        <v>4.285714286</v>
      </c>
      <c r="I116" s="42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5.75" customHeight="1">
      <c r="A117" s="187">
        <v>1.1731645322E10</v>
      </c>
      <c r="B117" s="42" t="s">
        <v>573</v>
      </c>
      <c r="C117" s="38" t="s">
        <v>561</v>
      </c>
      <c r="D117" s="38">
        <v>2.0</v>
      </c>
      <c r="E117" s="38">
        <v>84.0</v>
      </c>
      <c r="F117" s="38"/>
      <c r="G117" s="38"/>
      <c r="H117" s="71">
        <f t="shared" si="3"/>
        <v>2.142857143</v>
      </c>
      <c r="I117" s="42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5.75" customHeight="1">
      <c r="A118" s="187" t="s">
        <v>574</v>
      </c>
      <c r="B118" s="42" t="s">
        <v>575</v>
      </c>
      <c r="C118" s="38" t="s">
        <v>561</v>
      </c>
      <c r="D118" s="38">
        <v>2.0</v>
      </c>
      <c r="E118" s="38">
        <v>84.0</v>
      </c>
      <c r="F118" s="38"/>
      <c r="G118" s="38"/>
      <c r="H118" s="71">
        <f t="shared" si="3"/>
        <v>2.142857143</v>
      </c>
      <c r="I118" s="42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5.75" customHeight="1">
      <c r="A119" s="187">
        <v>6.68775019E9</v>
      </c>
      <c r="B119" s="42" t="s">
        <v>576</v>
      </c>
      <c r="C119" s="38" t="s">
        <v>561</v>
      </c>
      <c r="D119" s="38">
        <v>2.0</v>
      </c>
      <c r="E119" s="38">
        <v>84.0</v>
      </c>
      <c r="F119" s="38"/>
      <c r="G119" s="38"/>
      <c r="H119" s="71">
        <f t="shared" si="3"/>
        <v>2.142857143</v>
      </c>
      <c r="I119" s="42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5.75" customHeight="1">
      <c r="A120" s="187">
        <v>3.18491919E9</v>
      </c>
      <c r="B120" s="42" t="s">
        <v>577</v>
      </c>
      <c r="C120" s="38" t="s">
        <v>561</v>
      </c>
      <c r="D120" s="38">
        <v>2.0</v>
      </c>
      <c r="E120" s="38">
        <v>28.0</v>
      </c>
      <c r="F120" s="38"/>
      <c r="G120" s="38"/>
      <c r="H120" s="71">
        <f t="shared" si="3"/>
        <v>6.428571429</v>
      </c>
      <c r="I120" s="42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5.75" customHeight="1">
      <c r="A121" s="187">
        <v>1.1820974322E10</v>
      </c>
      <c r="B121" s="42" t="s">
        <v>578</v>
      </c>
      <c r="C121" s="38" t="s">
        <v>561</v>
      </c>
      <c r="D121" s="38">
        <v>2.0</v>
      </c>
      <c r="E121" s="38">
        <v>56.0</v>
      </c>
      <c r="F121" s="38"/>
      <c r="G121" s="38"/>
      <c r="H121" s="71">
        <f t="shared" si="3"/>
        <v>3.214285714</v>
      </c>
      <c r="I121" s="42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5.75" customHeight="1">
      <c r="A122" s="187">
        <v>3.000095122E9</v>
      </c>
      <c r="B122" s="42" t="s">
        <v>579</v>
      </c>
      <c r="C122" s="38" t="s">
        <v>561</v>
      </c>
      <c r="D122" s="38">
        <v>2.0</v>
      </c>
      <c r="E122" s="38">
        <v>84.0</v>
      </c>
      <c r="F122" s="38"/>
      <c r="G122" s="38"/>
      <c r="H122" s="71">
        <f t="shared" si="3"/>
        <v>2.142857143</v>
      </c>
      <c r="I122" s="42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5.75" customHeight="1">
      <c r="A123" s="187">
        <v>1.1820907322E10</v>
      </c>
      <c r="B123" s="42" t="s">
        <v>580</v>
      </c>
      <c r="C123" s="38" t="s">
        <v>561</v>
      </c>
      <c r="D123" s="38">
        <v>2.0</v>
      </c>
      <c r="E123" s="38">
        <v>56.0</v>
      </c>
      <c r="F123" s="38"/>
      <c r="G123" s="38"/>
      <c r="H123" s="71">
        <f t="shared" si="3"/>
        <v>3.214285714</v>
      </c>
      <c r="I123" s="42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5.75" customHeight="1">
      <c r="A124" s="187">
        <v>6.65604819E9</v>
      </c>
      <c r="B124" s="69" t="s">
        <v>581</v>
      </c>
      <c r="C124" s="38" t="s">
        <v>561</v>
      </c>
      <c r="D124" s="38">
        <v>2.0</v>
      </c>
      <c r="E124" s="38">
        <v>31.0</v>
      </c>
      <c r="F124" s="38"/>
      <c r="G124" s="38"/>
      <c r="H124" s="71">
        <f t="shared" si="3"/>
        <v>5.806451613</v>
      </c>
      <c r="I124" s="42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5.75" customHeight="1">
      <c r="A125" s="187">
        <v>3.73758619E9</v>
      </c>
      <c r="B125" s="42" t="s">
        <v>582</v>
      </c>
      <c r="C125" s="38" t="s">
        <v>561</v>
      </c>
      <c r="D125" s="38">
        <v>2.0</v>
      </c>
      <c r="E125" s="38">
        <v>84.0</v>
      </c>
      <c r="F125" s="38"/>
      <c r="G125" s="38"/>
      <c r="H125" s="71">
        <f t="shared" si="3"/>
        <v>2.142857143</v>
      </c>
      <c r="I125" s="42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5.75" customHeight="1">
      <c r="A126" s="187">
        <v>7.56000119E9</v>
      </c>
      <c r="B126" s="42" t="s">
        <v>583</v>
      </c>
      <c r="C126" s="38" t="s">
        <v>561</v>
      </c>
      <c r="D126" s="38">
        <v>2.0</v>
      </c>
      <c r="E126" s="38">
        <v>84.0</v>
      </c>
      <c r="F126" s="38"/>
      <c r="G126" s="38"/>
      <c r="H126" s="71">
        <f t="shared" si="3"/>
        <v>2.142857143</v>
      </c>
      <c r="I126" s="42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5.75" customHeight="1">
      <c r="A127" s="187">
        <v>4.8540802E9</v>
      </c>
      <c r="B127" s="42" t="s">
        <v>584</v>
      </c>
      <c r="C127" s="38" t="s">
        <v>561</v>
      </c>
      <c r="D127" s="38">
        <v>2.0</v>
      </c>
      <c r="E127" s="38">
        <v>84.0</v>
      </c>
      <c r="F127" s="38"/>
      <c r="G127" s="38"/>
      <c r="H127" s="71">
        <f t="shared" si="3"/>
        <v>2.142857143</v>
      </c>
      <c r="I127" s="42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5.75" customHeight="1">
      <c r="A128" s="187">
        <v>8.85196419E9</v>
      </c>
      <c r="B128" s="42" t="s">
        <v>585</v>
      </c>
      <c r="C128" s="38" t="s">
        <v>561</v>
      </c>
      <c r="D128" s="38">
        <v>2.0</v>
      </c>
      <c r="E128" s="38">
        <v>84.0</v>
      </c>
      <c r="F128" s="38"/>
      <c r="G128" s="38"/>
      <c r="H128" s="71">
        <f t="shared" si="3"/>
        <v>2.142857143</v>
      </c>
      <c r="I128" s="42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5.75" customHeight="1">
      <c r="A129" s="187">
        <v>9.55744019E9</v>
      </c>
      <c r="B129" s="42" t="s">
        <v>586</v>
      </c>
      <c r="C129" s="38" t="s">
        <v>561</v>
      </c>
      <c r="D129" s="38">
        <v>2.0</v>
      </c>
      <c r="E129" s="38">
        <v>84.0</v>
      </c>
      <c r="F129" s="38"/>
      <c r="G129" s="38"/>
      <c r="H129" s="71">
        <f t="shared" si="3"/>
        <v>2.142857143</v>
      </c>
      <c r="I129" s="42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5.75" customHeight="1">
      <c r="A130" s="198">
        <v>9.07787119E9</v>
      </c>
      <c r="B130" s="42" t="s">
        <v>587</v>
      </c>
      <c r="C130" s="38" t="s">
        <v>561</v>
      </c>
      <c r="D130" s="38">
        <v>2.0</v>
      </c>
      <c r="E130" s="38">
        <v>56.0</v>
      </c>
      <c r="F130" s="38"/>
      <c r="G130" s="38"/>
      <c r="H130" s="71">
        <f t="shared" si="3"/>
        <v>3.214285714</v>
      </c>
      <c r="I130" s="42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5.75" customHeight="1">
      <c r="A131" s="187">
        <v>9.04329219E9</v>
      </c>
      <c r="B131" s="42" t="s">
        <v>588</v>
      </c>
      <c r="C131" s="38" t="s">
        <v>561</v>
      </c>
      <c r="D131" s="38">
        <v>2.0</v>
      </c>
      <c r="E131" s="38">
        <v>84.0</v>
      </c>
      <c r="F131" s="38"/>
      <c r="G131" s="38"/>
      <c r="H131" s="71">
        <f t="shared" si="3"/>
        <v>2.142857143</v>
      </c>
      <c r="I131" s="42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5.75" customHeight="1">
      <c r="A132" s="187" t="s">
        <v>589</v>
      </c>
      <c r="B132" s="42" t="s">
        <v>590</v>
      </c>
      <c r="C132" s="38" t="s">
        <v>561</v>
      </c>
      <c r="D132" s="38">
        <v>2.0</v>
      </c>
      <c r="E132" s="38">
        <v>56.0</v>
      </c>
      <c r="F132" s="38"/>
      <c r="G132" s="38"/>
      <c r="H132" s="71">
        <f t="shared" si="3"/>
        <v>3.214285714</v>
      </c>
      <c r="I132" s="42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5.75" customHeight="1">
      <c r="A133" s="187">
        <v>9.01329619E9</v>
      </c>
      <c r="B133" s="42" t="s">
        <v>591</v>
      </c>
      <c r="C133" s="38" t="s">
        <v>561</v>
      </c>
      <c r="D133" s="38">
        <v>2.0</v>
      </c>
      <c r="E133" s="38">
        <v>84.0</v>
      </c>
      <c r="F133" s="38"/>
      <c r="G133" s="38"/>
      <c r="H133" s="71">
        <f t="shared" si="3"/>
        <v>2.142857143</v>
      </c>
      <c r="I133" s="42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5.75" customHeight="1">
      <c r="A134" s="187">
        <v>3.30265219E9</v>
      </c>
      <c r="B134" s="42" t="s">
        <v>592</v>
      </c>
      <c r="C134" s="38" t="s">
        <v>561</v>
      </c>
      <c r="D134" s="38">
        <v>2.0</v>
      </c>
      <c r="E134" s="38">
        <v>84.0</v>
      </c>
      <c r="F134" s="38"/>
      <c r="G134" s="38"/>
      <c r="H134" s="71">
        <f t="shared" si="3"/>
        <v>2.142857143</v>
      </c>
      <c r="I134" s="42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5.75" customHeight="1">
      <c r="A135" s="187" t="s">
        <v>593</v>
      </c>
      <c r="B135" s="42" t="s">
        <v>594</v>
      </c>
      <c r="C135" s="38" t="s">
        <v>561</v>
      </c>
      <c r="D135" s="38">
        <v>2.0</v>
      </c>
      <c r="E135" s="38">
        <v>56.0</v>
      </c>
      <c r="F135" s="38"/>
      <c r="G135" s="38"/>
      <c r="H135" s="71">
        <f t="shared" si="3"/>
        <v>3.214285714</v>
      </c>
      <c r="I135" s="42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5.75" customHeight="1">
      <c r="A136" s="187" t="s">
        <v>595</v>
      </c>
      <c r="B136" s="42" t="s">
        <v>596</v>
      </c>
      <c r="C136" s="38" t="s">
        <v>561</v>
      </c>
      <c r="D136" s="38">
        <v>2.0</v>
      </c>
      <c r="E136" s="38">
        <v>28.0</v>
      </c>
      <c r="F136" s="38"/>
      <c r="G136" s="38"/>
      <c r="H136" s="71">
        <f t="shared" si="3"/>
        <v>6.428571429</v>
      </c>
      <c r="I136" s="42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5.75" customHeight="1">
      <c r="A137" s="187">
        <v>1.1930427122E10</v>
      </c>
      <c r="B137" s="42" t="s">
        <v>597</v>
      </c>
      <c r="C137" s="38" t="s">
        <v>561</v>
      </c>
      <c r="D137" s="38">
        <v>2.0</v>
      </c>
      <c r="E137" s="38">
        <v>84.0</v>
      </c>
      <c r="F137" s="38"/>
      <c r="G137" s="38"/>
      <c r="H137" s="71">
        <f t="shared" si="3"/>
        <v>2.142857143</v>
      </c>
      <c r="I137" s="42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5.75" customHeight="1">
      <c r="A138" s="187">
        <v>7.47596919E9</v>
      </c>
      <c r="B138" s="42" t="s">
        <v>598</v>
      </c>
      <c r="C138" s="38" t="s">
        <v>561</v>
      </c>
      <c r="D138" s="38">
        <v>2.0</v>
      </c>
      <c r="E138" s="38">
        <v>31.0</v>
      </c>
      <c r="F138" s="38"/>
      <c r="G138" s="38"/>
      <c r="H138" s="71">
        <f t="shared" si="3"/>
        <v>5.806451613</v>
      </c>
      <c r="I138" s="42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5.75" customHeight="1">
      <c r="A139" s="187">
        <v>7.57476219E9</v>
      </c>
      <c r="B139" s="42" t="s">
        <v>599</v>
      </c>
      <c r="C139" s="38" t="s">
        <v>561</v>
      </c>
      <c r="D139" s="38">
        <v>2.0</v>
      </c>
      <c r="E139" s="38">
        <v>84.0</v>
      </c>
      <c r="F139" s="38"/>
      <c r="G139" s="38"/>
      <c r="H139" s="71">
        <f t="shared" si="3"/>
        <v>2.142857143</v>
      </c>
      <c r="I139" s="42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5.75" customHeight="1">
      <c r="A140" s="187">
        <v>5.10946919E9</v>
      </c>
      <c r="B140" s="42" t="s">
        <v>600</v>
      </c>
      <c r="C140" s="38" t="s">
        <v>561</v>
      </c>
      <c r="D140" s="38">
        <v>2.0</v>
      </c>
      <c r="E140" s="38">
        <v>84.0</v>
      </c>
      <c r="F140" s="38"/>
      <c r="G140" s="38"/>
      <c r="H140" s="71">
        <f t="shared" si="3"/>
        <v>2.142857143</v>
      </c>
      <c r="I140" s="42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5.75" customHeight="1">
      <c r="A141" s="187">
        <v>1.2017504122E10</v>
      </c>
      <c r="B141" s="42" t="s">
        <v>601</v>
      </c>
      <c r="C141" s="38" t="s">
        <v>561</v>
      </c>
      <c r="D141" s="38">
        <v>2.0</v>
      </c>
      <c r="E141" s="38">
        <v>84.0</v>
      </c>
      <c r="F141" s="38"/>
      <c r="G141" s="38"/>
      <c r="H141" s="71">
        <f t="shared" si="3"/>
        <v>2.142857143</v>
      </c>
      <c r="I141" s="42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5.75" customHeight="1">
      <c r="A142" s="187">
        <v>9.55742319E9</v>
      </c>
      <c r="B142" s="69" t="s">
        <v>602</v>
      </c>
      <c r="C142" s="38" t="s">
        <v>561</v>
      </c>
      <c r="D142" s="38">
        <v>2.0</v>
      </c>
      <c r="E142" s="38">
        <v>84.0</v>
      </c>
      <c r="F142" s="38"/>
      <c r="G142" s="38"/>
      <c r="H142" s="71">
        <f t="shared" si="3"/>
        <v>2.142857143</v>
      </c>
      <c r="I142" s="42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5.75" customHeight="1">
      <c r="A143" s="187">
        <v>1.1820893122E10</v>
      </c>
      <c r="B143" s="42" t="s">
        <v>603</v>
      </c>
      <c r="C143" s="38" t="s">
        <v>561</v>
      </c>
      <c r="D143" s="38">
        <v>2.0</v>
      </c>
      <c r="E143" s="38">
        <v>84.0</v>
      </c>
      <c r="F143" s="38"/>
      <c r="G143" s="38"/>
      <c r="H143" s="71">
        <f t="shared" si="3"/>
        <v>2.142857143</v>
      </c>
      <c r="I143" s="42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5.75" customHeight="1">
      <c r="A144" s="187">
        <v>1.1972111122E10</v>
      </c>
      <c r="B144" s="42" t="s">
        <v>604</v>
      </c>
      <c r="C144" s="38" t="s">
        <v>561</v>
      </c>
      <c r="D144" s="38">
        <v>2.0</v>
      </c>
      <c r="E144" s="38">
        <v>84.0</v>
      </c>
      <c r="F144" s="38"/>
      <c r="G144" s="38"/>
      <c r="H144" s="71">
        <f t="shared" si="3"/>
        <v>2.142857143</v>
      </c>
      <c r="I144" s="42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5.75" customHeight="1">
      <c r="A145" s="187">
        <v>1.2133121122E10</v>
      </c>
      <c r="B145" s="42" t="s">
        <v>605</v>
      </c>
      <c r="C145" s="38" t="s">
        <v>561</v>
      </c>
      <c r="D145" s="38">
        <v>2.0</v>
      </c>
      <c r="E145" s="38">
        <v>42.0</v>
      </c>
      <c r="F145" s="38"/>
      <c r="G145" s="38"/>
      <c r="H145" s="71">
        <f t="shared" si="3"/>
        <v>4.285714286</v>
      </c>
      <c r="I145" s="42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5.75" customHeight="1">
      <c r="A146" s="187">
        <v>4.8541012E9</v>
      </c>
      <c r="B146" s="42" t="s">
        <v>606</v>
      </c>
      <c r="C146" s="38" t="s">
        <v>561</v>
      </c>
      <c r="D146" s="38">
        <v>2.0</v>
      </c>
      <c r="E146" s="38">
        <v>84.0</v>
      </c>
      <c r="F146" s="38"/>
      <c r="G146" s="38"/>
      <c r="H146" s="71">
        <f t="shared" si="3"/>
        <v>2.142857143</v>
      </c>
      <c r="I146" s="42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5.75" customHeight="1">
      <c r="A147" s="187">
        <v>5.14470119E9</v>
      </c>
      <c r="B147" s="42" t="s">
        <v>607</v>
      </c>
      <c r="C147" s="38" t="s">
        <v>561</v>
      </c>
      <c r="D147" s="38">
        <v>2.0</v>
      </c>
      <c r="E147" s="38">
        <v>28.0</v>
      </c>
      <c r="F147" s="38"/>
      <c r="G147" s="38"/>
      <c r="H147" s="71">
        <f t="shared" si="3"/>
        <v>6.428571429</v>
      </c>
      <c r="I147" s="42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5.75" customHeight="1">
      <c r="A148" s="187">
        <v>9.31529219E9</v>
      </c>
      <c r="B148" s="42" t="s">
        <v>608</v>
      </c>
      <c r="C148" s="38" t="s">
        <v>561</v>
      </c>
      <c r="D148" s="38">
        <v>2.0</v>
      </c>
      <c r="E148" s="38">
        <v>84.0</v>
      </c>
      <c r="F148" s="38"/>
      <c r="G148" s="38"/>
      <c r="H148" s="71">
        <f t="shared" si="3"/>
        <v>2.142857143</v>
      </c>
      <c r="I148" s="42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5.75" customHeight="1">
      <c r="A149" s="187">
        <v>9.31527619E9</v>
      </c>
      <c r="B149" s="42" t="s">
        <v>609</v>
      </c>
      <c r="C149" s="38" t="s">
        <v>561</v>
      </c>
      <c r="D149" s="38">
        <v>2.0</v>
      </c>
      <c r="E149" s="38"/>
      <c r="F149" s="38"/>
      <c r="G149" s="38"/>
      <c r="H149" s="71" t="str">
        <f t="shared" si="3"/>
        <v>#DIV/0!</v>
      </c>
      <c r="I149" s="42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5.75" customHeight="1">
      <c r="A150" s="187">
        <v>7.09254719E9</v>
      </c>
      <c r="B150" s="42" t="s">
        <v>610</v>
      </c>
      <c r="C150" s="38" t="s">
        <v>561</v>
      </c>
      <c r="D150" s="38">
        <v>2.0</v>
      </c>
      <c r="E150" s="38">
        <v>31.0</v>
      </c>
      <c r="F150" s="38"/>
      <c r="G150" s="38"/>
      <c r="H150" s="71">
        <f t="shared" si="3"/>
        <v>5.806451613</v>
      </c>
      <c r="I150" s="42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5.75" customHeight="1">
      <c r="A151" s="187">
        <v>6.50597019E9</v>
      </c>
      <c r="B151" s="42" t="s">
        <v>611</v>
      </c>
      <c r="C151" s="38" t="s">
        <v>561</v>
      </c>
      <c r="D151" s="38">
        <v>2.0</v>
      </c>
      <c r="E151" s="38">
        <v>56.0</v>
      </c>
      <c r="F151" s="38"/>
      <c r="G151" s="38"/>
      <c r="H151" s="71">
        <f t="shared" si="3"/>
        <v>3.214285714</v>
      </c>
      <c r="I151" s="42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5.75" customHeight="1">
      <c r="A152" s="187">
        <v>3.27735619E9</v>
      </c>
      <c r="B152" s="42" t="s">
        <v>612</v>
      </c>
      <c r="C152" s="38" t="s">
        <v>561</v>
      </c>
      <c r="D152" s="38">
        <v>2.0</v>
      </c>
      <c r="E152" s="38">
        <v>84.0</v>
      </c>
      <c r="F152" s="38"/>
      <c r="G152" s="38"/>
      <c r="H152" s="71">
        <f t="shared" si="3"/>
        <v>2.142857143</v>
      </c>
      <c r="I152" s="42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5.75" customHeight="1">
      <c r="A153" s="187">
        <v>5.60855419E9</v>
      </c>
      <c r="B153" s="42" t="s">
        <v>613</v>
      </c>
      <c r="C153" s="38" t="s">
        <v>561</v>
      </c>
      <c r="D153" s="38">
        <v>2.0</v>
      </c>
      <c r="E153" s="38">
        <v>90.0</v>
      </c>
      <c r="F153" s="38"/>
      <c r="G153" s="38"/>
      <c r="H153" s="71">
        <f t="shared" si="3"/>
        <v>2</v>
      </c>
      <c r="I153" s="42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5.75" customHeight="1">
      <c r="A154" s="187">
        <v>8.92845219E9</v>
      </c>
      <c r="B154" s="42" t="s">
        <v>614</v>
      </c>
      <c r="C154" s="38" t="s">
        <v>561</v>
      </c>
      <c r="D154" s="38">
        <v>2.0</v>
      </c>
      <c r="E154" s="38">
        <v>84.0</v>
      </c>
      <c r="F154" s="38"/>
      <c r="G154" s="38"/>
      <c r="H154" s="71">
        <f t="shared" si="3"/>
        <v>2.142857143</v>
      </c>
      <c r="I154" s="42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5.75" customHeight="1">
      <c r="A155" s="187">
        <v>7.12699919E9</v>
      </c>
      <c r="B155" s="42" t="s">
        <v>615</v>
      </c>
      <c r="C155" s="38" t="s">
        <v>561</v>
      </c>
      <c r="D155" s="38">
        <v>2.0</v>
      </c>
      <c r="E155" s="38">
        <v>28.0</v>
      </c>
      <c r="F155" s="38"/>
      <c r="G155" s="38"/>
      <c r="H155" s="71">
        <f t="shared" si="3"/>
        <v>6.428571429</v>
      </c>
      <c r="I155" s="42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5.75" customHeight="1">
      <c r="A156" s="187" t="s">
        <v>616</v>
      </c>
      <c r="B156" s="42" t="s">
        <v>617</v>
      </c>
      <c r="C156" s="38" t="s">
        <v>561</v>
      </c>
      <c r="D156" s="38">
        <v>2.0</v>
      </c>
      <c r="E156" s="38">
        <v>28.0</v>
      </c>
      <c r="F156" s="38"/>
      <c r="G156" s="38"/>
      <c r="H156" s="71">
        <f t="shared" si="3"/>
        <v>6.428571429</v>
      </c>
      <c r="I156" s="42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5.75" customHeight="1">
      <c r="A157" s="187">
        <v>3.05202819E9</v>
      </c>
      <c r="B157" s="42" t="s">
        <v>618</v>
      </c>
      <c r="C157" s="38" t="s">
        <v>561</v>
      </c>
      <c r="D157" s="38">
        <v>2.0</v>
      </c>
      <c r="E157" s="38">
        <v>56.0</v>
      </c>
      <c r="F157" s="38"/>
      <c r="G157" s="38"/>
      <c r="H157" s="71">
        <f t="shared" si="3"/>
        <v>3.214285714</v>
      </c>
      <c r="I157" s="42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5.75" customHeight="1">
      <c r="A158" s="187">
        <v>1.1731548122E10</v>
      </c>
      <c r="B158" s="42" t="s">
        <v>619</v>
      </c>
      <c r="C158" s="38" t="s">
        <v>561</v>
      </c>
      <c r="D158" s="38">
        <v>2.0</v>
      </c>
      <c r="E158" s="38">
        <v>56.0</v>
      </c>
      <c r="F158" s="38"/>
      <c r="G158" s="38"/>
      <c r="H158" s="71">
        <f t="shared" si="3"/>
        <v>3.214285714</v>
      </c>
      <c r="I158" s="42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5.75" customHeight="1">
      <c r="A159" s="187">
        <v>1.2017717122E10</v>
      </c>
      <c r="B159" s="42" t="s">
        <v>620</v>
      </c>
      <c r="C159" s="38" t="s">
        <v>561</v>
      </c>
      <c r="D159" s="38">
        <v>2.0</v>
      </c>
      <c r="E159" s="38">
        <v>84.0</v>
      </c>
      <c r="F159" s="38"/>
      <c r="G159" s="38"/>
      <c r="H159" s="71">
        <f t="shared" si="3"/>
        <v>2.142857143</v>
      </c>
      <c r="I159" s="42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5.75" customHeight="1">
      <c r="A160" s="187">
        <v>5.20223019E9</v>
      </c>
      <c r="B160" s="42" t="s">
        <v>621</v>
      </c>
      <c r="C160" s="38" t="s">
        <v>561</v>
      </c>
      <c r="D160" s="38">
        <v>2.0</v>
      </c>
      <c r="E160" s="38">
        <v>84.0</v>
      </c>
      <c r="F160" s="38"/>
      <c r="G160" s="38"/>
      <c r="H160" s="71">
        <f t="shared" si="3"/>
        <v>2.142857143</v>
      </c>
      <c r="I160" s="42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5.75" customHeight="1">
      <c r="A161" s="187">
        <v>8.99140519E9</v>
      </c>
      <c r="B161" s="42" t="s">
        <v>622</v>
      </c>
      <c r="C161" s="38" t="s">
        <v>561</v>
      </c>
      <c r="D161" s="38">
        <v>2.0</v>
      </c>
      <c r="E161" s="38">
        <v>93.0</v>
      </c>
      <c r="F161" s="38"/>
      <c r="G161" s="38"/>
      <c r="H161" s="71">
        <f t="shared" si="3"/>
        <v>1.935483871</v>
      </c>
      <c r="I161" s="42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5.75" customHeight="1">
      <c r="A162" s="187">
        <v>8.83853419E9</v>
      </c>
      <c r="B162" s="42" t="s">
        <v>623</v>
      </c>
      <c r="C162" s="38" t="s">
        <v>561</v>
      </c>
      <c r="D162" s="38">
        <v>2.0</v>
      </c>
      <c r="E162" s="38">
        <v>84.0</v>
      </c>
      <c r="F162" s="38"/>
      <c r="G162" s="38"/>
      <c r="H162" s="71">
        <f t="shared" si="3"/>
        <v>2.142857143</v>
      </c>
      <c r="I162" s="42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5.75" customHeight="1">
      <c r="A163" s="187" t="s">
        <v>624</v>
      </c>
      <c r="B163" s="42" t="s">
        <v>625</v>
      </c>
      <c r="C163" s="38" t="s">
        <v>561</v>
      </c>
      <c r="D163" s="38">
        <v>2.0</v>
      </c>
      <c r="E163" s="38">
        <v>84.0</v>
      </c>
      <c r="F163" s="38"/>
      <c r="G163" s="38"/>
      <c r="H163" s="71">
        <f t="shared" si="3"/>
        <v>2.142857143</v>
      </c>
      <c r="I163" s="42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5.75" customHeight="1">
      <c r="A164" s="187">
        <v>9.31536519E9</v>
      </c>
      <c r="B164" s="42" t="s">
        <v>626</v>
      </c>
      <c r="C164" s="38" t="s">
        <v>561</v>
      </c>
      <c r="D164" s="38">
        <v>2.0</v>
      </c>
      <c r="E164" s="38">
        <v>84.0</v>
      </c>
      <c r="F164" s="38"/>
      <c r="G164" s="38"/>
      <c r="H164" s="71">
        <f t="shared" si="3"/>
        <v>2.142857143</v>
      </c>
      <c r="I164" s="42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5.75" customHeight="1">
      <c r="A165" s="187">
        <v>9.31538119E9</v>
      </c>
      <c r="B165" s="42" t="s">
        <v>627</v>
      </c>
      <c r="C165" s="38" t="s">
        <v>561</v>
      </c>
      <c r="D165" s="38">
        <v>2.0</v>
      </c>
      <c r="E165" s="38">
        <v>84.0</v>
      </c>
      <c r="F165" s="38"/>
      <c r="G165" s="38"/>
      <c r="H165" s="71">
        <f t="shared" si="3"/>
        <v>2.142857143</v>
      </c>
      <c r="I165" s="42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5.75" customHeight="1">
      <c r="A166" s="187">
        <v>8.44345919E9</v>
      </c>
      <c r="B166" s="42" t="s">
        <v>628</v>
      </c>
      <c r="C166" s="38" t="s">
        <v>561</v>
      </c>
      <c r="D166" s="38">
        <v>2.0</v>
      </c>
      <c r="E166" s="38">
        <v>84.0</v>
      </c>
      <c r="F166" s="38"/>
      <c r="G166" s="38"/>
      <c r="H166" s="71">
        <f t="shared" si="3"/>
        <v>2.142857143</v>
      </c>
      <c r="I166" s="42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5.75" customHeight="1">
      <c r="A167" s="187">
        <v>7.21278019E9</v>
      </c>
      <c r="B167" s="42" t="s">
        <v>629</v>
      </c>
      <c r="C167" s="38" t="s">
        <v>561</v>
      </c>
      <c r="D167" s="38">
        <v>2.0</v>
      </c>
      <c r="E167" s="38">
        <v>84.0</v>
      </c>
      <c r="F167" s="38"/>
      <c r="G167" s="38"/>
      <c r="H167" s="71">
        <f t="shared" si="3"/>
        <v>2.142857143</v>
      </c>
      <c r="I167" s="42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5.75" customHeight="1">
      <c r="A168" s="187">
        <v>9.03811619E9</v>
      </c>
      <c r="B168" s="42" t="s">
        <v>630</v>
      </c>
      <c r="C168" s="38" t="s">
        <v>561</v>
      </c>
      <c r="D168" s="38">
        <v>2.0</v>
      </c>
      <c r="E168" s="38">
        <v>84.0</v>
      </c>
      <c r="F168" s="38"/>
      <c r="G168" s="38"/>
      <c r="H168" s="71">
        <f t="shared" si="3"/>
        <v>2.142857143</v>
      </c>
      <c r="I168" s="42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5.75" customHeight="1">
      <c r="A169" s="195" t="s">
        <v>323</v>
      </c>
      <c r="B169" s="195"/>
      <c r="C169" s="195"/>
      <c r="D169" s="195" t="s">
        <v>324</v>
      </c>
      <c r="E169" s="195" t="s">
        <v>559</v>
      </c>
      <c r="F169" s="196"/>
      <c r="G169" s="196" t="s">
        <v>138</v>
      </c>
      <c r="H169" s="197" t="s">
        <v>139</v>
      </c>
      <c r="I169" s="196" t="s">
        <v>140</v>
      </c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5.75" customHeight="1">
      <c r="A170" s="187" t="s">
        <v>631</v>
      </c>
      <c r="B170" s="42" t="s">
        <v>632</v>
      </c>
      <c r="C170" s="38" t="s">
        <v>561</v>
      </c>
      <c r="D170" s="38">
        <v>2.0</v>
      </c>
      <c r="E170" s="38">
        <v>28.0</v>
      </c>
      <c r="F170" s="38"/>
      <c r="G170" s="38"/>
      <c r="H170" s="71">
        <f t="shared" ref="H170:H218" si="4">(360/E170)/D170</f>
        <v>6.428571429</v>
      </c>
      <c r="I170" s="42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5.75" customHeight="1">
      <c r="A171" s="42">
        <v>5.94232219E9</v>
      </c>
      <c r="B171" s="42" t="s">
        <v>633</v>
      </c>
      <c r="C171" s="38" t="s">
        <v>561</v>
      </c>
      <c r="D171" s="38">
        <v>3.0</v>
      </c>
      <c r="E171" s="38">
        <v>84.0</v>
      </c>
      <c r="F171" s="38"/>
      <c r="G171" s="38"/>
      <c r="H171" s="71">
        <f t="shared" si="4"/>
        <v>1.428571429</v>
      </c>
      <c r="I171" s="42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5.75" customHeight="1">
      <c r="A172" s="42">
        <v>8.33592319E9</v>
      </c>
      <c r="B172" s="42" t="s">
        <v>634</v>
      </c>
      <c r="C172" s="38" t="s">
        <v>561</v>
      </c>
      <c r="D172" s="38">
        <v>5.0</v>
      </c>
      <c r="E172" s="38"/>
      <c r="F172" s="38"/>
      <c r="G172" s="38"/>
      <c r="H172" s="71" t="str">
        <f t="shared" si="4"/>
        <v>#DIV/0!</v>
      </c>
      <c r="I172" s="42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5.75" customHeight="1">
      <c r="A173" s="42">
        <v>8.74006219E9</v>
      </c>
      <c r="B173" s="42" t="s">
        <v>635</v>
      </c>
      <c r="C173" s="38" t="s">
        <v>561</v>
      </c>
      <c r="D173" s="38">
        <v>3.0</v>
      </c>
      <c r="E173" s="38">
        <v>84.0</v>
      </c>
      <c r="F173" s="38"/>
      <c r="G173" s="38"/>
      <c r="H173" s="71">
        <f t="shared" si="4"/>
        <v>1.428571429</v>
      </c>
      <c r="I173" s="42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5.75" customHeight="1">
      <c r="A174" s="42">
        <v>6.70996619E9</v>
      </c>
      <c r="B174" s="42" t="s">
        <v>636</v>
      </c>
      <c r="C174" s="38" t="s">
        <v>561</v>
      </c>
      <c r="D174" s="38">
        <v>2.0</v>
      </c>
      <c r="E174" s="38"/>
      <c r="F174" s="38"/>
      <c r="G174" s="38"/>
      <c r="H174" s="71" t="str">
        <f t="shared" si="4"/>
        <v>#DIV/0!</v>
      </c>
      <c r="I174" s="42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5.75" customHeight="1">
      <c r="A175" s="42">
        <v>7.95721119E9</v>
      </c>
      <c r="B175" s="42" t="s">
        <v>637</v>
      </c>
      <c r="C175" s="38" t="s">
        <v>561</v>
      </c>
      <c r="D175" s="38">
        <v>2.0</v>
      </c>
      <c r="E175" s="38">
        <v>28.0</v>
      </c>
      <c r="F175" s="38"/>
      <c r="G175" s="38"/>
      <c r="H175" s="71">
        <f t="shared" si="4"/>
        <v>6.428571429</v>
      </c>
      <c r="I175" s="42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5.75" customHeight="1">
      <c r="A176" s="42">
        <v>5.03166419E9</v>
      </c>
      <c r="B176" s="42" t="s">
        <v>638</v>
      </c>
      <c r="C176" s="38" t="s">
        <v>561</v>
      </c>
      <c r="D176" s="38">
        <v>2.0</v>
      </c>
      <c r="E176" s="38">
        <v>28.0</v>
      </c>
      <c r="F176" s="38"/>
      <c r="G176" s="38"/>
      <c r="H176" s="71">
        <f t="shared" si="4"/>
        <v>6.428571429</v>
      </c>
      <c r="I176" s="42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5.75" customHeight="1">
      <c r="A177" s="42">
        <v>1.1876368122E10</v>
      </c>
      <c r="B177" s="42" t="s">
        <v>639</v>
      </c>
      <c r="C177" s="38" t="s">
        <v>561</v>
      </c>
      <c r="D177" s="38">
        <v>8.0</v>
      </c>
      <c r="E177" s="38">
        <v>56.0</v>
      </c>
      <c r="F177" s="38"/>
      <c r="G177" s="38"/>
      <c r="H177" s="71">
        <f t="shared" si="4"/>
        <v>0.8035714286</v>
      </c>
      <c r="I177" s="42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5.75" customHeight="1">
      <c r="A178" s="42">
        <v>8.08667219E9</v>
      </c>
      <c r="B178" s="42" t="s">
        <v>640</v>
      </c>
      <c r="C178" s="38" t="s">
        <v>561</v>
      </c>
      <c r="D178" s="38">
        <v>4.0</v>
      </c>
      <c r="E178" s="38">
        <v>56.0</v>
      </c>
      <c r="F178" s="38"/>
      <c r="G178" s="38"/>
      <c r="H178" s="71">
        <f t="shared" si="4"/>
        <v>1.607142857</v>
      </c>
      <c r="I178" s="42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5.75" customHeight="1">
      <c r="A179" s="42">
        <v>1.1876333122E10</v>
      </c>
      <c r="B179" s="42" t="s">
        <v>641</v>
      </c>
      <c r="C179" s="38" t="s">
        <v>561</v>
      </c>
      <c r="D179" s="38">
        <v>8.0</v>
      </c>
      <c r="E179" s="38">
        <v>56.0</v>
      </c>
      <c r="F179" s="38"/>
      <c r="G179" s="38"/>
      <c r="H179" s="71">
        <f t="shared" si="4"/>
        <v>0.8035714286</v>
      </c>
      <c r="I179" s="42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5.75" customHeight="1">
      <c r="A180" s="42">
        <v>4.92793119E9</v>
      </c>
      <c r="B180" s="42" t="s">
        <v>642</v>
      </c>
      <c r="C180" s="38" t="s">
        <v>561</v>
      </c>
      <c r="D180" s="38">
        <v>8.0</v>
      </c>
      <c r="E180" s="38">
        <v>56.0</v>
      </c>
      <c r="F180" s="38"/>
      <c r="G180" s="38"/>
      <c r="H180" s="71">
        <f t="shared" si="4"/>
        <v>0.8035714286</v>
      </c>
      <c r="I180" s="42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5.75" customHeight="1">
      <c r="A181" s="42">
        <v>1.1876384122E10</v>
      </c>
      <c r="B181" s="42" t="s">
        <v>643</v>
      </c>
      <c r="C181" s="38" t="s">
        <v>561</v>
      </c>
      <c r="D181" s="38">
        <v>8.0</v>
      </c>
      <c r="E181" s="38">
        <v>56.0</v>
      </c>
      <c r="F181" s="38"/>
      <c r="G181" s="38"/>
      <c r="H181" s="71">
        <f t="shared" si="4"/>
        <v>0.8035714286</v>
      </c>
      <c r="I181" s="42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5.75" customHeight="1">
      <c r="A182" s="42">
        <v>1.1876317122E10</v>
      </c>
      <c r="B182" s="42" t="s">
        <v>644</v>
      </c>
      <c r="C182" s="38" t="s">
        <v>561</v>
      </c>
      <c r="D182" s="38">
        <v>8.0</v>
      </c>
      <c r="E182" s="38">
        <v>56.0</v>
      </c>
      <c r="F182" s="38"/>
      <c r="G182" s="38"/>
      <c r="H182" s="71">
        <f t="shared" si="4"/>
        <v>0.8035714286</v>
      </c>
      <c r="I182" s="42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5.75" customHeight="1">
      <c r="A183" s="42">
        <v>3.29037919E9</v>
      </c>
      <c r="B183" s="42" t="s">
        <v>645</v>
      </c>
      <c r="C183" s="38" t="s">
        <v>561</v>
      </c>
      <c r="D183" s="38">
        <v>8.0</v>
      </c>
      <c r="E183" s="38">
        <v>56.0</v>
      </c>
      <c r="F183" s="38"/>
      <c r="G183" s="38"/>
      <c r="H183" s="71">
        <f t="shared" si="4"/>
        <v>0.8035714286</v>
      </c>
      <c r="I183" s="42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5.75" customHeight="1">
      <c r="A184" s="42">
        <v>9.21692819E9</v>
      </c>
      <c r="B184" s="42" t="s">
        <v>646</v>
      </c>
      <c r="C184" s="38" t="s">
        <v>561</v>
      </c>
      <c r="D184" s="38">
        <v>2.0</v>
      </c>
      <c r="E184" s="38">
        <v>28.0</v>
      </c>
      <c r="F184" s="38"/>
      <c r="G184" s="38"/>
      <c r="H184" s="71">
        <f t="shared" si="4"/>
        <v>6.428571429</v>
      </c>
      <c r="I184" s="42"/>
      <c r="J184" s="181"/>
      <c r="K184" s="181"/>
      <c r="L184" s="181"/>
      <c r="M184" s="181"/>
      <c r="N184" s="181"/>
      <c r="O184" s="181"/>
      <c r="P184" s="181"/>
      <c r="Q184" s="181"/>
      <c r="R184" s="181"/>
      <c r="S184" s="181"/>
      <c r="T184" s="181"/>
      <c r="U184" s="181"/>
      <c r="V184" s="181"/>
      <c r="W184" s="181"/>
      <c r="X184" s="181"/>
      <c r="Y184" s="181"/>
      <c r="Z184" s="181"/>
      <c r="AA184" s="181"/>
    </row>
    <row r="185" ht="15.75" customHeight="1">
      <c r="A185" s="42">
        <v>9.28931319E9</v>
      </c>
      <c r="B185" s="42" t="s">
        <v>646</v>
      </c>
      <c r="C185" s="38" t="s">
        <v>561</v>
      </c>
      <c r="D185" s="38">
        <v>2.0</v>
      </c>
      <c r="E185" s="38">
        <v>84.0</v>
      </c>
      <c r="F185" s="38"/>
      <c r="G185" s="38"/>
      <c r="H185" s="71">
        <f t="shared" si="4"/>
        <v>2.142857143</v>
      </c>
      <c r="I185" s="42"/>
      <c r="J185" s="181"/>
      <c r="K185" s="181"/>
      <c r="L185" s="181"/>
      <c r="M185" s="181"/>
      <c r="N185" s="181"/>
      <c r="O185" s="181"/>
      <c r="P185" s="181"/>
      <c r="Q185" s="181"/>
      <c r="R185" s="181"/>
      <c r="S185" s="181"/>
      <c r="T185" s="181"/>
      <c r="U185" s="181"/>
      <c r="V185" s="181"/>
      <c r="W185" s="181"/>
      <c r="X185" s="181"/>
      <c r="Y185" s="181"/>
      <c r="Z185" s="181"/>
      <c r="AA185" s="181"/>
    </row>
    <row r="186" ht="15.75" customHeight="1">
      <c r="A186" s="42">
        <v>4.91704919E9</v>
      </c>
      <c r="B186" s="42" t="s">
        <v>647</v>
      </c>
      <c r="C186" s="38" t="s">
        <v>561</v>
      </c>
      <c r="D186" s="38">
        <v>2.0</v>
      </c>
      <c r="E186" s="38">
        <v>84.0</v>
      </c>
      <c r="F186" s="38"/>
      <c r="G186" s="38"/>
      <c r="H186" s="71">
        <f t="shared" si="4"/>
        <v>2.142857143</v>
      </c>
      <c r="I186" s="42"/>
      <c r="J186" s="181"/>
      <c r="K186" s="181"/>
      <c r="L186" s="181"/>
      <c r="M186" s="181"/>
      <c r="N186" s="181"/>
      <c r="O186" s="181"/>
      <c r="P186" s="181"/>
      <c r="Q186" s="181"/>
      <c r="R186" s="181"/>
      <c r="S186" s="181"/>
      <c r="T186" s="181"/>
      <c r="U186" s="181"/>
      <c r="V186" s="181"/>
      <c r="W186" s="181"/>
      <c r="X186" s="181"/>
      <c r="Y186" s="181"/>
      <c r="Z186" s="181"/>
      <c r="AA186" s="181"/>
    </row>
    <row r="187" ht="15.75" customHeight="1">
      <c r="A187" s="42">
        <v>7.09257119E9</v>
      </c>
      <c r="B187" s="42" t="s">
        <v>648</v>
      </c>
      <c r="C187" s="38" t="s">
        <v>561</v>
      </c>
      <c r="D187" s="38">
        <v>8.0</v>
      </c>
      <c r="E187" s="38">
        <v>28.0</v>
      </c>
      <c r="F187" s="38"/>
      <c r="G187" s="38"/>
      <c r="H187" s="71">
        <f t="shared" si="4"/>
        <v>1.607142857</v>
      </c>
      <c r="I187" s="42"/>
      <c r="J187" s="181"/>
      <c r="K187" s="181"/>
      <c r="L187" s="181"/>
      <c r="M187" s="181"/>
      <c r="N187" s="181"/>
      <c r="O187" s="181"/>
      <c r="P187" s="181"/>
      <c r="Q187" s="181"/>
      <c r="R187" s="181"/>
      <c r="S187" s="181"/>
      <c r="T187" s="181"/>
      <c r="U187" s="181"/>
      <c r="V187" s="181"/>
      <c r="W187" s="181"/>
      <c r="X187" s="181"/>
      <c r="Y187" s="181"/>
      <c r="Z187" s="181"/>
      <c r="AA187" s="181"/>
    </row>
    <row r="188" ht="15.75" customHeight="1">
      <c r="A188" s="42">
        <v>4.78460019E9</v>
      </c>
      <c r="B188" s="42" t="s">
        <v>649</v>
      </c>
      <c r="C188" s="38" t="s">
        <v>561</v>
      </c>
      <c r="D188" s="38">
        <v>8.0</v>
      </c>
      <c r="E188" s="38">
        <v>56.0</v>
      </c>
      <c r="F188" s="38"/>
      <c r="G188" s="38"/>
      <c r="H188" s="71">
        <f t="shared" si="4"/>
        <v>0.8035714286</v>
      </c>
      <c r="I188" s="42"/>
      <c r="J188" s="181"/>
      <c r="K188" s="181"/>
      <c r="L188" s="181"/>
      <c r="M188" s="181"/>
      <c r="N188" s="181"/>
      <c r="O188" s="181"/>
      <c r="P188" s="181"/>
      <c r="Q188" s="181"/>
      <c r="R188" s="181"/>
      <c r="S188" s="181"/>
      <c r="T188" s="181"/>
      <c r="U188" s="181"/>
      <c r="V188" s="181"/>
      <c r="W188" s="181"/>
      <c r="X188" s="181"/>
      <c r="Y188" s="181"/>
      <c r="Z188" s="181"/>
      <c r="AA188" s="181"/>
    </row>
    <row r="189" ht="15.75" customHeight="1">
      <c r="A189" s="42">
        <v>4.78462619E9</v>
      </c>
      <c r="B189" s="42" t="s">
        <v>650</v>
      </c>
      <c r="C189" s="38" t="s">
        <v>561</v>
      </c>
      <c r="D189" s="38">
        <v>8.0</v>
      </c>
      <c r="E189" s="38">
        <v>56.0</v>
      </c>
      <c r="F189" s="38"/>
      <c r="G189" s="38"/>
      <c r="H189" s="71">
        <f t="shared" si="4"/>
        <v>0.8035714286</v>
      </c>
      <c r="I189" s="42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</row>
    <row r="190" ht="15.75" customHeight="1">
      <c r="A190" s="42">
        <v>8.35543619E9</v>
      </c>
      <c r="B190" s="42" t="s">
        <v>651</v>
      </c>
      <c r="C190" s="38" t="s">
        <v>561</v>
      </c>
      <c r="D190" s="38">
        <v>4.0</v>
      </c>
      <c r="E190" s="38">
        <v>84.0</v>
      </c>
      <c r="F190" s="38"/>
      <c r="G190" s="38"/>
      <c r="H190" s="71">
        <f t="shared" si="4"/>
        <v>1.071428571</v>
      </c>
      <c r="I190" s="42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</row>
    <row r="191" ht="15.75" customHeight="1">
      <c r="A191" s="42">
        <v>8.35542819E9</v>
      </c>
      <c r="B191" s="42" t="s">
        <v>652</v>
      </c>
      <c r="C191" s="38" t="s">
        <v>561</v>
      </c>
      <c r="D191" s="38">
        <v>3.0</v>
      </c>
      <c r="E191" s="38">
        <v>112.0</v>
      </c>
      <c r="F191" s="38"/>
      <c r="G191" s="38"/>
      <c r="H191" s="71">
        <f t="shared" si="4"/>
        <v>1.071428571</v>
      </c>
      <c r="I191" s="42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</row>
    <row r="192" ht="15.75" customHeight="1">
      <c r="A192" s="42">
        <v>7.29413119E9</v>
      </c>
      <c r="B192" s="42" t="s">
        <v>653</v>
      </c>
      <c r="C192" s="38" t="s">
        <v>561</v>
      </c>
      <c r="D192" s="38">
        <v>1.0</v>
      </c>
      <c r="E192" s="38">
        <v>28.0</v>
      </c>
      <c r="F192" s="38"/>
      <c r="G192" s="38"/>
      <c r="H192" s="71">
        <f t="shared" si="4"/>
        <v>12.85714286</v>
      </c>
      <c r="I192" s="42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</row>
    <row r="193" ht="15.75" customHeight="1">
      <c r="A193" s="42">
        <v>7.47610819E9</v>
      </c>
      <c r="B193" s="42" t="s">
        <v>654</v>
      </c>
      <c r="C193" s="38" t="s">
        <v>561</v>
      </c>
      <c r="D193" s="38">
        <v>2.0</v>
      </c>
      <c r="E193" s="38">
        <v>31.0</v>
      </c>
      <c r="F193" s="38"/>
      <c r="G193" s="38"/>
      <c r="H193" s="71">
        <f t="shared" si="4"/>
        <v>5.806451613</v>
      </c>
      <c r="I193" s="42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</row>
    <row r="194" ht="15.75" customHeight="1">
      <c r="A194" s="42">
        <v>1.1876376122E10</v>
      </c>
      <c r="B194" s="42" t="s">
        <v>655</v>
      </c>
      <c r="C194" s="38" t="s">
        <v>561</v>
      </c>
      <c r="D194" s="38">
        <v>8.0</v>
      </c>
      <c r="E194" s="38">
        <v>56.0</v>
      </c>
      <c r="F194" s="38"/>
      <c r="G194" s="38"/>
      <c r="H194" s="71">
        <f t="shared" si="4"/>
        <v>0.8035714286</v>
      </c>
      <c r="I194" s="42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</row>
    <row r="195" ht="15.75" customHeight="1">
      <c r="A195" s="42">
        <v>4.68787619E9</v>
      </c>
      <c r="B195" s="42" t="s">
        <v>656</v>
      </c>
      <c r="C195" s="38" t="s">
        <v>561</v>
      </c>
      <c r="D195" s="38">
        <v>8.0</v>
      </c>
      <c r="E195" s="38">
        <v>56.0</v>
      </c>
      <c r="F195" s="38"/>
      <c r="G195" s="38"/>
      <c r="H195" s="71">
        <f t="shared" si="4"/>
        <v>0.8035714286</v>
      </c>
      <c r="I195" s="42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</row>
    <row r="196" ht="15.75" customHeight="1">
      <c r="A196" s="42">
        <v>7.14374519E9</v>
      </c>
      <c r="B196" s="42" t="s">
        <v>657</v>
      </c>
      <c r="C196" s="38" t="s">
        <v>561</v>
      </c>
      <c r="D196" s="38">
        <v>5.0</v>
      </c>
      <c r="E196" s="38">
        <v>56.0</v>
      </c>
      <c r="F196" s="38"/>
      <c r="G196" s="38"/>
      <c r="H196" s="71">
        <f t="shared" si="4"/>
        <v>1.285714286</v>
      </c>
      <c r="I196" s="42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</row>
    <row r="197" ht="15.75" customHeight="1">
      <c r="A197" s="42">
        <v>5.95095319E9</v>
      </c>
      <c r="B197" s="42" t="s">
        <v>658</v>
      </c>
      <c r="C197" s="38" t="s">
        <v>561</v>
      </c>
      <c r="D197" s="38">
        <v>2.0</v>
      </c>
      <c r="E197" s="38">
        <v>28.0</v>
      </c>
      <c r="F197" s="38"/>
      <c r="G197" s="38"/>
      <c r="H197" s="71">
        <f t="shared" si="4"/>
        <v>6.428571429</v>
      </c>
      <c r="I197" s="42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</row>
    <row r="198" ht="15.75" customHeight="1">
      <c r="A198" s="42">
        <v>6.92410719E9</v>
      </c>
      <c r="B198" s="42" t="s">
        <v>659</v>
      </c>
      <c r="C198" s="38" t="s">
        <v>561</v>
      </c>
      <c r="D198" s="38">
        <v>3.0</v>
      </c>
      <c r="E198" s="38">
        <v>84.0</v>
      </c>
      <c r="F198" s="38"/>
      <c r="G198" s="38"/>
      <c r="H198" s="71">
        <f t="shared" si="4"/>
        <v>1.428571429</v>
      </c>
      <c r="I198" s="42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</row>
    <row r="199" ht="15.75" customHeight="1">
      <c r="A199" s="42">
        <v>5.57220719E9</v>
      </c>
      <c r="B199" s="42" t="s">
        <v>660</v>
      </c>
      <c r="C199" s="38" t="s">
        <v>561</v>
      </c>
      <c r="D199" s="38">
        <v>2.0</v>
      </c>
      <c r="E199" s="38">
        <v>28.0</v>
      </c>
      <c r="F199" s="38"/>
      <c r="G199" s="38"/>
      <c r="H199" s="71">
        <f t="shared" si="4"/>
        <v>6.428571429</v>
      </c>
      <c r="I199" s="42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</row>
    <row r="200" ht="15.75" customHeight="1">
      <c r="A200" s="42">
        <v>7.10813319E9</v>
      </c>
      <c r="B200" s="42" t="s">
        <v>661</v>
      </c>
      <c r="C200" s="38" t="s">
        <v>561</v>
      </c>
      <c r="D200" s="38">
        <v>3.0</v>
      </c>
      <c r="E200" s="38">
        <v>84.0</v>
      </c>
      <c r="F200" s="38"/>
      <c r="G200" s="38"/>
      <c r="H200" s="71">
        <f t="shared" si="4"/>
        <v>1.428571429</v>
      </c>
      <c r="I200" s="42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</row>
    <row r="201" ht="15.75" customHeight="1">
      <c r="A201" s="42">
        <v>5.88908119E9</v>
      </c>
      <c r="B201" s="42" t="s">
        <v>662</v>
      </c>
      <c r="C201" s="38" t="s">
        <v>561</v>
      </c>
      <c r="D201" s="38">
        <v>1.0</v>
      </c>
      <c r="E201" s="38">
        <v>28.0</v>
      </c>
      <c r="F201" s="38"/>
      <c r="G201" s="38"/>
      <c r="H201" s="71">
        <f t="shared" si="4"/>
        <v>12.85714286</v>
      </c>
      <c r="I201" s="42"/>
    </row>
    <row r="202" ht="15.75" customHeight="1">
      <c r="A202" s="42">
        <v>7.36007019E9</v>
      </c>
      <c r="B202" s="42" t="s">
        <v>663</v>
      </c>
      <c r="C202" s="38" t="s">
        <v>561</v>
      </c>
      <c r="D202" s="38">
        <v>2.0</v>
      </c>
      <c r="E202" s="38">
        <v>28.0</v>
      </c>
      <c r="F202" s="38"/>
      <c r="G202" s="38"/>
      <c r="H202" s="71">
        <f t="shared" si="4"/>
        <v>6.428571429</v>
      </c>
      <c r="I202" s="42"/>
    </row>
    <row r="203" ht="15.75" customHeight="1">
      <c r="A203" s="42">
        <v>8.74006219E9</v>
      </c>
      <c r="B203" s="42" t="s">
        <v>664</v>
      </c>
      <c r="C203" s="38" t="s">
        <v>561</v>
      </c>
      <c r="D203" s="38">
        <v>3.0</v>
      </c>
      <c r="E203" s="38">
        <v>84.0</v>
      </c>
      <c r="F203" s="38"/>
      <c r="G203" s="38"/>
      <c r="H203" s="71">
        <f t="shared" si="4"/>
        <v>1.428571429</v>
      </c>
      <c r="I203" s="42"/>
    </row>
    <row r="204" ht="15.75" customHeight="1">
      <c r="A204" s="42">
        <v>5.34178719E9</v>
      </c>
      <c r="B204" s="42" t="s">
        <v>665</v>
      </c>
      <c r="C204" s="38" t="s">
        <v>561</v>
      </c>
      <c r="D204" s="38">
        <v>3.0</v>
      </c>
      <c r="E204" s="38">
        <v>31.0</v>
      </c>
      <c r="F204" s="38"/>
      <c r="G204" s="38"/>
      <c r="H204" s="71">
        <f t="shared" si="4"/>
        <v>3.870967742</v>
      </c>
      <c r="I204" s="42"/>
    </row>
    <row r="205" ht="15.75" customHeight="1">
      <c r="A205" s="42">
        <v>6.50598819E9</v>
      </c>
      <c r="B205" s="42" t="s">
        <v>666</v>
      </c>
      <c r="C205" s="38" t="s">
        <v>561</v>
      </c>
      <c r="D205" s="38">
        <v>2.0</v>
      </c>
      <c r="E205" s="38"/>
      <c r="F205" s="38"/>
      <c r="G205" s="38"/>
      <c r="H205" s="71" t="str">
        <f t="shared" si="4"/>
        <v>#DIV/0!</v>
      </c>
      <c r="I205" s="42"/>
    </row>
    <row r="206" ht="15.75" customHeight="1">
      <c r="A206" s="42">
        <v>4.61880719E9</v>
      </c>
      <c r="B206" s="42" t="s">
        <v>667</v>
      </c>
      <c r="C206" s="38" t="s">
        <v>561</v>
      </c>
      <c r="D206" s="38">
        <v>8.0</v>
      </c>
      <c r="E206" s="38">
        <v>56.0</v>
      </c>
      <c r="F206" s="38"/>
      <c r="G206" s="38"/>
      <c r="H206" s="71">
        <f t="shared" si="4"/>
        <v>0.8035714286</v>
      </c>
      <c r="I206" s="42"/>
    </row>
    <row r="207" ht="15.75" customHeight="1">
      <c r="A207" s="42">
        <v>4.61884019E9</v>
      </c>
      <c r="B207" s="42" t="s">
        <v>668</v>
      </c>
      <c r="C207" s="38" t="s">
        <v>561</v>
      </c>
      <c r="D207" s="38">
        <v>4.0</v>
      </c>
      <c r="E207" s="38">
        <v>56.0</v>
      </c>
      <c r="F207" s="38"/>
      <c r="G207" s="38"/>
      <c r="H207" s="71">
        <f t="shared" si="4"/>
        <v>1.607142857</v>
      </c>
      <c r="I207" s="42"/>
    </row>
    <row r="208" ht="15.75" customHeight="1">
      <c r="A208" s="42">
        <v>9.34530219E9</v>
      </c>
      <c r="B208" s="42" t="s">
        <v>669</v>
      </c>
      <c r="C208" s="38" t="s">
        <v>561</v>
      </c>
      <c r="D208" s="38">
        <v>3.0</v>
      </c>
      <c r="E208" s="38">
        <v>21.0</v>
      </c>
      <c r="F208" s="38"/>
      <c r="G208" s="38"/>
      <c r="H208" s="71">
        <f t="shared" si="4"/>
        <v>5.714285714</v>
      </c>
      <c r="I208" s="42"/>
    </row>
    <row r="209" ht="15.75" customHeight="1">
      <c r="A209" s="42">
        <v>6.92336419E9</v>
      </c>
      <c r="B209" s="42" t="s">
        <v>670</v>
      </c>
      <c r="C209" s="38" t="s">
        <v>561</v>
      </c>
      <c r="D209" s="38">
        <v>2.0</v>
      </c>
      <c r="E209" s="38">
        <v>168.0</v>
      </c>
      <c r="F209" s="38"/>
      <c r="G209" s="38"/>
      <c r="H209" s="71">
        <f t="shared" si="4"/>
        <v>1.071428571</v>
      </c>
      <c r="I209" s="42"/>
    </row>
    <row r="210" ht="15.75" customHeight="1">
      <c r="A210" s="42">
        <v>5.042666191E9</v>
      </c>
      <c r="B210" s="42" t="s">
        <v>671</v>
      </c>
      <c r="C210" s="38" t="s">
        <v>561</v>
      </c>
      <c r="D210" s="38">
        <v>2.0</v>
      </c>
      <c r="E210" s="38">
        <v>28.0</v>
      </c>
      <c r="F210" s="38"/>
      <c r="G210" s="38"/>
      <c r="H210" s="71">
        <f t="shared" si="4"/>
        <v>6.428571429</v>
      </c>
      <c r="I210" s="42"/>
    </row>
    <row r="211" ht="15.75" customHeight="1">
      <c r="A211" s="42">
        <v>4.61882319E9</v>
      </c>
      <c r="B211" s="42" t="s">
        <v>672</v>
      </c>
      <c r="C211" s="38" t="s">
        <v>561</v>
      </c>
      <c r="D211" s="38">
        <v>8.0</v>
      </c>
      <c r="E211" s="38">
        <v>56.0</v>
      </c>
      <c r="F211" s="38"/>
      <c r="G211" s="38"/>
      <c r="H211" s="71">
        <f t="shared" si="4"/>
        <v>0.8035714286</v>
      </c>
      <c r="I211" s="42"/>
    </row>
    <row r="212" ht="15.75" customHeight="1">
      <c r="A212" s="42">
        <v>5.80258019E9</v>
      </c>
      <c r="B212" s="42" t="s">
        <v>673</v>
      </c>
      <c r="C212" s="38" t="s">
        <v>561</v>
      </c>
      <c r="D212" s="38">
        <v>3.0</v>
      </c>
      <c r="E212" s="38">
        <v>56.0</v>
      </c>
      <c r="F212" s="38"/>
      <c r="G212" s="38"/>
      <c r="H212" s="71">
        <f t="shared" si="4"/>
        <v>2.142857143</v>
      </c>
      <c r="I212" s="42"/>
    </row>
    <row r="213" ht="15.75" customHeight="1">
      <c r="A213" s="42">
        <v>4.61886619E9</v>
      </c>
      <c r="B213" s="42" t="s">
        <v>674</v>
      </c>
      <c r="C213" s="38" t="s">
        <v>561</v>
      </c>
      <c r="D213" s="38">
        <v>8.0</v>
      </c>
      <c r="E213" s="38">
        <v>56.0</v>
      </c>
      <c r="F213" s="38"/>
      <c r="G213" s="38"/>
      <c r="H213" s="71">
        <f t="shared" si="4"/>
        <v>0.8035714286</v>
      </c>
      <c r="I213" s="42"/>
    </row>
    <row r="214" ht="15.75" customHeight="1">
      <c r="A214" s="42">
        <v>5.09510719E9</v>
      </c>
      <c r="B214" s="42" t="s">
        <v>675</v>
      </c>
      <c r="C214" s="38" t="s">
        <v>561</v>
      </c>
      <c r="D214" s="38">
        <v>2.0</v>
      </c>
      <c r="E214" s="38">
        <v>84.0</v>
      </c>
      <c r="F214" s="38"/>
      <c r="G214" s="38"/>
      <c r="H214" s="71">
        <f t="shared" si="4"/>
        <v>2.142857143</v>
      </c>
      <c r="I214" s="42"/>
    </row>
    <row r="215" ht="15.75" customHeight="1">
      <c r="A215" s="42">
        <v>1.1776452122E10</v>
      </c>
      <c r="B215" s="42" t="s">
        <v>676</v>
      </c>
      <c r="C215" s="38" t="s">
        <v>561</v>
      </c>
      <c r="D215" s="38">
        <v>2.0</v>
      </c>
      <c r="E215" s="38">
        <v>28.0</v>
      </c>
      <c r="F215" s="38"/>
      <c r="G215" s="38"/>
      <c r="H215" s="71">
        <f t="shared" si="4"/>
        <v>6.428571429</v>
      </c>
      <c r="I215" s="42"/>
    </row>
    <row r="216" ht="15.75" customHeight="1">
      <c r="A216" s="42">
        <v>1.173141619E10</v>
      </c>
      <c r="B216" s="42" t="s">
        <v>677</v>
      </c>
      <c r="C216" s="38" t="s">
        <v>561</v>
      </c>
      <c r="D216" s="38">
        <v>2.0</v>
      </c>
      <c r="E216" s="38">
        <v>28.0</v>
      </c>
      <c r="F216" s="38"/>
      <c r="G216" s="38"/>
      <c r="H216" s="71">
        <f t="shared" si="4"/>
        <v>6.428571429</v>
      </c>
      <c r="I216" s="42"/>
    </row>
    <row r="217" ht="15.75" customHeight="1">
      <c r="A217" s="42">
        <v>5.61886019E9</v>
      </c>
      <c r="B217" s="42" t="s">
        <v>678</v>
      </c>
      <c r="C217" s="38" t="s">
        <v>561</v>
      </c>
      <c r="D217" s="38">
        <v>2.0</v>
      </c>
      <c r="E217" s="38">
        <v>28.0</v>
      </c>
      <c r="F217" s="38"/>
      <c r="G217" s="38"/>
      <c r="H217" s="71">
        <f t="shared" si="4"/>
        <v>6.428571429</v>
      </c>
      <c r="I217" s="42"/>
    </row>
    <row r="218" ht="15.75" customHeight="1">
      <c r="A218" s="42">
        <v>9.03812419E9</v>
      </c>
      <c r="B218" s="42" t="s">
        <v>679</v>
      </c>
      <c r="C218" s="38" t="s">
        <v>561</v>
      </c>
      <c r="D218" s="38">
        <v>3.0</v>
      </c>
      <c r="E218" s="38">
        <v>31.0</v>
      </c>
      <c r="F218" s="38"/>
      <c r="G218" s="38"/>
      <c r="H218" s="71">
        <f t="shared" si="4"/>
        <v>3.870967742</v>
      </c>
      <c r="I218" s="42"/>
    </row>
    <row r="219" ht="15.75" customHeight="1">
      <c r="A219" s="195" t="s">
        <v>224</v>
      </c>
      <c r="B219" s="195"/>
      <c r="C219" s="195"/>
      <c r="D219" s="195" t="s">
        <v>324</v>
      </c>
      <c r="E219" s="195" t="s">
        <v>559</v>
      </c>
      <c r="F219" s="196"/>
      <c r="G219" s="196" t="s">
        <v>138</v>
      </c>
      <c r="H219" s="197" t="s">
        <v>139</v>
      </c>
      <c r="I219" s="196" t="s">
        <v>140</v>
      </c>
    </row>
    <row r="220" ht="15.75" customHeight="1">
      <c r="A220" s="42">
        <v>1.1706802001E10</v>
      </c>
      <c r="B220" s="42" t="s">
        <v>680</v>
      </c>
      <c r="C220" s="38" t="s">
        <v>561</v>
      </c>
      <c r="D220" s="38">
        <v>1.0</v>
      </c>
      <c r="E220" s="38">
        <v>365.0</v>
      </c>
      <c r="F220" s="38"/>
      <c r="G220" s="38"/>
      <c r="H220" s="71">
        <f t="shared" ref="H220:H230" si="5">(360/E220)/D220</f>
        <v>0.9863013699</v>
      </c>
      <c r="I220" s="42"/>
    </row>
    <row r="221" ht="15.75" customHeight="1">
      <c r="A221" s="42">
        <v>1.1706799001E10</v>
      </c>
      <c r="B221" s="42" t="s">
        <v>681</v>
      </c>
      <c r="C221" s="38" t="s">
        <v>561</v>
      </c>
      <c r="D221" s="38">
        <v>1.0</v>
      </c>
      <c r="E221" s="38">
        <v>365.0</v>
      </c>
      <c r="F221" s="38"/>
      <c r="G221" s="38"/>
      <c r="H221" s="71">
        <f t="shared" si="5"/>
        <v>0.9863013699</v>
      </c>
      <c r="I221" s="42"/>
    </row>
    <row r="222" ht="15.75" customHeight="1">
      <c r="A222" s="42">
        <v>4.444191001E9</v>
      </c>
      <c r="B222" s="42" t="s">
        <v>682</v>
      </c>
      <c r="C222" s="38" t="s">
        <v>561</v>
      </c>
      <c r="D222" s="38">
        <v>1.0</v>
      </c>
      <c r="E222" s="38">
        <v>365.0</v>
      </c>
      <c r="F222" s="38"/>
      <c r="G222" s="38"/>
      <c r="H222" s="71">
        <f t="shared" si="5"/>
        <v>0.9863013699</v>
      </c>
      <c r="I222" s="42"/>
    </row>
    <row r="223" ht="15.75" customHeight="1">
      <c r="A223" s="42">
        <v>1.1662970122E10</v>
      </c>
      <c r="B223" s="42" t="s">
        <v>683</v>
      </c>
      <c r="C223" s="38" t="s">
        <v>561</v>
      </c>
      <c r="D223" s="38">
        <v>6.0</v>
      </c>
      <c r="E223" s="38">
        <v>28.0</v>
      </c>
      <c r="F223" s="38"/>
      <c r="G223" s="38"/>
      <c r="H223" s="71">
        <f t="shared" si="5"/>
        <v>2.142857143</v>
      </c>
      <c r="I223" s="42"/>
    </row>
    <row r="224" ht="15.75" customHeight="1">
      <c r="A224" s="42">
        <v>1.1662988122E10</v>
      </c>
      <c r="B224" s="42" t="s">
        <v>684</v>
      </c>
      <c r="C224" s="38" t="s">
        <v>561</v>
      </c>
      <c r="D224" s="38">
        <v>6.0</v>
      </c>
      <c r="E224" s="38">
        <v>28.0</v>
      </c>
      <c r="F224" s="38"/>
      <c r="G224" s="38"/>
      <c r="H224" s="71">
        <f t="shared" si="5"/>
        <v>2.142857143</v>
      </c>
      <c r="I224" s="42"/>
    </row>
    <row r="225" ht="15.75" customHeight="1">
      <c r="A225" s="42">
        <v>1.1930346122E10</v>
      </c>
      <c r="B225" s="42" t="s">
        <v>685</v>
      </c>
      <c r="C225" s="38" t="s">
        <v>561</v>
      </c>
      <c r="D225" s="38">
        <v>1.0</v>
      </c>
      <c r="E225" s="38">
        <v>168.0</v>
      </c>
      <c r="F225" s="38"/>
      <c r="G225" s="38"/>
      <c r="H225" s="71">
        <f t="shared" si="5"/>
        <v>2.142857143</v>
      </c>
      <c r="I225" s="42"/>
    </row>
    <row r="226" ht="15.75" customHeight="1">
      <c r="A226" s="42">
        <v>1.1298500316E10</v>
      </c>
      <c r="B226" s="42" t="s">
        <v>686</v>
      </c>
      <c r="C226" s="38" t="s">
        <v>561</v>
      </c>
      <c r="D226" s="38">
        <v>5.0</v>
      </c>
      <c r="E226" s="38">
        <v>365.0</v>
      </c>
      <c r="F226" s="38"/>
      <c r="G226" s="38"/>
      <c r="H226" s="71">
        <f t="shared" si="5"/>
        <v>0.197260274</v>
      </c>
      <c r="I226" s="42"/>
    </row>
    <row r="227" ht="15.75" customHeight="1">
      <c r="A227" s="42">
        <v>5.151643001E9</v>
      </c>
      <c r="B227" s="42" t="s">
        <v>687</v>
      </c>
      <c r="C227" s="38" t="s">
        <v>561</v>
      </c>
      <c r="D227" s="38">
        <v>1.0</v>
      </c>
      <c r="E227" s="38">
        <v>365.0</v>
      </c>
      <c r="F227" s="38"/>
      <c r="G227" s="38"/>
      <c r="H227" s="71">
        <f t="shared" si="5"/>
        <v>0.9863013699</v>
      </c>
      <c r="I227" s="42"/>
    </row>
    <row r="228" ht="15.75" customHeight="1">
      <c r="A228" s="42">
        <v>1.1732277122E10</v>
      </c>
      <c r="B228" s="42" t="s">
        <v>688</v>
      </c>
      <c r="C228" s="38" t="s">
        <v>561</v>
      </c>
      <c r="D228" s="38">
        <v>2.0</v>
      </c>
      <c r="E228" s="38">
        <v>84.0</v>
      </c>
      <c r="F228" s="38"/>
      <c r="G228" s="38"/>
      <c r="H228" s="71">
        <f t="shared" si="5"/>
        <v>2.142857143</v>
      </c>
      <c r="I228" s="42"/>
    </row>
    <row r="229" ht="15.75" customHeight="1">
      <c r="A229" s="42">
        <v>3.183971122E9</v>
      </c>
      <c r="B229" s="42" t="s">
        <v>689</v>
      </c>
      <c r="C229" s="38" t="s">
        <v>561</v>
      </c>
      <c r="D229" s="38">
        <v>1.0</v>
      </c>
      <c r="E229" s="38">
        <v>84.0</v>
      </c>
      <c r="F229" s="38"/>
      <c r="G229" s="38"/>
      <c r="H229" s="71">
        <f t="shared" si="5"/>
        <v>4.285714286</v>
      </c>
      <c r="I229" s="42"/>
    </row>
    <row r="230" ht="15.75" customHeight="1">
      <c r="A230" s="187">
        <v>1.1800507001E10</v>
      </c>
      <c r="B230" s="69" t="s">
        <v>690</v>
      </c>
      <c r="C230" s="38" t="s">
        <v>561</v>
      </c>
      <c r="D230" s="38">
        <v>1.0</v>
      </c>
      <c r="E230" s="38">
        <v>365.0</v>
      </c>
      <c r="F230" s="38"/>
      <c r="G230" s="38"/>
      <c r="H230" s="71">
        <f t="shared" si="5"/>
        <v>0.9863013699</v>
      </c>
      <c r="I230" s="42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03:E103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5.29"/>
    <col customWidth="1" min="3" max="3" width="25.14"/>
    <col customWidth="1" min="4" max="4" width="10.57"/>
    <col customWidth="1" min="5" max="5" width="11.0"/>
    <col customWidth="1" min="6" max="6" width="10.57"/>
    <col customWidth="1" min="7" max="7" width="14.71"/>
    <col customWidth="1" min="8" max="8" width="17.14"/>
    <col customWidth="1" min="9" max="9" width="15.0"/>
    <col customWidth="1" min="10" max="26" width="10.71"/>
  </cols>
  <sheetData>
    <row r="1">
      <c r="A1" s="116" t="s">
        <v>5</v>
      </c>
      <c r="B1" s="117"/>
      <c r="C1" s="3"/>
      <c r="D1" s="117"/>
      <c r="E1" s="3"/>
      <c r="F1" s="3"/>
      <c r="G1" s="3"/>
      <c r="H1" s="4"/>
      <c r="I1" s="4"/>
      <c r="J1" s="4"/>
      <c r="K1" s="4"/>
      <c r="L1" s="4"/>
      <c r="M1" s="4"/>
      <c r="N1" s="4"/>
      <c r="O1" s="4"/>
    </row>
    <row r="2">
      <c r="A2" s="116" t="s">
        <v>124</v>
      </c>
      <c r="B2" s="199"/>
      <c r="C2" s="3"/>
      <c r="D2" s="117"/>
      <c r="E2" s="3"/>
      <c r="F2" s="3"/>
      <c r="G2" s="3"/>
      <c r="H2" s="4"/>
      <c r="I2" s="4"/>
      <c r="J2" s="4"/>
      <c r="K2" s="4"/>
      <c r="L2" s="4"/>
      <c r="M2" s="4"/>
      <c r="N2" s="4"/>
      <c r="O2" s="4"/>
    </row>
    <row r="3">
      <c r="A3" s="116" t="s">
        <v>125</v>
      </c>
      <c r="B3" s="117"/>
      <c r="C3" s="3"/>
      <c r="D3" s="117"/>
      <c r="E3" s="3"/>
      <c r="F3" s="3"/>
      <c r="G3" s="3"/>
      <c r="H3" s="4"/>
      <c r="I3" s="4"/>
      <c r="J3" s="4"/>
      <c r="K3" s="4"/>
      <c r="L3" s="4"/>
      <c r="M3" s="4"/>
      <c r="N3" s="4"/>
      <c r="O3" s="4"/>
    </row>
    <row r="4">
      <c r="A4" s="116" t="s">
        <v>127</v>
      </c>
      <c r="B4" s="117"/>
      <c r="C4" s="3" t="s">
        <v>128</v>
      </c>
      <c r="D4" s="117"/>
      <c r="E4" s="3"/>
      <c r="F4" s="3"/>
      <c r="G4" s="3"/>
      <c r="H4" s="4"/>
      <c r="I4" s="4"/>
      <c r="J4" s="4"/>
      <c r="K4" s="4"/>
      <c r="L4" s="4"/>
      <c r="M4" s="4"/>
      <c r="N4" s="4"/>
      <c r="O4" s="4"/>
    </row>
    <row r="5">
      <c r="A5" s="116" t="s">
        <v>129</v>
      </c>
      <c r="B5" s="117"/>
      <c r="C5" s="3" t="s">
        <v>128</v>
      </c>
      <c r="D5" s="117"/>
      <c r="E5" s="3"/>
      <c r="F5" s="3"/>
      <c r="G5" s="3"/>
      <c r="H5" s="4"/>
      <c r="I5" s="4"/>
      <c r="J5" s="4"/>
      <c r="K5" s="4"/>
      <c r="L5" s="4"/>
      <c r="M5" s="4"/>
      <c r="N5" s="4"/>
      <c r="O5" s="4"/>
    </row>
    <row r="6">
      <c r="A6" s="200" t="s">
        <v>130</v>
      </c>
      <c r="B6" s="201" t="s">
        <v>691</v>
      </c>
      <c r="C6" s="202"/>
      <c r="D6" s="201" t="s">
        <v>692</v>
      </c>
      <c r="E6" s="202"/>
      <c r="F6" s="4"/>
      <c r="G6" s="4"/>
      <c r="H6" s="203"/>
      <c r="I6" s="4"/>
      <c r="J6" s="4"/>
      <c r="K6" s="4"/>
      <c r="L6" s="4"/>
      <c r="M6" s="4"/>
      <c r="N6" s="4"/>
      <c r="O6" s="4"/>
    </row>
    <row r="7">
      <c r="A7" s="4"/>
      <c r="B7" s="4"/>
      <c r="C7" s="4"/>
      <c r="D7" s="164"/>
      <c r="E7" s="164"/>
      <c r="F7" s="4"/>
      <c r="G7" s="4"/>
      <c r="H7" s="203"/>
      <c r="I7" s="4"/>
      <c r="J7" s="4"/>
      <c r="K7" s="4"/>
      <c r="L7" s="4"/>
      <c r="M7" s="4"/>
      <c r="N7" s="4"/>
      <c r="O7" s="4"/>
    </row>
    <row r="8">
      <c r="A8" s="204" t="s">
        <v>235</v>
      </c>
      <c r="B8" s="205" t="s">
        <v>236</v>
      </c>
      <c r="C8" s="179"/>
      <c r="D8" s="206" t="s">
        <v>135</v>
      </c>
      <c r="E8" s="207" t="s">
        <v>136</v>
      </c>
      <c r="F8" s="208" t="s">
        <v>237</v>
      </c>
      <c r="G8" s="207" t="s">
        <v>138</v>
      </c>
      <c r="H8" s="207" t="s">
        <v>139</v>
      </c>
      <c r="I8" s="207" t="s">
        <v>693</v>
      </c>
      <c r="J8" s="209"/>
      <c r="K8" s="209"/>
      <c r="L8" s="209"/>
      <c r="M8" s="209"/>
      <c r="N8" s="209"/>
      <c r="O8" s="209"/>
      <c r="P8" s="210"/>
      <c r="Q8" s="210"/>
      <c r="R8" s="210"/>
      <c r="S8" s="210"/>
      <c r="T8" s="210"/>
      <c r="U8" s="210"/>
      <c r="V8" s="210"/>
      <c r="W8" s="210"/>
      <c r="X8" s="210"/>
      <c r="Y8" s="210"/>
      <c r="Z8" s="210"/>
    </row>
    <row r="9">
      <c r="A9" s="187">
        <v>8.05875019E9</v>
      </c>
      <c r="B9" s="211" t="s">
        <v>694</v>
      </c>
      <c r="C9" s="42" t="s">
        <v>695</v>
      </c>
      <c r="D9" s="187">
        <v>1300.0</v>
      </c>
      <c r="E9" s="212">
        <v>182.0</v>
      </c>
      <c r="F9" s="37"/>
      <c r="G9" s="38">
        <f t="shared" ref="G9:G82" si="1">F9/D9</f>
        <v>0</v>
      </c>
      <c r="H9" s="71">
        <f t="shared" ref="H9:H82" si="2">(360/E9)</f>
        <v>1.978021978</v>
      </c>
      <c r="I9" s="71"/>
      <c r="J9" s="4"/>
      <c r="K9" s="4"/>
      <c r="L9" s="4"/>
      <c r="M9" s="4"/>
      <c r="N9" s="4"/>
      <c r="O9" s="4"/>
    </row>
    <row r="10">
      <c r="A10" s="187">
        <v>8.05669219E9</v>
      </c>
      <c r="B10" s="211" t="s">
        <v>696</v>
      </c>
      <c r="C10" s="42" t="s">
        <v>697</v>
      </c>
      <c r="D10" s="187">
        <v>750.0</v>
      </c>
      <c r="E10" s="212">
        <v>182.0</v>
      </c>
      <c r="F10" s="37"/>
      <c r="G10" s="38">
        <f t="shared" si="1"/>
        <v>0</v>
      </c>
      <c r="H10" s="71">
        <f t="shared" si="2"/>
        <v>1.978021978</v>
      </c>
      <c r="I10" s="71"/>
      <c r="J10" s="4"/>
      <c r="K10" s="4"/>
      <c r="L10" s="4"/>
      <c r="M10" s="4"/>
      <c r="N10" s="4"/>
      <c r="O10" s="4"/>
    </row>
    <row r="11">
      <c r="A11" s="213">
        <v>8.05681119E9</v>
      </c>
      <c r="B11" s="42" t="s">
        <v>698</v>
      </c>
      <c r="C11" s="42" t="s">
        <v>699</v>
      </c>
      <c r="D11" s="187">
        <v>750.0</v>
      </c>
      <c r="E11" s="212">
        <v>182.0</v>
      </c>
      <c r="F11" s="37"/>
      <c r="G11" s="38">
        <f t="shared" si="1"/>
        <v>0</v>
      </c>
      <c r="H11" s="71">
        <f t="shared" si="2"/>
        <v>1.978021978</v>
      </c>
      <c r="I11" s="71"/>
      <c r="J11" s="4"/>
      <c r="K11" s="4"/>
      <c r="L11" s="4"/>
      <c r="M11" s="4"/>
      <c r="N11" s="4"/>
      <c r="O11" s="4"/>
    </row>
    <row r="12">
      <c r="A12" s="187">
        <v>8.05682019E9</v>
      </c>
      <c r="B12" s="42" t="s">
        <v>700</v>
      </c>
      <c r="C12" s="42" t="s">
        <v>701</v>
      </c>
      <c r="D12" s="187">
        <v>450.0</v>
      </c>
      <c r="E12" s="212">
        <v>182.0</v>
      </c>
      <c r="F12" s="14"/>
      <c r="G12" s="38">
        <f t="shared" si="1"/>
        <v>0</v>
      </c>
      <c r="H12" s="71">
        <f t="shared" si="2"/>
        <v>1.978021978</v>
      </c>
      <c r="I12" s="71"/>
      <c r="J12" s="4"/>
      <c r="K12" s="4"/>
      <c r="L12" s="4"/>
      <c r="M12" s="4"/>
      <c r="N12" s="4"/>
      <c r="O12" s="4"/>
    </row>
    <row r="13">
      <c r="A13" s="187">
        <v>8.05696019E9</v>
      </c>
      <c r="B13" s="42" t="s">
        <v>702</v>
      </c>
      <c r="C13" s="42" t="s">
        <v>703</v>
      </c>
      <c r="D13" s="187">
        <v>1050.0</v>
      </c>
      <c r="E13" s="212">
        <v>42.0</v>
      </c>
      <c r="F13" s="37"/>
      <c r="G13" s="38">
        <f t="shared" si="1"/>
        <v>0</v>
      </c>
      <c r="H13" s="71">
        <f t="shared" si="2"/>
        <v>8.571428571</v>
      </c>
      <c r="I13" s="71"/>
      <c r="J13" s="4"/>
      <c r="K13" s="4"/>
      <c r="L13" s="4"/>
      <c r="M13" s="4"/>
      <c r="N13" s="4"/>
      <c r="O13" s="4"/>
    </row>
    <row r="14">
      <c r="A14" s="187">
        <v>8.05695119E9</v>
      </c>
      <c r="B14" s="42" t="s">
        <v>704</v>
      </c>
      <c r="C14" s="42" t="s">
        <v>705</v>
      </c>
      <c r="D14" s="187">
        <v>1000.0</v>
      </c>
      <c r="E14" s="212">
        <v>182.0</v>
      </c>
      <c r="F14" s="37"/>
      <c r="G14" s="38">
        <f t="shared" si="1"/>
        <v>0</v>
      </c>
      <c r="H14" s="71">
        <f t="shared" si="2"/>
        <v>1.978021978</v>
      </c>
      <c r="I14" s="71"/>
      <c r="J14" s="4"/>
      <c r="K14" s="4"/>
      <c r="L14" s="4"/>
      <c r="M14" s="4"/>
      <c r="N14" s="4"/>
      <c r="O14" s="4"/>
    </row>
    <row r="15">
      <c r="A15" s="187">
        <v>8.05742719E9</v>
      </c>
      <c r="B15" s="42" t="s">
        <v>706</v>
      </c>
      <c r="C15" s="42" t="s">
        <v>707</v>
      </c>
      <c r="D15" s="187">
        <v>1500.0</v>
      </c>
      <c r="E15" s="212">
        <v>182.0</v>
      </c>
      <c r="F15" s="37"/>
      <c r="G15" s="38">
        <f t="shared" si="1"/>
        <v>0</v>
      </c>
      <c r="H15" s="71">
        <f t="shared" si="2"/>
        <v>1.978021978</v>
      </c>
      <c r="I15" s="71"/>
      <c r="J15" s="4"/>
      <c r="K15" s="4"/>
      <c r="L15" s="4"/>
      <c r="M15" s="4"/>
      <c r="N15" s="4"/>
      <c r="O15" s="4"/>
    </row>
    <row r="16">
      <c r="A16" s="187">
        <v>8.05744319E9</v>
      </c>
      <c r="B16" s="42" t="s">
        <v>708</v>
      </c>
      <c r="C16" s="42" t="s">
        <v>709</v>
      </c>
      <c r="D16" s="187">
        <v>2600.0</v>
      </c>
      <c r="E16" s="212">
        <v>182.0</v>
      </c>
      <c r="F16" s="37"/>
      <c r="G16" s="38">
        <f t="shared" si="1"/>
        <v>0</v>
      </c>
      <c r="H16" s="71">
        <f t="shared" si="2"/>
        <v>1.978021978</v>
      </c>
      <c r="I16" s="71"/>
      <c r="J16" s="4"/>
      <c r="K16" s="4"/>
      <c r="L16" s="4"/>
      <c r="M16" s="4"/>
      <c r="N16" s="4"/>
      <c r="O16" s="4"/>
    </row>
    <row r="17">
      <c r="A17" s="187">
        <v>8.10556119E9</v>
      </c>
      <c r="B17" s="42" t="s">
        <v>710</v>
      </c>
      <c r="C17" s="42" t="s">
        <v>711</v>
      </c>
      <c r="D17" s="187">
        <v>1050.0</v>
      </c>
      <c r="E17" s="212">
        <v>182.0</v>
      </c>
      <c r="F17" s="14"/>
      <c r="G17" s="38">
        <f t="shared" si="1"/>
        <v>0</v>
      </c>
      <c r="H17" s="71">
        <f t="shared" si="2"/>
        <v>1.978021978</v>
      </c>
      <c r="I17" s="71"/>
      <c r="J17" s="4"/>
      <c r="K17" s="4"/>
      <c r="L17" s="4"/>
      <c r="M17" s="4"/>
      <c r="N17" s="4"/>
      <c r="O17" s="4"/>
    </row>
    <row r="18">
      <c r="A18" s="187">
        <v>8.05746019E9</v>
      </c>
      <c r="B18" s="42" t="s">
        <v>712</v>
      </c>
      <c r="C18" s="42" t="s">
        <v>713</v>
      </c>
      <c r="D18" s="187">
        <v>500.0</v>
      </c>
      <c r="E18" s="212">
        <v>56.0</v>
      </c>
      <c r="F18" s="37"/>
      <c r="G18" s="38">
        <f t="shared" si="1"/>
        <v>0</v>
      </c>
      <c r="H18" s="71">
        <f t="shared" si="2"/>
        <v>6.428571429</v>
      </c>
      <c r="I18" s="71"/>
      <c r="J18" s="4"/>
      <c r="K18" s="4"/>
      <c r="L18" s="4"/>
      <c r="M18" s="4"/>
      <c r="N18" s="4"/>
      <c r="O18" s="4"/>
    </row>
    <row r="19">
      <c r="A19" s="187">
        <v>8.05675719E9</v>
      </c>
      <c r="B19" s="42" t="s">
        <v>714</v>
      </c>
      <c r="C19" s="42" t="s">
        <v>715</v>
      </c>
      <c r="D19" s="187">
        <v>1100.0</v>
      </c>
      <c r="E19" s="212">
        <v>56.0</v>
      </c>
      <c r="F19" s="37"/>
      <c r="G19" s="38">
        <f t="shared" si="1"/>
        <v>0</v>
      </c>
      <c r="H19" s="71">
        <f t="shared" si="2"/>
        <v>6.428571429</v>
      </c>
      <c r="I19" s="71"/>
      <c r="J19" s="4"/>
      <c r="K19" s="4"/>
      <c r="L19" s="4"/>
      <c r="M19" s="4"/>
      <c r="N19" s="4"/>
      <c r="O19" s="4"/>
    </row>
    <row r="20">
      <c r="A20" s="187">
        <v>8.05861019E9</v>
      </c>
      <c r="B20" s="42" t="s">
        <v>716</v>
      </c>
      <c r="C20" s="42" t="s">
        <v>717</v>
      </c>
      <c r="D20" s="187">
        <v>750.0</v>
      </c>
      <c r="E20" s="212">
        <v>182.0</v>
      </c>
      <c r="F20" s="14"/>
      <c r="G20" s="38">
        <f t="shared" si="1"/>
        <v>0</v>
      </c>
      <c r="H20" s="71">
        <f t="shared" si="2"/>
        <v>1.978021978</v>
      </c>
      <c r="I20" s="71"/>
      <c r="J20" s="4"/>
      <c r="K20" s="4"/>
      <c r="L20" s="4"/>
      <c r="M20" s="4"/>
      <c r="N20" s="4"/>
      <c r="O20" s="4"/>
    </row>
    <row r="21" ht="15.75" customHeight="1">
      <c r="A21" s="187">
        <v>8.05779619E9</v>
      </c>
      <c r="B21" s="42" t="s">
        <v>718</v>
      </c>
      <c r="C21" s="42" t="s">
        <v>719</v>
      </c>
      <c r="D21" s="187">
        <v>400.0</v>
      </c>
      <c r="E21" s="212">
        <v>84.0</v>
      </c>
      <c r="F21" s="37"/>
      <c r="G21" s="38">
        <f t="shared" si="1"/>
        <v>0</v>
      </c>
      <c r="H21" s="71">
        <f t="shared" si="2"/>
        <v>4.285714286</v>
      </c>
      <c r="I21" s="71"/>
      <c r="J21" s="4"/>
      <c r="K21" s="4"/>
      <c r="L21" s="4"/>
      <c r="M21" s="4"/>
      <c r="N21" s="4"/>
      <c r="O21" s="4"/>
    </row>
    <row r="22" ht="15.75" customHeight="1">
      <c r="A22" s="187">
        <v>8.05780019E9</v>
      </c>
      <c r="B22" s="42" t="s">
        <v>720</v>
      </c>
      <c r="C22" s="42" t="s">
        <v>721</v>
      </c>
      <c r="D22" s="187">
        <v>3300.0</v>
      </c>
      <c r="E22" s="212">
        <v>182.0</v>
      </c>
      <c r="F22" s="37"/>
      <c r="G22" s="38">
        <f t="shared" si="1"/>
        <v>0</v>
      </c>
      <c r="H22" s="71">
        <f t="shared" si="2"/>
        <v>1.978021978</v>
      </c>
      <c r="I22" s="71"/>
      <c r="J22" s="4"/>
      <c r="K22" s="4"/>
      <c r="L22" s="4"/>
      <c r="M22" s="4"/>
      <c r="N22" s="4"/>
      <c r="O22" s="4"/>
    </row>
    <row r="23" ht="15.75" customHeight="1">
      <c r="A23" s="187">
        <v>8.05793119E9</v>
      </c>
      <c r="B23" s="42" t="s">
        <v>722</v>
      </c>
      <c r="C23" s="42" t="s">
        <v>723</v>
      </c>
      <c r="D23" s="187">
        <v>700.0</v>
      </c>
      <c r="E23" s="212">
        <v>84.0</v>
      </c>
      <c r="F23" s="37"/>
      <c r="G23" s="38">
        <f t="shared" si="1"/>
        <v>0</v>
      </c>
      <c r="H23" s="71">
        <f t="shared" si="2"/>
        <v>4.285714286</v>
      </c>
      <c r="I23" s="71"/>
      <c r="J23" s="4"/>
      <c r="K23" s="4"/>
      <c r="L23" s="4"/>
      <c r="M23" s="4"/>
      <c r="N23" s="4"/>
      <c r="O23" s="4"/>
    </row>
    <row r="24" ht="15.75" customHeight="1">
      <c r="A24" s="187">
        <v>8.05794019E9</v>
      </c>
      <c r="B24" s="42" t="s">
        <v>724</v>
      </c>
      <c r="C24" s="42" t="s">
        <v>725</v>
      </c>
      <c r="D24" s="187">
        <v>100.0</v>
      </c>
      <c r="E24" s="212">
        <v>84.0</v>
      </c>
      <c r="F24" s="14"/>
      <c r="G24" s="38">
        <f t="shared" si="1"/>
        <v>0</v>
      </c>
      <c r="H24" s="71">
        <f t="shared" si="2"/>
        <v>4.285714286</v>
      </c>
      <c r="I24" s="71"/>
      <c r="J24" s="4"/>
      <c r="K24" s="4"/>
      <c r="L24" s="4"/>
      <c r="M24" s="4"/>
      <c r="N24" s="4"/>
      <c r="O24" s="4"/>
    </row>
    <row r="25" ht="15.75" customHeight="1">
      <c r="A25" s="187">
        <v>8.05795819E9</v>
      </c>
      <c r="B25" s="42" t="s">
        <v>199</v>
      </c>
      <c r="C25" s="42" t="s">
        <v>726</v>
      </c>
      <c r="D25" s="187">
        <v>850.0</v>
      </c>
      <c r="E25" s="212">
        <v>182.0</v>
      </c>
      <c r="F25" s="37"/>
      <c r="G25" s="38">
        <f t="shared" si="1"/>
        <v>0</v>
      </c>
      <c r="H25" s="71">
        <f t="shared" si="2"/>
        <v>1.978021978</v>
      </c>
      <c r="I25" s="71"/>
      <c r="J25" s="4"/>
      <c r="K25" s="4"/>
      <c r="L25" s="4"/>
      <c r="M25" s="4"/>
      <c r="N25" s="4"/>
      <c r="O25" s="4"/>
    </row>
    <row r="26" ht="15.75" customHeight="1">
      <c r="A26" s="187">
        <v>8.05798219E9</v>
      </c>
      <c r="B26" s="42" t="s">
        <v>193</v>
      </c>
      <c r="C26" s="42" t="s">
        <v>727</v>
      </c>
      <c r="D26" s="187">
        <v>200.0</v>
      </c>
      <c r="E26" s="212">
        <v>28.0</v>
      </c>
      <c r="F26" s="37"/>
      <c r="G26" s="38">
        <f t="shared" si="1"/>
        <v>0</v>
      </c>
      <c r="H26" s="71">
        <f t="shared" si="2"/>
        <v>12.85714286</v>
      </c>
      <c r="I26" s="71"/>
      <c r="J26" s="4"/>
      <c r="K26" s="4"/>
      <c r="L26" s="4"/>
      <c r="M26" s="4"/>
      <c r="N26" s="4"/>
      <c r="O26" s="4"/>
    </row>
    <row r="27" ht="15.75" customHeight="1">
      <c r="A27" s="187">
        <v>8.05801619E9</v>
      </c>
      <c r="B27" s="42" t="s">
        <v>728</v>
      </c>
      <c r="C27" s="42" t="s">
        <v>729</v>
      </c>
      <c r="D27" s="187">
        <v>690.0</v>
      </c>
      <c r="E27" s="212">
        <v>182.0</v>
      </c>
      <c r="F27" s="14"/>
      <c r="G27" s="38">
        <f t="shared" si="1"/>
        <v>0</v>
      </c>
      <c r="H27" s="71">
        <f t="shared" si="2"/>
        <v>1.978021978</v>
      </c>
      <c r="I27" s="71"/>
      <c r="J27" s="4"/>
      <c r="K27" s="4"/>
      <c r="L27" s="4"/>
      <c r="M27" s="4"/>
      <c r="N27" s="4"/>
      <c r="O27" s="4"/>
    </row>
    <row r="28" ht="15.75" customHeight="1">
      <c r="A28" s="187">
        <v>8.10469719E9</v>
      </c>
      <c r="B28" s="42" t="s">
        <v>730</v>
      </c>
      <c r="C28" s="42" t="s">
        <v>731</v>
      </c>
      <c r="D28" s="187">
        <v>800.0</v>
      </c>
      <c r="E28" s="212">
        <v>182.0</v>
      </c>
      <c r="F28" s="37"/>
      <c r="G28" s="38">
        <f t="shared" si="1"/>
        <v>0</v>
      </c>
      <c r="H28" s="71">
        <f t="shared" si="2"/>
        <v>1.978021978</v>
      </c>
      <c r="I28" s="71"/>
      <c r="J28" s="4"/>
      <c r="K28" s="4"/>
      <c r="L28" s="4"/>
      <c r="M28" s="4"/>
      <c r="N28" s="4"/>
      <c r="O28" s="4"/>
    </row>
    <row r="29" ht="15.75" customHeight="1">
      <c r="A29" s="187">
        <v>8.10471919E9</v>
      </c>
      <c r="B29" s="42" t="s">
        <v>732</v>
      </c>
      <c r="C29" s="42" t="s">
        <v>733</v>
      </c>
      <c r="D29" s="187">
        <v>800.0</v>
      </c>
      <c r="E29" s="212">
        <v>182.0</v>
      </c>
      <c r="F29" s="37"/>
      <c r="G29" s="38">
        <f t="shared" si="1"/>
        <v>0</v>
      </c>
      <c r="H29" s="71">
        <f t="shared" si="2"/>
        <v>1.978021978</v>
      </c>
      <c r="I29" s="71"/>
      <c r="J29" s="4"/>
      <c r="K29" s="4"/>
      <c r="L29" s="4"/>
      <c r="M29" s="4"/>
      <c r="N29" s="4"/>
      <c r="O29" s="4"/>
    </row>
    <row r="30" ht="15.75" customHeight="1">
      <c r="A30" s="187">
        <v>8.05868719E9</v>
      </c>
      <c r="B30" s="42" t="s">
        <v>734</v>
      </c>
      <c r="C30" s="42" t="s">
        <v>735</v>
      </c>
      <c r="D30" s="187">
        <v>1000.0</v>
      </c>
      <c r="E30" s="212">
        <v>182.0</v>
      </c>
      <c r="F30" s="37"/>
      <c r="G30" s="38">
        <f t="shared" si="1"/>
        <v>0</v>
      </c>
      <c r="H30" s="71">
        <f t="shared" si="2"/>
        <v>1.978021978</v>
      </c>
      <c r="I30" s="71"/>
      <c r="J30" s="4"/>
      <c r="K30" s="4"/>
      <c r="L30" s="4"/>
      <c r="M30" s="4"/>
      <c r="N30" s="4"/>
      <c r="O30" s="4"/>
    </row>
    <row r="31" ht="15.75" customHeight="1">
      <c r="A31" s="187">
        <v>8.05880619E9</v>
      </c>
      <c r="B31" s="42" t="s">
        <v>736</v>
      </c>
      <c r="C31" s="42" t="s">
        <v>737</v>
      </c>
      <c r="D31" s="187">
        <v>600.0</v>
      </c>
      <c r="E31" s="212">
        <v>56.0</v>
      </c>
      <c r="F31" s="37"/>
      <c r="G31" s="38">
        <f t="shared" si="1"/>
        <v>0</v>
      </c>
      <c r="H31" s="71">
        <f t="shared" si="2"/>
        <v>6.428571429</v>
      </c>
      <c r="I31" s="71"/>
      <c r="J31" s="4"/>
      <c r="K31" s="4"/>
      <c r="L31" s="4"/>
      <c r="M31" s="4"/>
      <c r="N31" s="4"/>
      <c r="O31" s="4"/>
    </row>
    <row r="32" ht="15.75" customHeight="1">
      <c r="A32" s="187">
        <v>8.10605319E9</v>
      </c>
      <c r="B32" s="42" t="s">
        <v>738</v>
      </c>
      <c r="C32" s="42" t="s">
        <v>739</v>
      </c>
      <c r="D32" s="187">
        <v>300.0</v>
      </c>
      <c r="E32" s="212">
        <v>182.0</v>
      </c>
      <c r="F32" s="14"/>
      <c r="G32" s="38">
        <f t="shared" si="1"/>
        <v>0</v>
      </c>
      <c r="H32" s="71">
        <f t="shared" si="2"/>
        <v>1.978021978</v>
      </c>
      <c r="I32" s="71"/>
      <c r="J32" s="4"/>
      <c r="K32" s="4"/>
      <c r="L32" s="4"/>
      <c r="M32" s="4"/>
      <c r="N32" s="4"/>
      <c r="O32" s="4"/>
    </row>
    <row r="33" ht="15.75" customHeight="1">
      <c r="A33" s="42">
        <v>8.05671419E9</v>
      </c>
      <c r="B33" s="42" t="s">
        <v>740</v>
      </c>
      <c r="C33" s="42" t="s">
        <v>741</v>
      </c>
      <c r="D33" s="187">
        <v>500.0</v>
      </c>
      <c r="E33" s="212">
        <v>182.0</v>
      </c>
      <c r="F33" s="14"/>
      <c r="G33" s="38">
        <f t="shared" si="1"/>
        <v>0</v>
      </c>
      <c r="H33" s="71">
        <f t="shared" si="2"/>
        <v>1.978021978</v>
      </c>
      <c r="I33" s="71"/>
      <c r="J33" s="4"/>
      <c r="K33" s="4"/>
      <c r="L33" s="4"/>
      <c r="M33" s="4"/>
      <c r="N33" s="4"/>
      <c r="O33" s="4"/>
    </row>
    <row r="34" ht="15.75" customHeight="1">
      <c r="A34" s="42">
        <v>8.05865219E9</v>
      </c>
      <c r="B34" s="42" t="s">
        <v>742</v>
      </c>
      <c r="C34" s="42" t="s">
        <v>743</v>
      </c>
      <c r="D34" s="187">
        <v>1050.0</v>
      </c>
      <c r="E34" s="212">
        <v>182.0</v>
      </c>
      <c r="F34" s="37"/>
      <c r="G34" s="38">
        <f t="shared" si="1"/>
        <v>0</v>
      </c>
      <c r="H34" s="71">
        <f t="shared" si="2"/>
        <v>1.978021978</v>
      </c>
      <c r="I34" s="71"/>
      <c r="J34" s="4"/>
      <c r="K34" s="4"/>
      <c r="L34" s="4"/>
      <c r="M34" s="4"/>
      <c r="N34" s="4"/>
      <c r="O34" s="4"/>
    </row>
    <row r="35" ht="15.75" customHeight="1">
      <c r="A35" s="42">
        <v>8.05752419E9</v>
      </c>
      <c r="B35" s="42" t="s">
        <v>744</v>
      </c>
      <c r="C35" s="42" t="s">
        <v>745</v>
      </c>
      <c r="D35" s="187">
        <v>600.0</v>
      </c>
      <c r="E35" s="212">
        <v>126.0</v>
      </c>
      <c r="F35" s="14"/>
      <c r="G35" s="38">
        <f t="shared" si="1"/>
        <v>0</v>
      </c>
      <c r="H35" s="71">
        <f t="shared" si="2"/>
        <v>2.857142857</v>
      </c>
      <c r="I35" s="71"/>
      <c r="J35" s="4"/>
      <c r="K35" s="4"/>
      <c r="L35" s="4"/>
      <c r="M35" s="4"/>
      <c r="N35" s="4"/>
      <c r="O35" s="4"/>
    </row>
    <row r="36" ht="15.75" customHeight="1">
      <c r="A36" s="42">
        <v>8.05753219E9</v>
      </c>
      <c r="B36" s="42" t="s">
        <v>746</v>
      </c>
      <c r="C36" s="42" t="s">
        <v>747</v>
      </c>
      <c r="D36" s="187">
        <v>2500.0</v>
      </c>
      <c r="E36" s="212">
        <v>182.0</v>
      </c>
      <c r="F36" s="37"/>
      <c r="G36" s="38">
        <f t="shared" si="1"/>
        <v>0</v>
      </c>
      <c r="H36" s="71">
        <f t="shared" si="2"/>
        <v>1.978021978</v>
      </c>
      <c r="I36" s="71"/>
      <c r="J36" s="4"/>
      <c r="K36" s="4"/>
      <c r="L36" s="4"/>
      <c r="M36" s="4"/>
      <c r="N36" s="4"/>
      <c r="O36" s="4"/>
    </row>
    <row r="37" ht="15.75" customHeight="1">
      <c r="A37" s="42">
        <v>8.05787719E9</v>
      </c>
      <c r="B37" s="42" t="s">
        <v>748</v>
      </c>
      <c r="C37" s="42" t="s">
        <v>749</v>
      </c>
      <c r="D37" s="187">
        <v>700.0</v>
      </c>
      <c r="E37" s="212">
        <v>84.0</v>
      </c>
      <c r="F37" s="37"/>
      <c r="G37" s="38">
        <f t="shared" si="1"/>
        <v>0</v>
      </c>
      <c r="H37" s="71">
        <f t="shared" si="2"/>
        <v>4.285714286</v>
      </c>
      <c r="I37" s="71"/>
      <c r="J37" s="4"/>
      <c r="K37" s="4"/>
      <c r="L37" s="4"/>
      <c r="M37" s="4"/>
      <c r="N37" s="4"/>
      <c r="O37" s="4"/>
    </row>
    <row r="38" ht="15.75" customHeight="1">
      <c r="A38" s="42">
        <v>8.05796619E9</v>
      </c>
      <c r="B38" s="42" t="s">
        <v>750</v>
      </c>
      <c r="C38" s="42" t="s">
        <v>751</v>
      </c>
      <c r="D38" s="187">
        <v>600.0</v>
      </c>
      <c r="E38" s="212">
        <v>182.0</v>
      </c>
      <c r="F38" s="14"/>
      <c r="G38" s="38">
        <f t="shared" si="1"/>
        <v>0</v>
      </c>
      <c r="H38" s="71">
        <f t="shared" si="2"/>
        <v>1.978021978</v>
      </c>
      <c r="I38" s="71"/>
      <c r="J38" s="4"/>
      <c r="K38" s="4"/>
      <c r="L38" s="4"/>
      <c r="M38" s="4"/>
      <c r="N38" s="4"/>
      <c r="O38" s="4"/>
    </row>
    <row r="39" ht="15.75" customHeight="1">
      <c r="A39" s="42">
        <v>8.10544819E9</v>
      </c>
      <c r="B39" s="42" t="s">
        <v>752</v>
      </c>
      <c r="C39" s="42" t="s">
        <v>753</v>
      </c>
      <c r="D39" s="187">
        <v>250.0</v>
      </c>
      <c r="E39" s="212">
        <v>182.0</v>
      </c>
      <c r="F39" s="14"/>
      <c r="G39" s="38">
        <f t="shared" si="1"/>
        <v>0</v>
      </c>
      <c r="H39" s="71">
        <f t="shared" si="2"/>
        <v>1.978021978</v>
      </c>
      <c r="I39" s="71"/>
      <c r="J39" s="4"/>
      <c r="K39" s="4"/>
      <c r="L39" s="4"/>
      <c r="M39" s="4"/>
      <c r="N39" s="4"/>
      <c r="O39" s="4"/>
    </row>
    <row r="40" ht="15.75" customHeight="1">
      <c r="A40" s="42">
        <v>8.10546419E9</v>
      </c>
      <c r="B40" s="42" t="s">
        <v>754</v>
      </c>
      <c r="C40" s="42" t="s">
        <v>755</v>
      </c>
      <c r="D40" s="187">
        <v>250.0</v>
      </c>
      <c r="E40" s="212">
        <v>182.0</v>
      </c>
      <c r="F40" s="14"/>
      <c r="G40" s="38">
        <f t="shared" si="1"/>
        <v>0</v>
      </c>
      <c r="H40" s="71">
        <f t="shared" si="2"/>
        <v>1.978021978</v>
      </c>
      <c r="I40" s="71"/>
      <c r="J40" s="4"/>
      <c r="K40" s="4"/>
      <c r="L40" s="4"/>
      <c r="M40" s="4"/>
      <c r="N40" s="4"/>
      <c r="O40" s="4"/>
    </row>
    <row r="41" ht="15.75" customHeight="1">
      <c r="A41" s="42">
        <v>8.06351619E9</v>
      </c>
      <c r="B41" s="42" t="s">
        <v>756</v>
      </c>
      <c r="C41" s="42" t="s">
        <v>757</v>
      </c>
      <c r="D41" s="187">
        <v>14500.0</v>
      </c>
      <c r="E41" s="212">
        <v>182.0</v>
      </c>
      <c r="F41" s="14"/>
      <c r="G41" s="38">
        <f t="shared" si="1"/>
        <v>0</v>
      </c>
      <c r="H41" s="71">
        <f t="shared" si="2"/>
        <v>1.978021978</v>
      </c>
      <c r="I41" s="71"/>
      <c r="J41" s="4"/>
      <c r="K41" s="4"/>
      <c r="L41" s="4"/>
      <c r="M41" s="4"/>
      <c r="N41" s="4"/>
      <c r="O41" s="4"/>
    </row>
    <row r="42" ht="15.75" customHeight="1">
      <c r="A42" s="42">
        <v>8.05748619E9</v>
      </c>
      <c r="B42" s="42" t="s">
        <v>758</v>
      </c>
      <c r="C42" s="42" t="s">
        <v>759</v>
      </c>
      <c r="D42" s="187">
        <v>150.0</v>
      </c>
      <c r="E42" s="212">
        <v>56.0</v>
      </c>
      <c r="F42" s="37"/>
      <c r="G42" s="38">
        <f t="shared" si="1"/>
        <v>0</v>
      </c>
      <c r="H42" s="71">
        <f t="shared" si="2"/>
        <v>6.428571429</v>
      </c>
      <c r="I42" s="71"/>
      <c r="J42" s="4"/>
      <c r="K42" s="4"/>
      <c r="L42" s="4"/>
      <c r="M42" s="4"/>
      <c r="N42" s="4"/>
      <c r="O42" s="4"/>
    </row>
    <row r="43" ht="15.75" customHeight="1">
      <c r="A43" s="42">
        <v>8.05672219E9</v>
      </c>
      <c r="B43" s="42" t="s">
        <v>760</v>
      </c>
      <c r="C43" s="42" t="s">
        <v>761</v>
      </c>
      <c r="D43" s="187">
        <v>500.0</v>
      </c>
      <c r="E43" s="212">
        <v>182.0</v>
      </c>
      <c r="F43" s="37"/>
      <c r="G43" s="38">
        <f t="shared" si="1"/>
        <v>0</v>
      </c>
      <c r="H43" s="71">
        <f t="shared" si="2"/>
        <v>1.978021978</v>
      </c>
      <c r="I43" s="71"/>
      <c r="J43" s="4"/>
      <c r="K43" s="4"/>
      <c r="L43" s="4"/>
      <c r="M43" s="4"/>
      <c r="N43" s="4"/>
      <c r="O43" s="4"/>
    </row>
    <row r="44" ht="15.75" customHeight="1">
      <c r="A44" s="42">
        <v>8.05867919E9</v>
      </c>
      <c r="B44" s="42" t="s">
        <v>762</v>
      </c>
      <c r="C44" s="42" t="s">
        <v>763</v>
      </c>
      <c r="D44" s="187">
        <v>650.0</v>
      </c>
      <c r="E44" s="212">
        <v>182.0</v>
      </c>
      <c r="F44" s="14"/>
      <c r="G44" s="38">
        <f t="shared" si="1"/>
        <v>0</v>
      </c>
      <c r="H44" s="71">
        <f t="shared" si="2"/>
        <v>1.978021978</v>
      </c>
      <c r="I44" s="71"/>
      <c r="J44" s="4"/>
      <c r="K44" s="4"/>
      <c r="L44" s="4"/>
      <c r="M44" s="4"/>
      <c r="N44" s="4"/>
      <c r="O44" s="4"/>
    </row>
    <row r="45" ht="15.75" customHeight="1">
      <c r="A45" s="42">
        <v>8.05791519E9</v>
      </c>
      <c r="B45" s="42" t="s">
        <v>764</v>
      </c>
      <c r="C45" s="42" t="s">
        <v>765</v>
      </c>
      <c r="D45" s="187">
        <v>300.0</v>
      </c>
      <c r="E45" s="212">
        <v>182.0</v>
      </c>
      <c r="F45" s="14"/>
      <c r="G45" s="38">
        <f t="shared" si="1"/>
        <v>0</v>
      </c>
      <c r="H45" s="71">
        <f t="shared" si="2"/>
        <v>1.978021978</v>
      </c>
      <c r="I45" s="71"/>
      <c r="J45" s="4"/>
      <c r="K45" s="4"/>
      <c r="L45" s="4"/>
      <c r="M45" s="4"/>
      <c r="N45" s="4"/>
      <c r="O45" s="4"/>
    </row>
    <row r="46" ht="15.75" customHeight="1">
      <c r="A46" s="187">
        <v>8.10547219E9</v>
      </c>
      <c r="B46" s="42" t="s">
        <v>766</v>
      </c>
      <c r="C46" s="42" t="s">
        <v>767</v>
      </c>
      <c r="D46" s="187">
        <v>200.0</v>
      </c>
      <c r="E46" s="212">
        <v>182.0</v>
      </c>
      <c r="F46" s="14"/>
      <c r="G46" s="38">
        <f t="shared" si="1"/>
        <v>0</v>
      </c>
      <c r="H46" s="71">
        <f t="shared" si="2"/>
        <v>1.978021978</v>
      </c>
      <c r="I46" s="71"/>
      <c r="J46" s="4"/>
      <c r="K46" s="4"/>
      <c r="L46" s="4"/>
      <c r="M46" s="4"/>
      <c r="N46" s="4"/>
      <c r="O46" s="4"/>
    </row>
    <row r="47" ht="15.75" customHeight="1">
      <c r="A47" s="187">
        <v>8.10555319E9</v>
      </c>
      <c r="B47" s="42" t="s">
        <v>768</v>
      </c>
      <c r="C47" s="42" t="s">
        <v>769</v>
      </c>
      <c r="D47" s="187">
        <v>200.0</v>
      </c>
      <c r="E47" s="212">
        <v>56.0</v>
      </c>
      <c r="F47" s="14"/>
      <c r="G47" s="38">
        <f t="shared" si="1"/>
        <v>0</v>
      </c>
      <c r="H47" s="71">
        <f t="shared" si="2"/>
        <v>6.428571429</v>
      </c>
      <c r="I47" s="71"/>
      <c r="J47" s="4"/>
      <c r="K47" s="4"/>
      <c r="L47" s="4"/>
      <c r="M47" s="4"/>
      <c r="N47" s="4"/>
      <c r="O47" s="4"/>
    </row>
    <row r="48" ht="15.75" customHeight="1">
      <c r="A48" s="187">
        <v>8.25264519E9</v>
      </c>
      <c r="B48" s="42" t="s">
        <v>770</v>
      </c>
      <c r="C48" s="42" t="s">
        <v>771</v>
      </c>
      <c r="D48" s="187">
        <v>200.0</v>
      </c>
      <c r="E48" s="212">
        <v>182.0</v>
      </c>
      <c r="F48" s="14"/>
      <c r="G48" s="38">
        <f t="shared" si="1"/>
        <v>0</v>
      </c>
      <c r="H48" s="71">
        <f t="shared" si="2"/>
        <v>1.978021978</v>
      </c>
      <c r="I48" s="71"/>
      <c r="J48" s="4"/>
      <c r="K48" s="4"/>
      <c r="L48" s="4"/>
      <c r="M48" s="4"/>
      <c r="N48" s="4"/>
      <c r="O48" s="4"/>
    </row>
    <row r="49" ht="15.75" customHeight="1">
      <c r="A49" s="187">
        <v>8.10607019E9</v>
      </c>
      <c r="B49" s="42" t="s">
        <v>772</v>
      </c>
      <c r="C49" s="42" t="s">
        <v>773</v>
      </c>
      <c r="D49" s="187">
        <v>150.0</v>
      </c>
      <c r="E49" s="212">
        <v>182.0</v>
      </c>
      <c r="F49" s="14"/>
      <c r="G49" s="38">
        <f t="shared" si="1"/>
        <v>0</v>
      </c>
      <c r="H49" s="71">
        <f t="shared" si="2"/>
        <v>1.978021978</v>
      </c>
      <c r="I49" s="71"/>
      <c r="J49" s="4"/>
      <c r="K49" s="4"/>
      <c r="L49" s="4"/>
      <c r="M49" s="4"/>
      <c r="N49" s="4"/>
      <c r="O49" s="4"/>
    </row>
    <row r="50" ht="15.75" customHeight="1">
      <c r="A50" s="187">
        <v>8.10606119E9</v>
      </c>
      <c r="B50" s="42" t="s">
        <v>774</v>
      </c>
      <c r="C50" s="42" t="s">
        <v>775</v>
      </c>
      <c r="D50" s="187">
        <v>150.0</v>
      </c>
      <c r="E50" s="212">
        <v>182.0</v>
      </c>
      <c r="F50" s="14"/>
      <c r="G50" s="38">
        <f t="shared" si="1"/>
        <v>0</v>
      </c>
      <c r="H50" s="71">
        <f t="shared" si="2"/>
        <v>1.978021978</v>
      </c>
      <c r="I50" s="71"/>
      <c r="J50" s="4"/>
      <c r="K50" s="4"/>
      <c r="L50" s="4"/>
      <c r="M50" s="4"/>
      <c r="N50" s="4"/>
      <c r="O50" s="4"/>
    </row>
    <row r="51" ht="15.75" customHeight="1">
      <c r="A51" s="187">
        <v>8.05877619E9</v>
      </c>
      <c r="B51" s="42" t="s">
        <v>776</v>
      </c>
      <c r="C51" s="42" t="s">
        <v>777</v>
      </c>
      <c r="D51" s="187">
        <v>100.0</v>
      </c>
      <c r="E51" s="212">
        <v>56.0</v>
      </c>
      <c r="F51" s="14"/>
      <c r="G51" s="38">
        <f t="shared" si="1"/>
        <v>0</v>
      </c>
      <c r="H51" s="71">
        <f t="shared" si="2"/>
        <v>6.428571429</v>
      </c>
      <c r="I51" s="71"/>
      <c r="J51" s="4"/>
      <c r="K51" s="4"/>
      <c r="L51" s="4"/>
      <c r="M51" s="4"/>
      <c r="N51" s="4"/>
      <c r="O51" s="4"/>
    </row>
    <row r="52" ht="15.75" customHeight="1">
      <c r="A52" s="187">
        <v>8.05759119E9</v>
      </c>
      <c r="B52" s="42" t="s">
        <v>778</v>
      </c>
      <c r="C52" s="42" t="s">
        <v>779</v>
      </c>
      <c r="D52" s="187">
        <v>500.0</v>
      </c>
      <c r="E52" s="212">
        <v>84.0</v>
      </c>
      <c r="F52" s="37"/>
      <c r="G52" s="38">
        <f t="shared" si="1"/>
        <v>0</v>
      </c>
      <c r="H52" s="71">
        <f t="shared" si="2"/>
        <v>4.285714286</v>
      </c>
      <c r="I52" s="71"/>
      <c r="J52" s="4"/>
      <c r="K52" s="4"/>
      <c r="L52" s="4"/>
      <c r="M52" s="4"/>
      <c r="N52" s="4"/>
      <c r="O52" s="4"/>
    </row>
    <row r="53" ht="15.75" customHeight="1">
      <c r="A53" s="187">
        <v>8.10554519E9</v>
      </c>
      <c r="B53" s="42" t="s">
        <v>780</v>
      </c>
      <c r="C53" s="42" t="s">
        <v>781</v>
      </c>
      <c r="D53" s="187">
        <v>150.0</v>
      </c>
      <c r="E53" s="212">
        <v>154.0</v>
      </c>
      <c r="F53" s="14"/>
      <c r="G53" s="38">
        <f t="shared" si="1"/>
        <v>0</v>
      </c>
      <c r="H53" s="71">
        <f t="shared" si="2"/>
        <v>2.337662338</v>
      </c>
      <c r="I53" s="71"/>
      <c r="J53" s="4"/>
      <c r="K53" s="4"/>
      <c r="L53" s="4"/>
      <c r="M53" s="4"/>
      <c r="N53" s="4"/>
      <c r="O53" s="4"/>
    </row>
    <row r="54" ht="15.75" customHeight="1">
      <c r="A54" s="187">
        <v>8.10604519E9</v>
      </c>
      <c r="B54" s="42" t="s">
        <v>782</v>
      </c>
      <c r="C54" s="42" t="s">
        <v>783</v>
      </c>
      <c r="D54" s="187">
        <v>200.0</v>
      </c>
      <c r="E54" s="212">
        <v>182.0</v>
      </c>
      <c r="F54" s="14"/>
      <c r="G54" s="38">
        <f t="shared" si="1"/>
        <v>0</v>
      </c>
      <c r="H54" s="71">
        <f t="shared" si="2"/>
        <v>1.978021978</v>
      </c>
      <c r="I54" s="71"/>
      <c r="J54" s="4"/>
      <c r="K54" s="4"/>
      <c r="L54" s="4"/>
      <c r="M54" s="4"/>
      <c r="N54" s="4"/>
      <c r="O54" s="4"/>
    </row>
    <row r="55" ht="15.75" customHeight="1">
      <c r="A55" s="187">
        <v>8.10553719E9</v>
      </c>
      <c r="B55" s="42" t="s">
        <v>784</v>
      </c>
      <c r="C55" s="42" t="s">
        <v>785</v>
      </c>
      <c r="D55" s="187">
        <v>150.0</v>
      </c>
      <c r="E55" s="212">
        <v>154.0</v>
      </c>
      <c r="F55" s="14"/>
      <c r="G55" s="38">
        <f t="shared" si="1"/>
        <v>0</v>
      </c>
      <c r="H55" s="71">
        <f t="shared" si="2"/>
        <v>2.337662338</v>
      </c>
      <c r="I55" s="71"/>
      <c r="J55" s="4"/>
      <c r="K55" s="4"/>
      <c r="L55" s="4"/>
      <c r="M55" s="4"/>
      <c r="N55" s="4"/>
      <c r="O55" s="4"/>
    </row>
    <row r="56" ht="15.75" customHeight="1">
      <c r="A56" s="187">
        <v>8.10608819E9</v>
      </c>
      <c r="B56" s="42" t="s">
        <v>786</v>
      </c>
      <c r="C56" s="42" t="s">
        <v>787</v>
      </c>
      <c r="D56" s="187">
        <v>100.0</v>
      </c>
      <c r="E56" s="212">
        <v>182.0</v>
      </c>
      <c r="F56" s="14"/>
      <c r="G56" s="38">
        <f t="shared" si="1"/>
        <v>0</v>
      </c>
      <c r="H56" s="71">
        <f t="shared" si="2"/>
        <v>1.978021978</v>
      </c>
      <c r="I56" s="71"/>
      <c r="J56" s="4"/>
      <c r="K56" s="4"/>
      <c r="L56" s="4"/>
      <c r="M56" s="4"/>
      <c r="N56" s="4"/>
      <c r="O56" s="4"/>
    </row>
    <row r="57" ht="15.75" customHeight="1">
      <c r="A57" s="187">
        <v>8.10609619E9</v>
      </c>
      <c r="B57" s="42" t="s">
        <v>788</v>
      </c>
      <c r="C57" s="42" t="s">
        <v>789</v>
      </c>
      <c r="D57" s="187">
        <v>100.0</v>
      </c>
      <c r="E57" s="212">
        <v>182.0</v>
      </c>
      <c r="F57" s="14"/>
      <c r="G57" s="38">
        <f t="shared" si="1"/>
        <v>0</v>
      </c>
      <c r="H57" s="71">
        <f t="shared" si="2"/>
        <v>1.978021978</v>
      </c>
      <c r="I57" s="71"/>
      <c r="J57" s="4"/>
      <c r="K57" s="4"/>
      <c r="L57" s="4"/>
      <c r="M57" s="4"/>
      <c r="N57" s="4"/>
      <c r="O57" s="4"/>
    </row>
    <row r="58" ht="15.75" customHeight="1">
      <c r="A58" s="187">
        <v>8.10139619E9</v>
      </c>
      <c r="B58" s="42" t="s">
        <v>790</v>
      </c>
      <c r="C58" s="42" t="s">
        <v>791</v>
      </c>
      <c r="D58" s="187">
        <v>200.0</v>
      </c>
      <c r="E58" s="212">
        <v>182.0</v>
      </c>
      <c r="F58" s="14"/>
      <c r="G58" s="38">
        <f t="shared" si="1"/>
        <v>0</v>
      </c>
      <c r="H58" s="71">
        <f t="shared" si="2"/>
        <v>1.978021978</v>
      </c>
      <c r="I58" s="71"/>
      <c r="J58" s="4"/>
      <c r="K58" s="4"/>
      <c r="L58" s="4"/>
      <c r="M58" s="4"/>
      <c r="N58" s="4"/>
      <c r="O58" s="4"/>
    </row>
    <row r="59" ht="15.75" customHeight="1">
      <c r="A59" s="187">
        <v>8.05873319E9</v>
      </c>
      <c r="B59" s="42" t="s">
        <v>792</v>
      </c>
      <c r="C59" s="42" t="s">
        <v>793</v>
      </c>
      <c r="D59" s="187">
        <v>500.0</v>
      </c>
      <c r="E59" s="212">
        <v>182.0</v>
      </c>
      <c r="F59" s="14"/>
      <c r="G59" s="38">
        <f t="shared" si="1"/>
        <v>0</v>
      </c>
      <c r="H59" s="71">
        <f t="shared" si="2"/>
        <v>1.978021978</v>
      </c>
      <c r="I59" s="71"/>
      <c r="J59" s="4"/>
      <c r="K59" s="4"/>
      <c r="L59" s="4"/>
      <c r="M59" s="4"/>
      <c r="N59" s="4"/>
      <c r="O59" s="4"/>
    </row>
    <row r="60" ht="15.75" customHeight="1">
      <c r="A60" s="187">
        <v>8.05764819E9</v>
      </c>
      <c r="B60" s="42" t="s">
        <v>794</v>
      </c>
      <c r="C60" s="42" t="s">
        <v>795</v>
      </c>
      <c r="D60" s="187">
        <v>400.0</v>
      </c>
      <c r="E60" s="212">
        <v>182.0</v>
      </c>
      <c r="F60" s="14"/>
      <c r="G60" s="38">
        <f t="shared" si="1"/>
        <v>0</v>
      </c>
      <c r="H60" s="71">
        <f t="shared" si="2"/>
        <v>1.978021978</v>
      </c>
      <c r="I60" s="71"/>
      <c r="J60" s="4"/>
      <c r="K60" s="4"/>
      <c r="L60" s="4"/>
      <c r="M60" s="4"/>
      <c r="N60" s="4"/>
      <c r="O60" s="4"/>
    </row>
    <row r="61" ht="15.75" customHeight="1">
      <c r="A61" s="187">
        <v>8.05792319E9</v>
      </c>
      <c r="B61" s="42" t="s">
        <v>796</v>
      </c>
      <c r="C61" s="42" t="s">
        <v>797</v>
      </c>
      <c r="D61" s="187">
        <v>300.0</v>
      </c>
      <c r="E61" s="212">
        <v>182.0</v>
      </c>
      <c r="F61" s="14"/>
      <c r="G61" s="38">
        <f t="shared" si="1"/>
        <v>0</v>
      </c>
      <c r="H61" s="71">
        <f t="shared" si="2"/>
        <v>1.978021978</v>
      </c>
      <c r="I61" s="71"/>
      <c r="J61" s="4"/>
      <c r="K61" s="4"/>
      <c r="L61" s="4"/>
      <c r="M61" s="4"/>
      <c r="N61" s="4"/>
      <c r="O61" s="4"/>
    </row>
    <row r="62" ht="15.75" customHeight="1">
      <c r="A62" s="214" t="s">
        <v>798</v>
      </c>
      <c r="B62" s="42" t="s">
        <v>799</v>
      </c>
      <c r="C62" s="215" t="s">
        <v>765</v>
      </c>
      <c r="D62" s="187">
        <v>300.0</v>
      </c>
      <c r="E62" s="212">
        <v>182.0</v>
      </c>
      <c r="F62" s="14"/>
      <c r="G62" s="38">
        <f t="shared" si="1"/>
        <v>0</v>
      </c>
      <c r="H62" s="71">
        <f t="shared" si="2"/>
        <v>1.978021978</v>
      </c>
      <c r="I62" s="71"/>
      <c r="J62" s="4"/>
      <c r="K62" s="4"/>
      <c r="L62" s="4"/>
      <c r="M62" s="4"/>
      <c r="N62" s="4"/>
      <c r="O62" s="4"/>
    </row>
    <row r="63" ht="15.75" customHeight="1">
      <c r="A63" s="187">
        <v>8.05788519E9</v>
      </c>
      <c r="B63" s="42" t="s">
        <v>800</v>
      </c>
      <c r="C63" s="42" t="s">
        <v>801</v>
      </c>
      <c r="D63" s="187">
        <v>300.0</v>
      </c>
      <c r="E63" s="212">
        <v>182.0</v>
      </c>
      <c r="F63" s="14"/>
      <c r="G63" s="38">
        <f t="shared" si="1"/>
        <v>0</v>
      </c>
      <c r="H63" s="71">
        <f t="shared" si="2"/>
        <v>1.978021978</v>
      </c>
      <c r="I63" s="71"/>
      <c r="J63" s="4"/>
      <c r="K63" s="4"/>
      <c r="L63" s="4"/>
      <c r="M63" s="4"/>
      <c r="N63" s="4"/>
      <c r="O63" s="4"/>
    </row>
    <row r="64" ht="15.75" customHeight="1">
      <c r="A64" s="42">
        <v>8.05666819E9</v>
      </c>
      <c r="B64" s="42" t="s">
        <v>802</v>
      </c>
      <c r="C64" s="42" t="s">
        <v>803</v>
      </c>
      <c r="D64" s="187">
        <v>500.0</v>
      </c>
      <c r="E64" s="212">
        <v>182.0</v>
      </c>
      <c r="F64" s="14"/>
      <c r="G64" s="38">
        <f t="shared" si="1"/>
        <v>0</v>
      </c>
      <c r="H64" s="71">
        <f t="shared" si="2"/>
        <v>1.978021978</v>
      </c>
      <c r="I64" s="71"/>
      <c r="J64" s="4"/>
      <c r="K64" s="4"/>
      <c r="L64" s="4"/>
      <c r="M64" s="4"/>
      <c r="N64" s="4"/>
      <c r="O64" s="4"/>
    </row>
    <row r="65" ht="15.75" customHeight="1">
      <c r="A65" s="42">
        <v>8.44569919E9</v>
      </c>
      <c r="B65" s="42" t="s">
        <v>804</v>
      </c>
      <c r="C65" s="42" t="s">
        <v>805</v>
      </c>
      <c r="D65" s="187">
        <v>200.0</v>
      </c>
      <c r="E65" s="212">
        <v>28.0</v>
      </c>
      <c r="F65" s="37"/>
      <c r="G65" s="38">
        <f t="shared" si="1"/>
        <v>0</v>
      </c>
      <c r="H65" s="71">
        <f t="shared" si="2"/>
        <v>12.85714286</v>
      </c>
      <c r="I65" s="71"/>
      <c r="J65" s="4"/>
      <c r="K65" s="4"/>
      <c r="L65" s="4"/>
      <c r="M65" s="4"/>
      <c r="N65" s="4"/>
      <c r="O65" s="4"/>
    </row>
    <row r="66" ht="15.75" customHeight="1">
      <c r="A66" s="42">
        <v>8.10562619E9</v>
      </c>
      <c r="B66" s="42" t="s">
        <v>806</v>
      </c>
      <c r="C66" s="42" t="s">
        <v>807</v>
      </c>
      <c r="D66" s="187">
        <v>100.0</v>
      </c>
      <c r="E66" s="212">
        <v>182.0</v>
      </c>
      <c r="F66" s="37"/>
      <c r="G66" s="38">
        <f t="shared" si="1"/>
        <v>0</v>
      </c>
      <c r="H66" s="71">
        <f t="shared" si="2"/>
        <v>1.978021978</v>
      </c>
      <c r="I66" s="71"/>
      <c r="J66" s="4"/>
      <c r="K66" s="4"/>
      <c r="L66" s="4"/>
      <c r="M66" s="4"/>
      <c r="N66" s="4"/>
      <c r="O66" s="4"/>
    </row>
    <row r="67" ht="15.75" customHeight="1">
      <c r="A67" s="42">
        <v>8.10552919E9</v>
      </c>
      <c r="B67" s="42" t="s">
        <v>808</v>
      </c>
      <c r="C67" s="42" t="s">
        <v>809</v>
      </c>
      <c r="D67" s="187">
        <v>150.0</v>
      </c>
      <c r="E67" s="212">
        <v>84.0</v>
      </c>
      <c r="F67" s="14"/>
      <c r="G67" s="38">
        <f t="shared" si="1"/>
        <v>0</v>
      </c>
      <c r="H67" s="71">
        <f t="shared" si="2"/>
        <v>4.285714286</v>
      </c>
      <c r="I67" s="71"/>
      <c r="J67" s="4"/>
      <c r="K67" s="4"/>
      <c r="L67" s="4"/>
      <c r="M67" s="4"/>
      <c r="N67" s="4"/>
      <c r="O67" s="4"/>
    </row>
    <row r="68" ht="15.75" customHeight="1">
      <c r="A68" s="42">
        <v>8.10612619E9</v>
      </c>
      <c r="B68" s="42" t="s">
        <v>810</v>
      </c>
      <c r="C68" s="42" t="s">
        <v>811</v>
      </c>
      <c r="D68" s="187">
        <v>150.0</v>
      </c>
      <c r="E68" s="212">
        <v>182.0</v>
      </c>
      <c r="F68" s="14"/>
      <c r="G68" s="38">
        <f t="shared" si="1"/>
        <v>0</v>
      </c>
      <c r="H68" s="71">
        <f t="shared" si="2"/>
        <v>1.978021978</v>
      </c>
      <c r="I68" s="71"/>
      <c r="J68" s="4"/>
      <c r="K68" s="4"/>
      <c r="L68" s="4"/>
      <c r="M68" s="4"/>
      <c r="N68" s="4"/>
      <c r="O68" s="4"/>
    </row>
    <row r="69" ht="15.75" customHeight="1">
      <c r="A69" s="42">
        <v>8.10559619E9</v>
      </c>
      <c r="B69" s="42" t="s">
        <v>812</v>
      </c>
      <c r="C69" s="42" t="s">
        <v>813</v>
      </c>
      <c r="D69" s="187">
        <v>250.0</v>
      </c>
      <c r="E69" s="212">
        <v>182.0</v>
      </c>
      <c r="F69" s="14"/>
      <c r="G69" s="38">
        <f t="shared" si="1"/>
        <v>0</v>
      </c>
      <c r="H69" s="71">
        <f t="shared" si="2"/>
        <v>1.978021978</v>
      </c>
      <c r="I69" s="71"/>
      <c r="J69" s="4"/>
      <c r="K69" s="4"/>
      <c r="L69" s="4"/>
      <c r="M69" s="4"/>
      <c r="N69" s="4"/>
      <c r="O69" s="4"/>
    </row>
    <row r="70" ht="15.75" customHeight="1">
      <c r="A70" s="42">
        <v>8.05782619E9</v>
      </c>
      <c r="B70" s="42" t="s">
        <v>814</v>
      </c>
      <c r="C70" s="42" t="s">
        <v>815</v>
      </c>
      <c r="D70" s="187">
        <v>100.0</v>
      </c>
      <c r="E70" s="212">
        <v>28.0</v>
      </c>
      <c r="F70" s="14"/>
      <c r="G70" s="38">
        <f t="shared" si="1"/>
        <v>0</v>
      </c>
      <c r="H70" s="71">
        <f t="shared" si="2"/>
        <v>12.85714286</v>
      </c>
      <c r="I70" s="71"/>
      <c r="J70" s="4"/>
      <c r="K70" s="4"/>
      <c r="L70" s="4"/>
      <c r="M70" s="4"/>
      <c r="N70" s="4"/>
      <c r="O70" s="4"/>
    </row>
    <row r="71" ht="15.75" customHeight="1">
      <c r="A71" s="42">
        <v>8.05749419E9</v>
      </c>
      <c r="B71" s="42" t="s">
        <v>816</v>
      </c>
      <c r="C71" s="42" t="s">
        <v>817</v>
      </c>
      <c r="D71" s="187">
        <v>250.0</v>
      </c>
      <c r="E71" s="212">
        <v>42.0</v>
      </c>
      <c r="F71" s="14"/>
      <c r="G71" s="38">
        <f t="shared" si="1"/>
        <v>0</v>
      </c>
      <c r="H71" s="71">
        <f t="shared" si="2"/>
        <v>8.571428571</v>
      </c>
      <c r="I71" s="71"/>
      <c r="J71" s="4"/>
      <c r="K71" s="4"/>
      <c r="L71" s="4"/>
      <c r="M71" s="4"/>
      <c r="N71" s="4"/>
      <c r="O71" s="4"/>
    </row>
    <row r="72" ht="15.75" customHeight="1">
      <c r="A72" s="42">
        <v>8.05802419E9</v>
      </c>
      <c r="B72" s="42" t="s">
        <v>818</v>
      </c>
      <c r="C72" s="42" t="s">
        <v>819</v>
      </c>
      <c r="D72" s="187">
        <v>300.0</v>
      </c>
      <c r="E72" s="212">
        <v>112.0</v>
      </c>
      <c r="F72" s="14"/>
      <c r="G72" s="38">
        <f t="shared" si="1"/>
        <v>0</v>
      </c>
      <c r="H72" s="71">
        <f t="shared" si="2"/>
        <v>3.214285714</v>
      </c>
      <c r="I72" s="71"/>
      <c r="J72" s="4"/>
      <c r="K72" s="4"/>
      <c r="L72" s="4"/>
      <c r="M72" s="4"/>
      <c r="N72" s="4"/>
      <c r="O72" s="4"/>
    </row>
    <row r="73" ht="15.75" customHeight="1">
      <c r="A73" s="42">
        <v>8.05763019E9</v>
      </c>
      <c r="B73" s="42" t="s">
        <v>820</v>
      </c>
      <c r="C73" s="42" t="s">
        <v>821</v>
      </c>
      <c r="D73" s="187">
        <v>850.0</v>
      </c>
      <c r="E73" s="212">
        <v>84.0</v>
      </c>
      <c r="F73" s="14"/>
      <c r="G73" s="38">
        <f t="shared" si="1"/>
        <v>0</v>
      </c>
      <c r="H73" s="71">
        <f t="shared" si="2"/>
        <v>4.285714286</v>
      </c>
      <c r="I73" s="71"/>
      <c r="J73" s="4"/>
      <c r="K73" s="4"/>
      <c r="L73" s="4"/>
      <c r="M73" s="4"/>
      <c r="N73" s="4"/>
      <c r="O73" s="4"/>
    </row>
    <row r="74" ht="15.75" customHeight="1">
      <c r="A74" s="42">
        <v>8.44567219E9</v>
      </c>
      <c r="B74" s="42" t="s">
        <v>822</v>
      </c>
      <c r="C74" s="42" t="s">
        <v>823</v>
      </c>
      <c r="D74" s="187">
        <v>150.0</v>
      </c>
      <c r="E74" s="212">
        <v>84.0</v>
      </c>
      <c r="F74" s="14"/>
      <c r="G74" s="38">
        <f t="shared" si="1"/>
        <v>0</v>
      </c>
      <c r="H74" s="71">
        <f t="shared" si="2"/>
        <v>4.285714286</v>
      </c>
      <c r="I74" s="71"/>
      <c r="J74" s="4"/>
      <c r="K74" s="4"/>
      <c r="L74" s="4"/>
      <c r="M74" s="4"/>
      <c r="N74" s="4"/>
      <c r="O74" s="4"/>
    </row>
    <row r="75" ht="15.75" customHeight="1">
      <c r="A75" s="42">
        <v>8.10567719E9</v>
      </c>
      <c r="B75" s="42" t="s">
        <v>824</v>
      </c>
      <c r="C75" s="42" t="s">
        <v>825</v>
      </c>
      <c r="D75" s="187">
        <v>550.0</v>
      </c>
      <c r="E75" s="212">
        <v>56.0</v>
      </c>
      <c r="F75" s="14"/>
      <c r="G75" s="38">
        <f t="shared" si="1"/>
        <v>0</v>
      </c>
      <c r="H75" s="71">
        <f t="shared" si="2"/>
        <v>6.428571429</v>
      </c>
      <c r="I75" s="71"/>
      <c r="J75" s="4"/>
      <c r="K75" s="4"/>
      <c r="L75" s="4"/>
      <c r="M75" s="4"/>
      <c r="N75" s="4"/>
      <c r="O75" s="4"/>
    </row>
    <row r="76" ht="15.75" customHeight="1">
      <c r="A76" s="42">
        <v>8.25262919E9</v>
      </c>
      <c r="B76" s="42" t="s">
        <v>826</v>
      </c>
      <c r="C76" s="42" t="s">
        <v>827</v>
      </c>
      <c r="D76" s="187">
        <v>200.0</v>
      </c>
      <c r="E76" s="212">
        <v>84.0</v>
      </c>
      <c r="F76" s="14"/>
      <c r="G76" s="38">
        <f t="shared" si="1"/>
        <v>0</v>
      </c>
      <c r="H76" s="71">
        <f t="shared" si="2"/>
        <v>4.285714286</v>
      </c>
      <c r="I76" s="71"/>
      <c r="J76" s="4"/>
      <c r="K76" s="4"/>
      <c r="L76" s="4"/>
      <c r="M76" s="4"/>
      <c r="N76" s="4"/>
      <c r="O76" s="4"/>
    </row>
    <row r="77" ht="15.75" customHeight="1">
      <c r="A77" s="42">
        <v>8.05862819E9</v>
      </c>
      <c r="B77" s="42" t="s">
        <v>828</v>
      </c>
      <c r="C77" s="42" t="s">
        <v>829</v>
      </c>
      <c r="D77" s="187">
        <v>400.0</v>
      </c>
      <c r="E77" s="212">
        <v>56.0</v>
      </c>
      <c r="F77" s="37"/>
      <c r="G77" s="38">
        <f t="shared" si="1"/>
        <v>0</v>
      </c>
      <c r="H77" s="71">
        <f t="shared" si="2"/>
        <v>6.428571429</v>
      </c>
      <c r="I77" s="71"/>
      <c r="J77" s="4"/>
      <c r="K77" s="4"/>
      <c r="L77" s="4"/>
      <c r="M77" s="4"/>
      <c r="N77" s="4"/>
      <c r="O77" s="4"/>
    </row>
    <row r="78" ht="15.75" customHeight="1">
      <c r="A78" s="42">
        <v>8.44556719E9</v>
      </c>
      <c r="B78" s="42" t="s">
        <v>830</v>
      </c>
      <c r="C78" s="42" t="s">
        <v>831</v>
      </c>
      <c r="D78" s="187">
        <v>100.0</v>
      </c>
      <c r="E78" s="212">
        <v>84.0</v>
      </c>
      <c r="F78" s="14"/>
      <c r="G78" s="38">
        <f t="shared" si="1"/>
        <v>0</v>
      </c>
      <c r="H78" s="71">
        <f t="shared" si="2"/>
        <v>4.285714286</v>
      </c>
      <c r="I78" s="71"/>
      <c r="J78" s="4"/>
      <c r="K78" s="4"/>
      <c r="L78" s="4"/>
      <c r="M78" s="4"/>
      <c r="N78" s="4"/>
      <c r="O78" s="4"/>
    </row>
    <row r="79" ht="15.75" customHeight="1">
      <c r="A79" s="42">
        <v>8.05858019E9</v>
      </c>
      <c r="B79" s="42" t="s">
        <v>832</v>
      </c>
      <c r="C79" s="42" t="s">
        <v>833</v>
      </c>
      <c r="D79" s="187">
        <v>200.0</v>
      </c>
      <c r="E79" s="212">
        <v>90.0</v>
      </c>
      <c r="F79" s="14"/>
      <c r="G79" s="38">
        <f t="shared" si="1"/>
        <v>0</v>
      </c>
      <c r="H79" s="71">
        <f t="shared" si="2"/>
        <v>4</v>
      </c>
      <c r="I79" s="71"/>
      <c r="J79" s="4"/>
      <c r="K79" s="4"/>
      <c r="L79" s="4"/>
      <c r="M79" s="4"/>
      <c r="N79" s="4"/>
      <c r="O79" s="4"/>
    </row>
    <row r="80" ht="15.75" customHeight="1">
      <c r="A80" s="42">
        <v>8.05743519E9</v>
      </c>
      <c r="B80" s="42" t="s">
        <v>834</v>
      </c>
      <c r="C80" s="42" t="s">
        <v>835</v>
      </c>
      <c r="D80" s="187">
        <v>500.0</v>
      </c>
      <c r="E80" s="212">
        <v>182.0</v>
      </c>
      <c r="F80" s="14"/>
      <c r="G80" s="38">
        <f t="shared" si="1"/>
        <v>0</v>
      </c>
      <c r="H80" s="71">
        <f t="shared" si="2"/>
        <v>1.978021978</v>
      </c>
      <c r="I80" s="71"/>
      <c r="J80" s="4"/>
      <c r="K80" s="4"/>
      <c r="L80" s="4"/>
      <c r="M80" s="4"/>
      <c r="N80" s="4"/>
      <c r="O80" s="4"/>
    </row>
    <row r="81" ht="15.75" customHeight="1">
      <c r="A81" s="42">
        <v>8.44557519E9</v>
      </c>
      <c r="B81" s="42" t="s">
        <v>836</v>
      </c>
      <c r="C81" s="42" t="s">
        <v>837</v>
      </c>
      <c r="D81" s="187">
        <v>200.0</v>
      </c>
      <c r="E81" s="212">
        <v>126.0</v>
      </c>
      <c r="F81" s="14"/>
      <c r="G81" s="38">
        <f t="shared" si="1"/>
        <v>0</v>
      </c>
      <c r="H81" s="71">
        <f t="shared" si="2"/>
        <v>2.857142857</v>
      </c>
      <c r="I81" s="71"/>
      <c r="J81" s="4"/>
      <c r="K81" s="4"/>
      <c r="L81" s="4"/>
      <c r="M81" s="4"/>
      <c r="N81" s="4"/>
      <c r="O81" s="4"/>
    </row>
    <row r="82" ht="15.75" customHeight="1">
      <c r="A82" s="216">
        <v>8.05884919E9</v>
      </c>
      <c r="B82" s="42" t="s">
        <v>838</v>
      </c>
      <c r="C82" s="42" t="s">
        <v>839</v>
      </c>
      <c r="D82" s="187">
        <v>200.0</v>
      </c>
      <c r="E82" s="212">
        <v>84.0</v>
      </c>
      <c r="F82" s="14"/>
      <c r="G82" s="38">
        <f t="shared" si="1"/>
        <v>0</v>
      </c>
      <c r="H82" s="71">
        <f t="shared" si="2"/>
        <v>4.285714286</v>
      </c>
      <c r="I82" s="71"/>
      <c r="J82" s="4"/>
      <c r="K82" s="4"/>
      <c r="L82" s="4"/>
      <c r="M82" s="4"/>
      <c r="N82" s="4"/>
      <c r="O82" s="4"/>
    </row>
    <row r="83" ht="15.75" customHeight="1">
      <c r="A83" s="174"/>
      <c r="B83" s="174"/>
      <c r="C83" s="175"/>
      <c r="D83" s="176"/>
      <c r="E83" s="217" t="s">
        <v>208</v>
      </c>
      <c r="F83" s="218">
        <f>SUM(F9:F82)</f>
        <v>0</v>
      </c>
      <c r="G83" s="141"/>
      <c r="H83" s="108"/>
      <c r="I83" s="108"/>
      <c r="J83" s="4"/>
      <c r="K83" s="4"/>
      <c r="L83" s="4"/>
      <c r="M83" s="4"/>
      <c r="N83" s="4"/>
      <c r="O83" s="4"/>
    </row>
    <row r="84" ht="15.75" customHeight="1">
      <c r="A84" s="219" t="s">
        <v>840</v>
      </c>
      <c r="B84" s="191"/>
      <c r="C84" s="179"/>
      <c r="D84" s="220" t="s">
        <v>324</v>
      </c>
      <c r="E84" s="220" t="s">
        <v>559</v>
      </c>
      <c r="F84" s="221"/>
      <c r="G84" s="221" t="s">
        <v>138</v>
      </c>
      <c r="H84" s="222" t="s">
        <v>139</v>
      </c>
      <c r="I84" s="222" t="s">
        <v>140</v>
      </c>
      <c r="J84" s="4"/>
      <c r="K84" s="4"/>
      <c r="L84" s="4"/>
      <c r="M84" s="4"/>
      <c r="N84" s="4"/>
      <c r="O84" s="4"/>
    </row>
    <row r="85" ht="15.75" customHeight="1">
      <c r="A85" s="42">
        <v>1.075935019E10</v>
      </c>
      <c r="B85" s="42" t="s">
        <v>307</v>
      </c>
      <c r="C85" s="42" t="s">
        <v>307</v>
      </c>
      <c r="D85" s="187">
        <v>12.0</v>
      </c>
      <c r="E85" s="187">
        <v>28.0</v>
      </c>
      <c r="F85" s="38"/>
      <c r="G85" s="223"/>
      <c r="H85" s="71">
        <f t="shared" ref="H85:H125" si="3">(360/E85)</f>
        <v>12.85714286</v>
      </c>
      <c r="I85" s="71"/>
      <c r="J85" s="4"/>
      <c r="K85" s="4"/>
      <c r="L85" s="4"/>
      <c r="M85" s="4"/>
      <c r="N85" s="4"/>
      <c r="O85" s="4"/>
    </row>
    <row r="86" ht="15.75" customHeight="1">
      <c r="A86" s="42">
        <v>3.121313122E9</v>
      </c>
      <c r="B86" s="42" t="s">
        <v>338</v>
      </c>
      <c r="C86" s="42" t="s">
        <v>338</v>
      </c>
      <c r="D86" s="187">
        <v>4.0</v>
      </c>
      <c r="E86" s="187">
        <v>28.0</v>
      </c>
      <c r="F86" s="38"/>
      <c r="G86" s="223"/>
      <c r="H86" s="71">
        <f t="shared" si="3"/>
        <v>12.85714286</v>
      </c>
      <c r="I86" s="71"/>
      <c r="J86" s="4"/>
      <c r="K86" s="4"/>
      <c r="L86" s="4"/>
      <c r="M86" s="4"/>
      <c r="N86" s="4"/>
      <c r="O86" s="4"/>
    </row>
    <row r="87" ht="15.75" customHeight="1">
      <c r="A87" s="42">
        <v>3.121291122E9</v>
      </c>
      <c r="B87" s="42" t="s">
        <v>340</v>
      </c>
      <c r="C87" s="42" t="s">
        <v>340</v>
      </c>
      <c r="D87" s="187">
        <v>4.0</v>
      </c>
      <c r="E87" s="187">
        <v>28.0</v>
      </c>
      <c r="F87" s="38"/>
      <c r="G87" s="223"/>
      <c r="H87" s="71">
        <f t="shared" si="3"/>
        <v>12.85714286</v>
      </c>
      <c r="I87" s="71"/>
      <c r="J87" s="4"/>
      <c r="K87" s="4"/>
      <c r="L87" s="4"/>
      <c r="M87" s="4"/>
      <c r="N87" s="4"/>
      <c r="O87" s="4"/>
    </row>
    <row r="88" ht="15.75" customHeight="1">
      <c r="A88" s="42">
        <v>1.2172623122E10</v>
      </c>
      <c r="B88" s="42" t="s">
        <v>310</v>
      </c>
      <c r="C88" s="42" t="s">
        <v>841</v>
      </c>
      <c r="D88" s="187">
        <v>3.0</v>
      </c>
      <c r="E88" s="187">
        <v>28.0</v>
      </c>
      <c r="F88" s="38"/>
      <c r="G88" s="223"/>
      <c r="H88" s="71">
        <f t="shared" si="3"/>
        <v>12.85714286</v>
      </c>
      <c r="I88" s="71"/>
      <c r="J88" s="4"/>
      <c r="K88" s="4"/>
      <c r="L88" s="4"/>
      <c r="M88" s="4"/>
      <c r="N88" s="4"/>
      <c r="O88" s="4"/>
    </row>
    <row r="89" ht="15.75" customHeight="1">
      <c r="A89" s="42">
        <v>1.1447394216E10</v>
      </c>
      <c r="B89" s="42" t="s">
        <v>308</v>
      </c>
      <c r="C89" s="42" t="s">
        <v>842</v>
      </c>
      <c r="D89" s="187">
        <v>3.0</v>
      </c>
      <c r="E89" s="187">
        <v>28.0</v>
      </c>
      <c r="F89" s="38"/>
      <c r="G89" s="223"/>
      <c r="H89" s="71">
        <f t="shared" si="3"/>
        <v>12.85714286</v>
      </c>
      <c r="I89" s="71"/>
      <c r="J89" s="4"/>
      <c r="K89" s="4"/>
      <c r="L89" s="4"/>
      <c r="M89" s="4"/>
      <c r="N89" s="4"/>
      <c r="O89" s="4"/>
    </row>
    <row r="90" ht="15.75" customHeight="1">
      <c r="A90" s="42">
        <v>3.121305122E9</v>
      </c>
      <c r="B90" s="42" t="s">
        <v>315</v>
      </c>
      <c r="C90" s="42" t="s">
        <v>843</v>
      </c>
      <c r="D90" s="187">
        <v>5.0</v>
      </c>
      <c r="E90" s="187">
        <v>28.0</v>
      </c>
      <c r="F90" s="38"/>
      <c r="G90" s="223"/>
      <c r="H90" s="71">
        <f t="shared" si="3"/>
        <v>12.85714286</v>
      </c>
      <c r="I90" s="71"/>
      <c r="J90" s="4"/>
      <c r="K90" s="4"/>
      <c r="L90" s="4"/>
      <c r="M90" s="4"/>
      <c r="N90" s="4"/>
      <c r="O90" s="4"/>
    </row>
    <row r="91" ht="15.75" customHeight="1">
      <c r="A91" s="187">
        <v>3.55594119E9</v>
      </c>
      <c r="B91" s="42" t="s">
        <v>306</v>
      </c>
      <c r="C91" s="42" t="s">
        <v>306</v>
      </c>
      <c r="D91" s="187">
        <v>3.0</v>
      </c>
      <c r="E91" s="187">
        <v>14.0</v>
      </c>
      <c r="F91" s="38"/>
      <c r="G91" s="223"/>
      <c r="H91" s="71">
        <f t="shared" si="3"/>
        <v>25.71428571</v>
      </c>
      <c r="I91" s="71"/>
      <c r="J91" s="4"/>
      <c r="K91" s="4"/>
      <c r="L91" s="4"/>
      <c r="M91" s="4"/>
      <c r="N91" s="4"/>
      <c r="O91" s="4"/>
    </row>
    <row r="92" ht="15.75" customHeight="1">
      <c r="A92" s="187">
        <v>6.53385019E9</v>
      </c>
      <c r="B92" s="42" t="s">
        <v>309</v>
      </c>
      <c r="C92" s="42" t="s">
        <v>309</v>
      </c>
      <c r="D92" s="187">
        <v>3.0</v>
      </c>
      <c r="E92" s="187">
        <v>14.0</v>
      </c>
      <c r="F92" s="38"/>
      <c r="G92" s="223"/>
      <c r="H92" s="71">
        <f t="shared" si="3"/>
        <v>25.71428571</v>
      </c>
      <c r="I92" s="71"/>
      <c r="J92" s="4"/>
      <c r="K92" s="4"/>
      <c r="L92" s="4"/>
      <c r="M92" s="4"/>
      <c r="N92" s="4"/>
      <c r="O92" s="4"/>
    </row>
    <row r="93" ht="15.75" customHeight="1">
      <c r="A93" s="187">
        <v>1.2146401216E10</v>
      </c>
      <c r="B93" s="42" t="s">
        <v>317</v>
      </c>
      <c r="C93" s="42" t="s">
        <v>317</v>
      </c>
      <c r="D93" s="187">
        <v>1.0</v>
      </c>
      <c r="E93" s="187">
        <v>183.0</v>
      </c>
      <c r="F93" s="38"/>
      <c r="G93" s="223"/>
      <c r="H93" s="71">
        <f t="shared" si="3"/>
        <v>1.967213115</v>
      </c>
      <c r="I93" s="71"/>
      <c r="J93" s="4"/>
      <c r="K93" s="4"/>
      <c r="L93" s="4"/>
      <c r="M93" s="4"/>
      <c r="N93" s="4"/>
      <c r="O93" s="4"/>
    </row>
    <row r="94" ht="15.75" customHeight="1">
      <c r="A94" s="187">
        <v>1.1355279216E10</v>
      </c>
      <c r="B94" s="42" t="s">
        <v>311</v>
      </c>
      <c r="C94" s="42" t="s">
        <v>311</v>
      </c>
      <c r="D94" s="187">
        <v>5.0</v>
      </c>
      <c r="E94" s="187">
        <v>28.0</v>
      </c>
      <c r="F94" s="38"/>
      <c r="G94" s="223"/>
      <c r="H94" s="71">
        <f t="shared" si="3"/>
        <v>12.85714286</v>
      </c>
      <c r="I94" s="71"/>
      <c r="J94" s="4"/>
      <c r="K94" s="4"/>
      <c r="L94" s="4"/>
      <c r="M94" s="4"/>
      <c r="N94" s="4"/>
      <c r="O94" s="4"/>
    </row>
    <row r="95" ht="15.75" customHeight="1">
      <c r="A95" s="187">
        <v>5.11700319E9</v>
      </c>
      <c r="B95" s="42" t="s">
        <v>844</v>
      </c>
      <c r="C95" s="42" t="s">
        <v>844</v>
      </c>
      <c r="D95" s="187">
        <v>20.0</v>
      </c>
      <c r="E95" s="187">
        <v>28.0</v>
      </c>
      <c r="F95" s="38"/>
      <c r="G95" s="223"/>
      <c r="H95" s="71">
        <f t="shared" si="3"/>
        <v>12.85714286</v>
      </c>
      <c r="I95" s="71"/>
      <c r="J95" s="4"/>
      <c r="K95" s="4"/>
      <c r="L95" s="4"/>
      <c r="M95" s="4"/>
      <c r="N95" s="4"/>
      <c r="O95" s="4"/>
    </row>
    <row r="96" ht="15.75" customHeight="1">
      <c r="A96" s="187">
        <v>5.11721619E9</v>
      </c>
      <c r="B96" s="42" t="s">
        <v>845</v>
      </c>
      <c r="C96" s="42" t="s">
        <v>845</v>
      </c>
      <c r="D96" s="187">
        <v>20.0</v>
      </c>
      <c r="E96" s="187">
        <v>14.0</v>
      </c>
      <c r="F96" s="38"/>
      <c r="G96" s="223"/>
      <c r="H96" s="71">
        <f t="shared" si="3"/>
        <v>25.71428571</v>
      </c>
      <c r="I96" s="71"/>
      <c r="J96" s="4"/>
      <c r="K96" s="4"/>
      <c r="L96" s="4"/>
      <c r="M96" s="4"/>
      <c r="N96" s="4"/>
      <c r="O96" s="4"/>
    </row>
    <row r="97" ht="15.75" customHeight="1">
      <c r="A97" s="187">
        <v>5.117208922E9</v>
      </c>
      <c r="B97" s="42" t="s">
        <v>846</v>
      </c>
      <c r="C97" s="42" t="s">
        <v>846</v>
      </c>
      <c r="D97" s="187">
        <v>20.0</v>
      </c>
      <c r="E97" s="187"/>
      <c r="F97" s="38"/>
      <c r="G97" s="223"/>
      <c r="H97" s="71" t="str">
        <f t="shared" si="3"/>
        <v>#DIV/0!</v>
      </c>
      <c r="I97" s="71"/>
      <c r="J97" s="4"/>
      <c r="K97" s="4"/>
      <c r="L97" s="4"/>
      <c r="M97" s="4"/>
      <c r="N97" s="4"/>
      <c r="O97" s="4"/>
    </row>
    <row r="98" ht="15.75" customHeight="1">
      <c r="A98" s="187">
        <v>5.117291922E9</v>
      </c>
      <c r="B98" s="42" t="s">
        <v>847</v>
      </c>
      <c r="C98" s="42" t="s">
        <v>847</v>
      </c>
      <c r="D98" s="187">
        <v>20.0</v>
      </c>
      <c r="E98" s="187"/>
      <c r="F98" s="38"/>
      <c r="G98" s="223"/>
      <c r="H98" s="71" t="str">
        <f t="shared" si="3"/>
        <v>#DIV/0!</v>
      </c>
      <c r="I98" s="71"/>
      <c r="J98" s="4"/>
      <c r="K98" s="4"/>
      <c r="L98" s="4"/>
      <c r="M98" s="4"/>
      <c r="N98" s="4"/>
      <c r="O98" s="4"/>
    </row>
    <row r="99" ht="15.75" customHeight="1">
      <c r="A99" s="187">
        <v>5.94762619E9</v>
      </c>
      <c r="B99" s="42" t="s">
        <v>332</v>
      </c>
      <c r="C99" s="42" t="s">
        <v>332</v>
      </c>
      <c r="D99" s="187">
        <v>4.0</v>
      </c>
      <c r="E99" s="187">
        <v>14.0</v>
      </c>
      <c r="F99" s="38"/>
      <c r="G99" s="223"/>
      <c r="H99" s="71">
        <f t="shared" si="3"/>
        <v>25.71428571</v>
      </c>
      <c r="I99" s="71"/>
      <c r="J99" s="4"/>
      <c r="K99" s="4"/>
      <c r="L99" s="4"/>
      <c r="M99" s="4"/>
      <c r="N99" s="4"/>
      <c r="O99" s="4"/>
    </row>
    <row r="100" ht="15.75" customHeight="1">
      <c r="A100" s="187">
        <v>5.94777419E9</v>
      </c>
      <c r="B100" s="42" t="s">
        <v>333</v>
      </c>
      <c r="C100" s="42" t="s">
        <v>333</v>
      </c>
      <c r="D100" s="187">
        <v>4.0</v>
      </c>
      <c r="E100" s="187">
        <v>14.0</v>
      </c>
      <c r="F100" s="38"/>
      <c r="G100" s="223"/>
      <c r="H100" s="71">
        <f t="shared" si="3"/>
        <v>25.71428571</v>
      </c>
      <c r="I100" s="71"/>
      <c r="J100" s="4"/>
      <c r="K100" s="4"/>
      <c r="L100" s="4"/>
      <c r="M100" s="4"/>
      <c r="N100" s="4"/>
      <c r="O100" s="4"/>
    </row>
    <row r="101" ht="15.75" customHeight="1">
      <c r="A101" s="42">
        <v>4.52841719E9</v>
      </c>
      <c r="B101" s="42" t="s">
        <v>314</v>
      </c>
      <c r="C101" s="42" t="s">
        <v>314</v>
      </c>
      <c r="D101" s="187">
        <v>3.0</v>
      </c>
      <c r="E101" s="187">
        <v>84.0</v>
      </c>
      <c r="F101" s="42"/>
      <c r="G101" s="223"/>
      <c r="H101" s="71">
        <f t="shared" si="3"/>
        <v>4.285714286</v>
      </c>
      <c r="I101" s="71"/>
      <c r="J101" s="4"/>
      <c r="K101" s="4"/>
      <c r="L101" s="4"/>
      <c r="M101" s="4"/>
      <c r="N101" s="4"/>
      <c r="O101" s="4"/>
    </row>
    <row r="102" ht="15.75" customHeight="1">
      <c r="A102" s="42">
        <v>5.47920719E9</v>
      </c>
      <c r="B102" s="42" t="s">
        <v>334</v>
      </c>
      <c r="C102" s="42" t="s">
        <v>334</v>
      </c>
      <c r="D102" s="187">
        <v>4.0</v>
      </c>
      <c r="E102" s="187">
        <v>28.0</v>
      </c>
      <c r="F102" s="38"/>
      <c r="G102" s="223"/>
      <c r="H102" s="71">
        <f t="shared" si="3"/>
        <v>12.85714286</v>
      </c>
      <c r="I102" s="71"/>
      <c r="J102" s="4"/>
      <c r="K102" s="4"/>
      <c r="L102" s="4"/>
      <c r="M102" s="4"/>
      <c r="N102" s="4"/>
      <c r="O102" s="4"/>
    </row>
    <row r="103" ht="15.75" customHeight="1">
      <c r="A103" s="42">
        <v>5.91250419E9</v>
      </c>
      <c r="B103" s="42" t="s">
        <v>335</v>
      </c>
      <c r="C103" s="42" t="s">
        <v>335</v>
      </c>
      <c r="D103" s="187">
        <v>4.0</v>
      </c>
      <c r="E103" s="187">
        <v>28.0</v>
      </c>
      <c r="F103" s="38"/>
      <c r="G103" s="223"/>
      <c r="H103" s="71">
        <f t="shared" si="3"/>
        <v>12.85714286</v>
      </c>
      <c r="I103" s="71"/>
      <c r="J103" s="4"/>
      <c r="K103" s="4"/>
      <c r="L103" s="4"/>
      <c r="M103" s="4"/>
      <c r="N103" s="4"/>
      <c r="O103" s="4"/>
    </row>
    <row r="104" ht="15.75" customHeight="1">
      <c r="A104" s="42">
        <v>5.05090119E9</v>
      </c>
      <c r="B104" s="42" t="s">
        <v>316</v>
      </c>
      <c r="C104" s="42"/>
      <c r="D104" s="187">
        <v>1.0</v>
      </c>
      <c r="E104" s="187">
        <v>84.0</v>
      </c>
      <c r="F104" s="38"/>
      <c r="G104" s="223"/>
      <c r="H104" s="71">
        <f t="shared" si="3"/>
        <v>4.285714286</v>
      </c>
      <c r="I104" s="71"/>
      <c r="J104" s="4"/>
      <c r="K104" s="4"/>
      <c r="L104" s="4"/>
      <c r="M104" s="4"/>
      <c r="N104" s="4"/>
      <c r="O104" s="4"/>
    </row>
    <row r="105" ht="15.75" customHeight="1">
      <c r="A105" s="42">
        <v>5.05093619E9</v>
      </c>
      <c r="B105" s="42" t="s">
        <v>330</v>
      </c>
      <c r="C105" s="42"/>
      <c r="D105" s="187">
        <v>2.0</v>
      </c>
      <c r="E105" s="187">
        <v>84.0</v>
      </c>
      <c r="F105" s="38"/>
      <c r="G105" s="223"/>
      <c r="H105" s="71">
        <f t="shared" si="3"/>
        <v>4.285714286</v>
      </c>
      <c r="I105" s="71"/>
      <c r="J105" s="4"/>
      <c r="K105" s="4"/>
      <c r="L105" s="4"/>
      <c r="M105" s="4"/>
      <c r="N105" s="4"/>
      <c r="O105" s="4"/>
    </row>
    <row r="106" ht="15.75" customHeight="1">
      <c r="A106" s="42">
        <v>8.04754519E9</v>
      </c>
      <c r="B106" s="42" t="s">
        <v>313</v>
      </c>
      <c r="C106" s="42"/>
      <c r="D106" s="187">
        <v>2.0</v>
      </c>
      <c r="E106" s="187">
        <v>84.0</v>
      </c>
      <c r="F106" s="38"/>
      <c r="G106" s="223"/>
      <c r="H106" s="71">
        <f t="shared" si="3"/>
        <v>4.285714286</v>
      </c>
      <c r="I106" s="71"/>
      <c r="J106" s="4"/>
      <c r="K106" s="4"/>
      <c r="L106" s="4"/>
      <c r="M106" s="4"/>
      <c r="N106" s="4"/>
      <c r="O106" s="4"/>
    </row>
    <row r="107" ht="15.75" customHeight="1">
      <c r="A107" s="42">
        <v>8.36278519E9</v>
      </c>
      <c r="B107" s="42" t="s">
        <v>327</v>
      </c>
      <c r="C107" s="42"/>
      <c r="D107" s="187">
        <v>2.0</v>
      </c>
      <c r="E107" s="187">
        <v>84.0</v>
      </c>
      <c r="F107" s="38"/>
      <c r="G107" s="223"/>
      <c r="H107" s="71">
        <f t="shared" si="3"/>
        <v>4.285714286</v>
      </c>
      <c r="I107" s="71"/>
      <c r="J107" s="4"/>
      <c r="K107" s="4"/>
      <c r="L107" s="4"/>
      <c r="M107" s="4"/>
      <c r="N107" s="4"/>
      <c r="O107" s="4"/>
    </row>
    <row r="108" ht="15.75" customHeight="1">
      <c r="A108" s="42">
        <v>5.85264119E9</v>
      </c>
      <c r="B108" s="42" t="s">
        <v>321</v>
      </c>
      <c r="C108" s="42"/>
      <c r="D108" s="187">
        <v>1.0</v>
      </c>
      <c r="E108" s="187">
        <v>14.0</v>
      </c>
      <c r="F108" s="38"/>
      <c r="G108" s="223"/>
      <c r="H108" s="71">
        <f t="shared" si="3"/>
        <v>25.71428571</v>
      </c>
      <c r="I108" s="71"/>
      <c r="J108" s="4"/>
      <c r="K108" s="4"/>
      <c r="L108" s="4"/>
      <c r="M108" s="4"/>
      <c r="N108" s="4"/>
      <c r="O108" s="4"/>
    </row>
    <row r="109" ht="15.75" customHeight="1">
      <c r="A109" s="42">
        <v>5.85265019E9</v>
      </c>
      <c r="B109" s="42" t="s">
        <v>336</v>
      </c>
      <c r="C109" s="42"/>
      <c r="D109" s="187">
        <v>2.0</v>
      </c>
      <c r="E109" s="187">
        <v>14.0</v>
      </c>
      <c r="F109" s="38"/>
      <c r="G109" s="223"/>
      <c r="H109" s="71">
        <f t="shared" si="3"/>
        <v>25.71428571</v>
      </c>
      <c r="I109" s="71"/>
      <c r="J109" s="4"/>
      <c r="K109" s="4"/>
      <c r="L109" s="4"/>
      <c r="M109" s="4"/>
      <c r="N109" s="4"/>
      <c r="O109" s="4"/>
    </row>
    <row r="110" ht="15.75" customHeight="1">
      <c r="A110" s="42">
        <v>4.975901191E9</v>
      </c>
      <c r="B110" s="42" t="s">
        <v>305</v>
      </c>
      <c r="C110" s="42"/>
      <c r="D110" s="187">
        <v>1.0</v>
      </c>
      <c r="E110" s="187">
        <v>30.0</v>
      </c>
      <c r="F110" s="38"/>
      <c r="G110" s="223"/>
      <c r="H110" s="71">
        <f t="shared" si="3"/>
        <v>12</v>
      </c>
      <c r="I110" s="71"/>
      <c r="J110" s="4"/>
      <c r="K110" s="4"/>
      <c r="L110" s="4"/>
      <c r="M110" s="4"/>
      <c r="N110" s="4"/>
      <c r="O110" s="4"/>
    </row>
    <row r="111" ht="15.75" customHeight="1">
      <c r="A111" s="42">
        <v>6.72937119E9</v>
      </c>
      <c r="B111" s="42" t="s">
        <v>329</v>
      </c>
      <c r="C111" s="42"/>
      <c r="D111" s="187">
        <v>3.0</v>
      </c>
      <c r="E111" s="187">
        <v>30.0</v>
      </c>
      <c r="F111" s="38"/>
      <c r="G111" s="223"/>
      <c r="H111" s="71">
        <f t="shared" si="3"/>
        <v>12</v>
      </c>
      <c r="I111" s="71"/>
      <c r="J111" s="4"/>
      <c r="K111" s="4"/>
      <c r="L111" s="4"/>
      <c r="M111" s="4"/>
      <c r="N111" s="4"/>
      <c r="O111" s="4"/>
    </row>
    <row r="112" ht="15.75" customHeight="1">
      <c r="A112" s="42">
        <v>5.38550419E9</v>
      </c>
      <c r="B112" s="42" t="s">
        <v>318</v>
      </c>
      <c r="C112" s="42"/>
      <c r="D112" s="187">
        <v>2.0</v>
      </c>
      <c r="E112" s="187">
        <v>28.0</v>
      </c>
      <c r="F112" s="38"/>
      <c r="G112" s="223"/>
      <c r="H112" s="71">
        <f t="shared" si="3"/>
        <v>12.85714286</v>
      </c>
      <c r="I112" s="71"/>
      <c r="J112" s="4"/>
      <c r="K112" s="4"/>
      <c r="L112" s="4"/>
      <c r="M112" s="4"/>
      <c r="N112" s="4"/>
      <c r="O112" s="4"/>
    </row>
    <row r="113" ht="15.75" customHeight="1">
      <c r="A113" s="42">
        <v>5.14242319E9</v>
      </c>
      <c r="B113" s="42" t="s">
        <v>331</v>
      </c>
      <c r="C113" s="42"/>
      <c r="D113" s="187">
        <v>2.0</v>
      </c>
      <c r="E113" s="187">
        <v>28.0</v>
      </c>
      <c r="F113" s="38"/>
      <c r="G113" s="223"/>
      <c r="H113" s="71">
        <f t="shared" si="3"/>
        <v>12.85714286</v>
      </c>
      <c r="I113" s="71"/>
      <c r="J113" s="4"/>
      <c r="K113" s="4"/>
      <c r="L113" s="4"/>
      <c r="M113" s="4"/>
      <c r="N113" s="4"/>
      <c r="O113" s="4"/>
    </row>
    <row r="114" ht="15.75" customHeight="1">
      <c r="A114" s="42">
        <v>2.075199519E10</v>
      </c>
      <c r="B114" s="42" t="s">
        <v>214</v>
      </c>
      <c r="C114" s="42" t="s">
        <v>848</v>
      </c>
      <c r="D114" s="187">
        <v>2.0</v>
      </c>
      <c r="E114" s="187">
        <v>56.0</v>
      </c>
      <c r="F114" s="38"/>
      <c r="G114" s="223"/>
      <c r="H114" s="71">
        <f t="shared" si="3"/>
        <v>6.428571429</v>
      </c>
      <c r="I114" s="71"/>
      <c r="J114" s="4"/>
      <c r="K114" s="4"/>
      <c r="L114" s="4"/>
      <c r="M114" s="4"/>
      <c r="N114" s="4"/>
      <c r="O114" s="4"/>
    </row>
    <row r="115" ht="15.75" customHeight="1">
      <c r="A115" s="42">
        <v>2.075240119E10</v>
      </c>
      <c r="B115" s="42" t="s">
        <v>325</v>
      </c>
      <c r="C115" s="42" t="s">
        <v>849</v>
      </c>
      <c r="D115" s="187">
        <v>5.0</v>
      </c>
      <c r="E115" s="187">
        <v>56.0</v>
      </c>
      <c r="F115" s="38"/>
      <c r="G115" s="223"/>
      <c r="H115" s="71">
        <f t="shared" si="3"/>
        <v>6.428571429</v>
      </c>
      <c r="I115" s="71"/>
      <c r="J115" s="4"/>
      <c r="K115" s="4"/>
      <c r="L115" s="4"/>
      <c r="M115" s="4"/>
      <c r="N115" s="4"/>
      <c r="O115" s="4"/>
    </row>
    <row r="116" ht="15.75" customHeight="1">
      <c r="A116" s="42">
        <v>2.075300919E10</v>
      </c>
      <c r="B116" s="42" t="s">
        <v>326</v>
      </c>
      <c r="C116" s="42" t="s">
        <v>850</v>
      </c>
      <c r="D116" s="187">
        <v>5.0</v>
      </c>
      <c r="E116" s="187">
        <v>56.0</v>
      </c>
      <c r="F116" s="38"/>
      <c r="G116" s="223"/>
      <c r="H116" s="71">
        <f t="shared" si="3"/>
        <v>6.428571429</v>
      </c>
      <c r="I116" s="71"/>
      <c r="J116" s="4"/>
      <c r="K116" s="4"/>
      <c r="L116" s="4"/>
      <c r="M116" s="4"/>
      <c r="N116" s="4"/>
      <c r="O116" s="4"/>
    </row>
    <row r="117" ht="15.75" customHeight="1">
      <c r="A117" s="42">
        <v>1.1098993122E10</v>
      </c>
      <c r="B117" s="42" t="s">
        <v>319</v>
      </c>
      <c r="C117" s="42" t="s">
        <v>851</v>
      </c>
      <c r="D117" s="187">
        <v>3.0</v>
      </c>
      <c r="E117" s="187">
        <v>28.0</v>
      </c>
      <c r="F117" s="38"/>
      <c r="G117" s="223"/>
      <c r="H117" s="71">
        <f t="shared" si="3"/>
        <v>12.85714286</v>
      </c>
      <c r="I117" s="71"/>
      <c r="J117" s="4"/>
      <c r="K117" s="4"/>
      <c r="L117" s="4"/>
      <c r="M117" s="4"/>
      <c r="N117" s="4"/>
      <c r="O117" s="4"/>
    </row>
    <row r="118" ht="15.75" customHeight="1">
      <c r="A118" s="42">
        <v>1.1098985122E10</v>
      </c>
      <c r="B118" s="42" t="s">
        <v>337</v>
      </c>
      <c r="C118" s="42"/>
      <c r="D118" s="187">
        <v>3.0</v>
      </c>
      <c r="E118" s="187">
        <v>28.0</v>
      </c>
      <c r="F118" s="38"/>
      <c r="G118" s="223"/>
      <c r="H118" s="71">
        <f t="shared" si="3"/>
        <v>12.85714286</v>
      </c>
      <c r="I118" s="71"/>
      <c r="J118" s="4"/>
      <c r="K118" s="4"/>
      <c r="L118" s="4"/>
      <c r="M118" s="4"/>
      <c r="N118" s="4"/>
      <c r="O118" s="4"/>
    </row>
    <row r="119" ht="15.75" customHeight="1">
      <c r="A119" s="42">
        <v>1.1174118122E10</v>
      </c>
      <c r="B119" s="42" t="s">
        <v>339</v>
      </c>
      <c r="C119" s="42"/>
      <c r="D119" s="187">
        <v>3.0</v>
      </c>
      <c r="E119" s="187">
        <v>28.0</v>
      </c>
      <c r="F119" s="38"/>
      <c r="G119" s="223"/>
      <c r="H119" s="71">
        <f t="shared" si="3"/>
        <v>12.85714286</v>
      </c>
      <c r="I119" s="71"/>
      <c r="J119" s="4"/>
      <c r="K119" s="4"/>
      <c r="L119" s="4"/>
      <c r="M119" s="4"/>
      <c r="N119" s="4"/>
      <c r="O119" s="4"/>
    </row>
    <row r="120" ht="15.75" customHeight="1">
      <c r="A120" s="42">
        <v>4.58004419E9</v>
      </c>
      <c r="B120" s="42" t="s">
        <v>852</v>
      </c>
      <c r="C120" s="42"/>
      <c r="D120" s="187">
        <v>3.0</v>
      </c>
      <c r="E120" s="187">
        <v>28.0</v>
      </c>
      <c r="F120" s="38"/>
      <c r="G120" s="223"/>
      <c r="H120" s="71">
        <f t="shared" si="3"/>
        <v>12.85714286</v>
      </c>
      <c r="I120" s="71"/>
      <c r="J120" s="4"/>
      <c r="K120" s="4"/>
      <c r="L120" s="4"/>
      <c r="M120" s="4"/>
      <c r="N120" s="4"/>
      <c r="O120" s="4"/>
    </row>
    <row r="121" ht="15.75" customHeight="1">
      <c r="A121" s="42">
        <v>1.1730835216E10</v>
      </c>
      <c r="B121" s="42" t="s">
        <v>853</v>
      </c>
      <c r="C121" s="42"/>
      <c r="D121" s="187">
        <v>2.0</v>
      </c>
      <c r="E121" s="187">
        <v>56.0</v>
      </c>
      <c r="F121" s="38"/>
      <c r="G121" s="223"/>
      <c r="H121" s="71">
        <f t="shared" si="3"/>
        <v>6.428571429</v>
      </c>
      <c r="I121" s="71"/>
      <c r="J121" s="4"/>
      <c r="K121" s="4"/>
      <c r="L121" s="4"/>
      <c r="M121" s="4"/>
      <c r="N121" s="4"/>
      <c r="O121" s="4"/>
    </row>
    <row r="122" ht="15.75" customHeight="1">
      <c r="A122" s="42">
        <v>1.2172828322E10</v>
      </c>
      <c r="B122" s="42" t="s">
        <v>322</v>
      </c>
      <c r="C122" s="42"/>
      <c r="D122" s="187">
        <v>1.0</v>
      </c>
      <c r="E122" s="187">
        <v>30.0</v>
      </c>
      <c r="F122" s="38"/>
      <c r="G122" s="223"/>
      <c r="H122" s="71">
        <f t="shared" si="3"/>
        <v>12</v>
      </c>
      <c r="I122" s="71"/>
      <c r="J122" s="4"/>
      <c r="K122" s="4"/>
      <c r="L122" s="4"/>
      <c r="M122" s="4"/>
      <c r="N122" s="4"/>
      <c r="O122" s="4"/>
    </row>
    <row r="123" ht="15.75" customHeight="1">
      <c r="A123" s="42">
        <v>3.005496122E9</v>
      </c>
      <c r="B123" s="42" t="s">
        <v>341</v>
      </c>
      <c r="C123" s="42"/>
      <c r="D123" s="187">
        <v>4.0</v>
      </c>
      <c r="E123" s="187">
        <v>30.0</v>
      </c>
      <c r="F123" s="38"/>
      <c r="G123" s="223"/>
      <c r="H123" s="71">
        <f t="shared" si="3"/>
        <v>12</v>
      </c>
      <c r="I123" s="71"/>
      <c r="J123" s="4"/>
      <c r="K123" s="4"/>
      <c r="L123" s="4"/>
      <c r="M123" s="4"/>
      <c r="N123" s="4"/>
      <c r="O123" s="4"/>
    </row>
    <row r="124" ht="15.75" customHeight="1">
      <c r="A124" s="42">
        <v>3.37579019E9</v>
      </c>
      <c r="B124" s="42" t="s">
        <v>854</v>
      </c>
      <c r="C124" s="42"/>
      <c r="D124" s="187">
        <v>6.0</v>
      </c>
      <c r="E124" s="187">
        <v>280.0</v>
      </c>
      <c r="F124" s="38"/>
      <c r="G124" s="223"/>
      <c r="H124" s="71">
        <f t="shared" si="3"/>
        <v>1.285714286</v>
      </c>
      <c r="I124" s="71"/>
      <c r="J124" s="4"/>
      <c r="K124" s="4"/>
      <c r="L124" s="4"/>
      <c r="M124" s="4"/>
      <c r="N124" s="4"/>
      <c r="O124" s="4"/>
    </row>
    <row r="125" ht="15.75" customHeight="1">
      <c r="A125" s="42">
        <v>4.52153619E9</v>
      </c>
      <c r="B125" s="42" t="s">
        <v>855</v>
      </c>
      <c r="C125" s="42"/>
      <c r="D125" s="187">
        <v>6.0</v>
      </c>
      <c r="E125" s="187">
        <v>336.0</v>
      </c>
      <c r="F125" s="38"/>
      <c r="G125" s="223"/>
      <c r="H125" s="71">
        <f t="shared" si="3"/>
        <v>1.071428571</v>
      </c>
      <c r="I125" s="71"/>
      <c r="J125" s="4"/>
      <c r="K125" s="4"/>
      <c r="L125" s="4"/>
      <c r="M125" s="4"/>
      <c r="N125" s="4"/>
      <c r="O125" s="4"/>
    </row>
    <row r="126" ht="15.75" customHeight="1">
      <c r="A126" s="219" t="s">
        <v>224</v>
      </c>
      <c r="B126" s="191"/>
      <c r="C126" s="179"/>
      <c r="D126" s="220" t="s">
        <v>324</v>
      </c>
      <c r="E126" s="220" t="s">
        <v>559</v>
      </c>
      <c r="F126" s="221"/>
      <c r="G126" s="221" t="s">
        <v>138</v>
      </c>
      <c r="H126" s="222" t="s">
        <v>139</v>
      </c>
      <c r="I126" s="222" t="s">
        <v>140</v>
      </c>
      <c r="J126" s="4"/>
      <c r="K126" s="4"/>
      <c r="L126" s="4"/>
      <c r="M126" s="4"/>
      <c r="N126" s="4"/>
      <c r="O126" s="4"/>
    </row>
    <row r="127" ht="15.75" customHeight="1">
      <c r="A127" s="42">
        <v>7.700814001E9</v>
      </c>
      <c r="B127" s="42" t="s">
        <v>856</v>
      </c>
      <c r="C127" s="42" t="s">
        <v>857</v>
      </c>
      <c r="D127" s="187">
        <v>1.0</v>
      </c>
      <c r="E127" s="187">
        <v>60.0</v>
      </c>
      <c r="F127" s="38"/>
      <c r="G127" s="223"/>
      <c r="H127" s="71">
        <f t="shared" ref="H127:H146" si="4">(360/E127)</f>
        <v>6</v>
      </c>
      <c r="I127" s="71"/>
      <c r="J127" s="4"/>
      <c r="K127" s="4"/>
      <c r="L127" s="4"/>
      <c r="M127" s="4"/>
      <c r="N127" s="4"/>
      <c r="O127" s="4"/>
    </row>
    <row r="128" ht="15.75" customHeight="1">
      <c r="A128" s="187">
        <v>9.033408001E9</v>
      </c>
      <c r="B128" s="42" t="s">
        <v>858</v>
      </c>
      <c r="C128" s="42" t="s">
        <v>857</v>
      </c>
      <c r="D128" s="224">
        <v>1.0</v>
      </c>
      <c r="E128" s="224">
        <v>60.0</v>
      </c>
      <c r="F128" s="225"/>
      <c r="G128" s="223"/>
      <c r="H128" s="71">
        <f t="shared" si="4"/>
        <v>6</v>
      </c>
      <c r="I128" s="71"/>
      <c r="J128" s="4"/>
      <c r="K128" s="4"/>
      <c r="L128" s="4"/>
      <c r="M128" s="4"/>
      <c r="N128" s="4"/>
      <c r="O128" s="4"/>
    </row>
    <row r="129" ht="15.75" customHeight="1">
      <c r="A129" s="42">
        <v>8.06335419E9</v>
      </c>
      <c r="B129" s="42" t="s">
        <v>859</v>
      </c>
      <c r="C129" s="42" t="s">
        <v>860</v>
      </c>
      <c r="D129" s="187">
        <v>1.0</v>
      </c>
      <c r="E129" s="187">
        <v>28.0</v>
      </c>
      <c r="F129" s="38"/>
      <c r="G129" s="223"/>
      <c r="H129" s="71">
        <f t="shared" si="4"/>
        <v>12.85714286</v>
      </c>
      <c r="I129" s="71"/>
      <c r="J129" s="4"/>
      <c r="K129" s="4"/>
      <c r="L129" s="4"/>
      <c r="M129" s="4"/>
      <c r="N129" s="4"/>
      <c r="O129" s="4"/>
    </row>
    <row r="130" ht="15.75" customHeight="1">
      <c r="A130" s="42">
        <v>8.06335419E9</v>
      </c>
      <c r="B130" s="42" t="s">
        <v>861</v>
      </c>
      <c r="C130" s="42" t="s">
        <v>860</v>
      </c>
      <c r="D130" s="187">
        <v>1.0</v>
      </c>
      <c r="E130" s="187">
        <v>28.0</v>
      </c>
      <c r="F130" s="38"/>
      <c r="G130" s="223"/>
      <c r="H130" s="71">
        <f t="shared" si="4"/>
        <v>12.85714286</v>
      </c>
      <c r="I130" s="71"/>
      <c r="J130" s="4"/>
      <c r="K130" s="4"/>
      <c r="L130" s="4"/>
      <c r="M130" s="4"/>
      <c r="N130" s="4"/>
      <c r="O130" s="4"/>
    </row>
    <row r="131" ht="15.75" customHeight="1">
      <c r="A131" s="42">
        <v>8.06345119E9</v>
      </c>
      <c r="B131" s="42" t="s">
        <v>862</v>
      </c>
      <c r="C131" s="42" t="s">
        <v>860</v>
      </c>
      <c r="D131" s="187">
        <v>1.0</v>
      </c>
      <c r="E131" s="187">
        <v>84.0</v>
      </c>
      <c r="F131" s="38"/>
      <c r="G131" s="223"/>
      <c r="H131" s="71">
        <f t="shared" si="4"/>
        <v>4.285714286</v>
      </c>
      <c r="I131" s="71"/>
      <c r="J131" s="4"/>
      <c r="K131" s="4"/>
      <c r="L131" s="4"/>
      <c r="M131" s="4"/>
      <c r="N131" s="4"/>
      <c r="O131" s="4"/>
    </row>
    <row r="132" ht="15.75" customHeight="1">
      <c r="A132" s="42">
        <v>8.06345119E9</v>
      </c>
      <c r="B132" s="42" t="s">
        <v>863</v>
      </c>
      <c r="C132" s="42" t="s">
        <v>860</v>
      </c>
      <c r="D132" s="187">
        <v>1.0</v>
      </c>
      <c r="E132" s="187">
        <v>84.0</v>
      </c>
      <c r="F132" s="38"/>
      <c r="G132" s="223"/>
      <c r="H132" s="71">
        <f t="shared" si="4"/>
        <v>4.285714286</v>
      </c>
      <c r="I132" s="71"/>
      <c r="J132" s="4"/>
      <c r="K132" s="4"/>
      <c r="L132" s="4"/>
      <c r="M132" s="4"/>
      <c r="N132" s="4"/>
      <c r="O132" s="4"/>
    </row>
    <row r="133" ht="15.75" customHeight="1">
      <c r="A133" s="42">
        <v>8.06349419E9</v>
      </c>
      <c r="B133" s="42" t="s">
        <v>864</v>
      </c>
      <c r="C133" s="42" t="s">
        <v>860</v>
      </c>
      <c r="D133" s="226">
        <v>1.0</v>
      </c>
      <c r="E133" s="226">
        <v>182.0</v>
      </c>
      <c r="F133" s="38"/>
      <c r="G133" s="223"/>
      <c r="H133" s="71">
        <f t="shared" si="4"/>
        <v>1.978021978</v>
      </c>
      <c r="I133" s="71"/>
      <c r="J133" s="4"/>
      <c r="K133" s="4"/>
      <c r="L133" s="4"/>
      <c r="M133" s="4"/>
      <c r="N133" s="4"/>
      <c r="O133" s="4"/>
    </row>
    <row r="134" ht="15.75" customHeight="1">
      <c r="A134" s="42">
        <v>8.06347819E9</v>
      </c>
      <c r="B134" s="42" t="s">
        <v>865</v>
      </c>
      <c r="C134" s="42" t="s">
        <v>860</v>
      </c>
      <c r="D134" s="187">
        <v>1.0</v>
      </c>
      <c r="E134" s="187">
        <v>84.0</v>
      </c>
      <c r="F134" s="38"/>
      <c r="G134" s="223"/>
      <c r="H134" s="71">
        <f t="shared" si="4"/>
        <v>4.285714286</v>
      </c>
      <c r="I134" s="71"/>
      <c r="J134" s="4"/>
      <c r="K134" s="4"/>
      <c r="L134" s="4"/>
      <c r="M134" s="4"/>
      <c r="N134" s="4"/>
      <c r="O134" s="4"/>
    </row>
    <row r="135" ht="15.75" customHeight="1">
      <c r="A135" s="42">
        <v>8.30272319E9</v>
      </c>
      <c r="B135" s="42" t="s">
        <v>866</v>
      </c>
      <c r="C135" s="42" t="s">
        <v>867</v>
      </c>
      <c r="D135" s="187">
        <v>2.0</v>
      </c>
      <c r="E135" s="187">
        <v>84.0</v>
      </c>
      <c r="F135" s="38"/>
      <c r="G135" s="223"/>
      <c r="H135" s="71">
        <f t="shared" si="4"/>
        <v>4.285714286</v>
      </c>
      <c r="I135" s="71"/>
      <c r="J135" s="4"/>
      <c r="K135" s="4"/>
      <c r="L135" s="4"/>
      <c r="M135" s="4"/>
      <c r="N135" s="4"/>
      <c r="O135" s="4"/>
    </row>
    <row r="136" ht="15.75" customHeight="1">
      <c r="A136" s="42">
        <v>8.30272319E9</v>
      </c>
      <c r="B136" s="42" t="s">
        <v>868</v>
      </c>
      <c r="C136" s="42" t="s">
        <v>867</v>
      </c>
      <c r="D136" s="187">
        <v>2.0</v>
      </c>
      <c r="E136" s="187">
        <v>84.0</v>
      </c>
      <c r="F136" s="38"/>
      <c r="G136" s="223"/>
      <c r="H136" s="71">
        <f t="shared" si="4"/>
        <v>4.285714286</v>
      </c>
      <c r="I136" s="71"/>
      <c r="J136" s="4"/>
      <c r="K136" s="4"/>
      <c r="L136" s="4"/>
      <c r="M136" s="4"/>
      <c r="N136" s="4"/>
      <c r="O136" s="4"/>
    </row>
    <row r="137" ht="15.75" customHeight="1">
      <c r="A137" s="42">
        <v>8.46309319E9</v>
      </c>
      <c r="B137" s="42" t="s">
        <v>869</v>
      </c>
      <c r="C137" s="42" t="s">
        <v>860</v>
      </c>
      <c r="D137" s="187">
        <v>1.0</v>
      </c>
      <c r="E137" s="187">
        <v>7.0</v>
      </c>
      <c r="F137" s="38"/>
      <c r="G137" s="223"/>
      <c r="H137" s="71">
        <f t="shared" si="4"/>
        <v>51.42857143</v>
      </c>
      <c r="I137" s="71"/>
      <c r="J137" s="4"/>
      <c r="K137" s="4"/>
      <c r="L137" s="4"/>
      <c r="M137" s="4"/>
      <c r="N137" s="4"/>
      <c r="O137" s="4"/>
    </row>
    <row r="138" ht="15.75" customHeight="1">
      <c r="A138" s="42">
        <v>8.30254519E9</v>
      </c>
      <c r="B138" s="42" t="s">
        <v>870</v>
      </c>
      <c r="C138" s="42" t="s">
        <v>867</v>
      </c>
      <c r="D138" s="187">
        <v>2.0</v>
      </c>
      <c r="E138" s="187">
        <v>70.0</v>
      </c>
      <c r="F138" s="38"/>
      <c r="G138" s="223"/>
      <c r="H138" s="71">
        <f t="shared" si="4"/>
        <v>5.142857143</v>
      </c>
      <c r="I138" s="71"/>
      <c r="J138" s="4"/>
      <c r="K138" s="4"/>
      <c r="L138" s="4"/>
      <c r="M138" s="4"/>
      <c r="N138" s="4"/>
      <c r="O138" s="4"/>
    </row>
    <row r="139" ht="15.75" customHeight="1">
      <c r="A139" s="42">
        <v>8.30254519E9</v>
      </c>
      <c r="B139" s="42" t="s">
        <v>871</v>
      </c>
      <c r="C139" s="42" t="s">
        <v>867</v>
      </c>
      <c r="D139" s="187">
        <v>2.0</v>
      </c>
      <c r="E139" s="187">
        <v>70.0</v>
      </c>
      <c r="F139" s="38"/>
      <c r="G139" s="223"/>
      <c r="H139" s="71">
        <f t="shared" si="4"/>
        <v>5.142857143</v>
      </c>
      <c r="I139" s="71"/>
      <c r="J139" s="4"/>
      <c r="K139" s="4"/>
      <c r="L139" s="4"/>
      <c r="M139" s="4"/>
      <c r="N139" s="4"/>
      <c r="O139" s="4"/>
    </row>
    <row r="140" ht="15.75" customHeight="1">
      <c r="A140" s="42">
        <v>4.444191001E9</v>
      </c>
      <c r="B140" s="42" t="s">
        <v>682</v>
      </c>
      <c r="C140" s="69" t="s">
        <v>872</v>
      </c>
      <c r="D140" s="187">
        <v>1.0</v>
      </c>
      <c r="E140" s="187">
        <v>365.0</v>
      </c>
      <c r="F140" s="38"/>
      <c r="G140" s="223"/>
      <c r="H140" s="71">
        <f t="shared" si="4"/>
        <v>0.9863013699</v>
      </c>
      <c r="I140" s="71"/>
      <c r="J140" s="4"/>
      <c r="K140" s="4"/>
      <c r="L140" s="4"/>
      <c r="M140" s="4"/>
      <c r="N140" s="4"/>
      <c r="O140" s="4"/>
    </row>
    <row r="141" ht="15.75" customHeight="1">
      <c r="A141" s="42">
        <v>8.46310719E9</v>
      </c>
      <c r="B141" s="42" t="s">
        <v>873</v>
      </c>
      <c r="C141" s="42" t="s">
        <v>860</v>
      </c>
      <c r="D141" s="187">
        <v>1.0</v>
      </c>
      <c r="E141" s="187">
        <v>28.0</v>
      </c>
      <c r="F141" s="38"/>
      <c r="G141" s="223"/>
      <c r="H141" s="71">
        <f t="shared" si="4"/>
        <v>12.85714286</v>
      </c>
      <c r="I141" s="71"/>
      <c r="J141" s="4"/>
      <c r="K141" s="4"/>
      <c r="L141" s="4"/>
      <c r="M141" s="4"/>
      <c r="N141" s="4"/>
      <c r="O141" s="4"/>
    </row>
    <row r="142" ht="15.75" customHeight="1">
      <c r="A142" s="42">
        <v>8.05932219E9</v>
      </c>
      <c r="B142" s="42" t="s">
        <v>874</v>
      </c>
      <c r="C142" s="42" t="s">
        <v>875</v>
      </c>
      <c r="D142" s="187">
        <v>1.0</v>
      </c>
      <c r="E142" s="187">
        <v>182.0</v>
      </c>
      <c r="F142" s="38"/>
      <c r="G142" s="223"/>
      <c r="H142" s="71">
        <f t="shared" si="4"/>
        <v>1.978021978</v>
      </c>
      <c r="I142" s="71"/>
      <c r="J142" s="4"/>
      <c r="K142" s="4"/>
      <c r="L142" s="4"/>
      <c r="M142" s="4"/>
      <c r="N142" s="4"/>
      <c r="O142" s="4"/>
    </row>
    <row r="143" ht="15.75" customHeight="1">
      <c r="A143" s="42">
        <v>5.870020001E9</v>
      </c>
      <c r="B143" s="42" t="s">
        <v>876</v>
      </c>
      <c r="C143" s="69" t="s">
        <v>877</v>
      </c>
      <c r="D143" s="187">
        <v>1.0</v>
      </c>
      <c r="E143" s="187"/>
      <c r="F143" s="38"/>
      <c r="G143" s="223"/>
      <c r="H143" s="71" t="str">
        <f t="shared" si="4"/>
        <v>#DIV/0!</v>
      </c>
      <c r="I143" s="71"/>
      <c r="J143" s="4"/>
      <c r="K143" s="4"/>
      <c r="L143" s="4"/>
      <c r="M143" s="4"/>
      <c r="N143" s="4"/>
      <c r="O143" s="4"/>
    </row>
    <row r="144" ht="15.75" customHeight="1">
      <c r="A144" s="42">
        <v>4.419987001E9</v>
      </c>
      <c r="B144" s="42" t="s">
        <v>878</v>
      </c>
      <c r="C144" s="69" t="s">
        <v>879</v>
      </c>
      <c r="D144" s="187">
        <v>1.0</v>
      </c>
      <c r="E144" s="187"/>
      <c r="F144" s="38"/>
      <c r="G144" s="223"/>
      <c r="H144" s="71" t="str">
        <f t="shared" si="4"/>
        <v>#DIV/0!</v>
      </c>
      <c r="I144" s="71"/>
      <c r="J144" s="4"/>
      <c r="K144" s="4"/>
      <c r="L144" s="4"/>
      <c r="M144" s="4"/>
      <c r="N144" s="4"/>
      <c r="O144" s="4"/>
    </row>
    <row r="145" ht="15.75" customHeight="1">
      <c r="A145" s="187">
        <v>4.740955001E9</v>
      </c>
      <c r="B145" s="42" t="s">
        <v>880</v>
      </c>
      <c r="C145" s="69"/>
      <c r="D145" s="187">
        <v>1.0</v>
      </c>
      <c r="E145" s="187"/>
      <c r="F145" s="69"/>
      <c r="G145" s="223"/>
      <c r="H145" s="71" t="str">
        <f t="shared" si="4"/>
        <v>#DIV/0!</v>
      </c>
      <c r="I145" s="71"/>
      <c r="J145" s="4"/>
      <c r="K145" s="4"/>
      <c r="L145" s="4"/>
      <c r="M145" s="4"/>
      <c r="N145" s="4"/>
      <c r="O145" s="4"/>
    </row>
    <row r="146" ht="15.75" customHeight="1">
      <c r="A146" s="187">
        <v>4.813707001E9</v>
      </c>
      <c r="B146" s="42" t="s">
        <v>351</v>
      </c>
      <c r="C146" s="227"/>
      <c r="D146" s="228">
        <v>1.0</v>
      </c>
      <c r="E146" s="228"/>
      <c r="F146" s="227"/>
      <c r="G146" s="223"/>
      <c r="H146" s="71" t="str">
        <f t="shared" si="4"/>
        <v>#DIV/0!</v>
      </c>
      <c r="I146" s="71"/>
      <c r="J146" s="4"/>
      <c r="K146" s="4"/>
      <c r="L146" s="4"/>
      <c r="M146" s="4"/>
      <c r="N146" s="4"/>
      <c r="O146" s="4"/>
    </row>
    <row r="147" ht="15.75" customHeight="1">
      <c r="A147" s="219" t="s">
        <v>881</v>
      </c>
      <c r="B147" s="191"/>
      <c r="C147" s="208" t="s">
        <v>237</v>
      </c>
      <c r="D147" s="220" t="s">
        <v>324</v>
      </c>
      <c r="E147" s="220" t="s">
        <v>559</v>
      </c>
      <c r="F147" s="221"/>
      <c r="G147" s="221" t="s">
        <v>138</v>
      </c>
      <c r="H147" s="221" t="s">
        <v>139</v>
      </c>
      <c r="I147" s="221" t="s">
        <v>140</v>
      </c>
      <c r="J147" s="4"/>
      <c r="K147" s="4"/>
      <c r="L147" s="4"/>
      <c r="M147" s="4"/>
      <c r="N147" s="4"/>
      <c r="O147" s="4"/>
    </row>
    <row r="148" ht="15.75" customHeight="1">
      <c r="A148" s="42">
        <v>1.1183974216E10</v>
      </c>
      <c r="B148" s="229" t="s">
        <v>358</v>
      </c>
      <c r="C148" s="180">
        <v>7500.0</v>
      </c>
      <c r="D148" s="38">
        <v>10.0</v>
      </c>
      <c r="E148" s="38">
        <v>1.0</v>
      </c>
      <c r="F148" s="38"/>
      <c r="G148" s="230"/>
      <c r="H148" s="38">
        <f t="shared" ref="H148:H160" si="5">(360/E148)</f>
        <v>360</v>
      </c>
      <c r="I148" s="38"/>
      <c r="J148" s="4"/>
      <c r="K148" s="4"/>
      <c r="L148" s="4"/>
      <c r="M148" s="4"/>
      <c r="N148" s="4"/>
      <c r="O148" s="4"/>
    </row>
    <row r="149" ht="15.75" customHeight="1">
      <c r="A149" s="42">
        <v>1.1183982216E10</v>
      </c>
      <c r="B149" s="229" t="s">
        <v>359</v>
      </c>
      <c r="C149" s="159"/>
      <c r="D149" s="38">
        <v>10.0</v>
      </c>
      <c r="E149" s="38">
        <v>1.0</v>
      </c>
      <c r="F149" s="38"/>
      <c r="G149" s="230"/>
      <c r="H149" s="38">
        <f t="shared" si="5"/>
        <v>360</v>
      </c>
      <c r="I149" s="38"/>
      <c r="J149" s="4"/>
      <c r="K149" s="4"/>
      <c r="L149" s="4"/>
      <c r="M149" s="4"/>
      <c r="N149" s="4"/>
      <c r="O149" s="4"/>
    </row>
    <row r="150" ht="15.75" customHeight="1">
      <c r="A150" s="42">
        <v>1.1298500316E10</v>
      </c>
      <c r="B150" s="229" t="s">
        <v>360</v>
      </c>
      <c r="C150" s="159"/>
      <c r="D150" s="38">
        <v>5.0</v>
      </c>
      <c r="E150" s="38">
        <v>73.0</v>
      </c>
      <c r="F150" s="38"/>
      <c r="G150" s="230"/>
      <c r="H150" s="71">
        <f t="shared" si="5"/>
        <v>4.931506849</v>
      </c>
      <c r="I150" s="71"/>
      <c r="J150" s="4"/>
      <c r="K150" s="4"/>
      <c r="L150" s="4"/>
      <c r="M150" s="4"/>
      <c r="N150" s="4"/>
      <c r="O150" s="4"/>
    </row>
    <row r="151" ht="15.75" customHeight="1">
      <c r="A151" s="42">
        <v>4.66363219E9</v>
      </c>
      <c r="B151" s="229" t="s">
        <v>361</v>
      </c>
      <c r="C151" s="159"/>
      <c r="D151" s="38">
        <v>9.0</v>
      </c>
      <c r="E151" s="38">
        <v>12.0</v>
      </c>
      <c r="F151" s="38"/>
      <c r="G151" s="230"/>
      <c r="H151" s="71">
        <f t="shared" si="5"/>
        <v>30</v>
      </c>
      <c r="I151" s="71"/>
      <c r="J151" s="4"/>
      <c r="K151" s="4"/>
      <c r="L151" s="4"/>
      <c r="M151" s="4"/>
      <c r="N151" s="4"/>
      <c r="O151" s="4"/>
    </row>
    <row r="152" ht="15.75" customHeight="1">
      <c r="A152" s="187">
        <v>2.0763071122E10</v>
      </c>
      <c r="B152" s="229" t="s">
        <v>882</v>
      </c>
      <c r="C152" s="159"/>
      <c r="D152" s="38">
        <v>6.0</v>
      </c>
      <c r="E152" s="38">
        <v>56.0</v>
      </c>
      <c r="F152" s="38"/>
      <c r="G152" s="230"/>
      <c r="H152" s="71">
        <f t="shared" si="5"/>
        <v>6.428571429</v>
      </c>
      <c r="I152" s="71"/>
      <c r="J152" s="4"/>
      <c r="K152" s="4"/>
      <c r="L152" s="4"/>
      <c r="M152" s="4"/>
      <c r="N152" s="4"/>
      <c r="O152" s="4"/>
    </row>
    <row r="153" ht="15.75" customHeight="1">
      <c r="A153" s="42">
        <v>4.88048019E9</v>
      </c>
      <c r="B153" s="229" t="s">
        <v>883</v>
      </c>
      <c r="C153" s="159"/>
      <c r="D153" s="38">
        <v>2.0</v>
      </c>
      <c r="E153" s="38">
        <v>42.0</v>
      </c>
      <c r="F153" s="38"/>
      <c r="G153" s="230"/>
      <c r="H153" s="71">
        <f t="shared" si="5"/>
        <v>8.571428571</v>
      </c>
      <c r="I153" s="71"/>
      <c r="J153" s="4"/>
      <c r="K153" s="4"/>
      <c r="L153" s="4"/>
      <c r="M153" s="4"/>
      <c r="N153" s="4"/>
      <c r="O153" s="4"/>
    </row>
    <row r="154" ht="15.75" customHeight="1">
      <c r="A154" s="42">
        <v>4.88045519E9</v>
      </c>
      <c r="B154" s="229" t="s">
        <v>884</v>
      </c>
      <c r="C154" s="159"/>
      <c r="D154" s="38">
        <v>2.0</v>
      </c>
      <c r="E154" s="38">
        <v>42.0</v>
      </c>
      <c r="F154" s="38"/>
      <c r="G154" s="230"/>
      <c r="H154" s="71">
        <f t="shared" si="5"/>
        <v>8.571428571</v>
      </c>
      <c r="I154" s="71"/>
      <c r="J154" s="4"/>
      <c r="K154" s="4"/>
      <c r="L154" s="4"/>
      <c r="M154" s="4"/>
      <c r="N154" s="4"/>
      <c r="O154" s="4"/>
    </row>
    <row r="155" ht="15.75" customHeight="1">
      <c r="A155" s="42">
        <v>8.39201319E9</v>
      </c>
      <c r="B155" s="229" t="s">
        <v>885</v>
      </c>
      <c r="C155" s="159"/>
      <c r="D155" s="38">
        <v>2.0</v>
      </c>
      <c r="E155" s="38">
        <v>365.0</v>
      </c>
      <c r="F155" s="38"/>
      <c r="G155" s="230"/>
      <c r="H155" s="71">
        <f t="shared" si="5"/>
        <v>0.9863013699</v>
      </c>
      <c r="I155" s="71"/>
      <c r="J155" s="4"/>
      <c r="K155" s="4"/>
      <c r="L155" s="4"/>
      <c r="M155" s="4"/>
      <c r="N155" s="4"/>
      <c r="O155" s="4"/>
    </row>
    <row r="156" ht="15.75" customHeight="1">
      <c r="A156" s="42">
        <v>1.0820652216E10</v>
      </c>
      <c r="B156" s="229" t="s">
        <v>886</v>
      </c>
      <c r="C156" s="159"/>
      <c r="D156" s="38">
        <v>1.0</v>
      </c>
      <c r="E156" s="38">
        <v>365.0</v>
      </c>
      <c r="F156" s="38"/>
      <c r="G156" s="230"/>
      <c r="H156" s="71">
        <f t="shared" si="5"/>
        <v>0.9863013699</v>
      </c>
      <c r="I156" s="71"/>
      <c r="J156" s="4"/>
      <c r="K156" s="4"/>
      <c r="L156" s="4"/>
      <c r="M156" s="4"/>
      <c r="N156" s="4"/>
      <c r="O156" s="4"/>
    </row>
    <row r="157" ht="15.75" customHeight="1">
      <c r="A157" s="42">
        <v>3.149501001E9</v>
      </c>
      <c r="B157" s="229" t="s">
        <v>365</v>
      </c>
      <c r="C157" s="159"/>
      <c r="D157" s="38">
        <v>1.0</v>
      </c>
      <c r="E157" s="38">
        <v>168.0</v>
      </c>
      <c r="F157" s="38"/>
      <c r="G157" s="230"/>
      <c r="H157" s="71">
        <f t="shared" si="5"/>
        <v>2.142857143</v>
      </c>
      <c r="I157" s="71"/>
      <c r="J157" s="4"/>
      <c r="K157" s="4"/>
      <c r="L157" s="4"/>
      <c r="M157" s="4"/>
      <c r="N157" s="4"/>
      <c r="O157" s="4"/>
    </row>
    <row r="158" ht="15.75" customHeight="1">
      <c r="A158" s="42">
        <v>1.0825468001E10</v>
      </c>
      <c r="B158" s="229" t="s">
        <v>366</v>
      </c>
      <c r="C158" s="159"/>
      <c r="D158" s="38">
        <v>1.0</v>
      </c>
      <c r="E158" s="38">
        <v>56.0</v>
      </c>
      <c r="F158" s="38"/>
      <c r="G158" s="230"/>
      <c r="H158" s="71">
        <f t="shared" si="5"/>
        <v>6.428571429</v>
      </c>
      <c r="I158" s="71"/>
      <c r="J158" s="4"/>
      <c r="K158" s="4"/>
      <c r="L158" s="4"/>
      <c r="M158" s="4"/>
      <c r="N158" s="4"/>
      <c r="O158" s="4"/>
    </row>
    <row r="159" ht="15.75" customHeight="1">
      <c r="A159" s="42">
        <v>1.0825441001E10</v>
      </c>
      <c r="B159" s="229" t="s">
        <v>367</v>
      </c>
      <c r="C159" s="159"/>
      <c r="D159" s="38">
        <v>1.0</v>
      </c>
      <c r="E159" s="38">
        <v>56.0</v>
      </c>
      <c r="F159" s="38"/>
      <c r="G159" s="230"/>
      <c r="H159" s="71">
        <f t="shared" si="5"/>
        <v>6.428571429</v>
      </c>
      <c r="I159" s="71"/>
      <c r="J159" s="4"/>
      <c r="K159" s="4"/>
      <c r="L159" s="4"/>
      <c r="M159" s="4"/>
      <c r="N159" s="4"/>
      <c r="O159" s="4"/>
    </row>
    <row r="160" ht="15.75" customHeight="1">
      <c r="A160" s="42">
        <v>3.246353001E9</v>
      </c>
      <c r="B160" s="229" t="s">
        <v>368</v>
      </c>
      <c r="C160" s="159"/>
      <c r="D160" s="38">
        <v>1.0</v>
      </c>
      <c r="E160" s="38">
        <v>56.0</v>
      </c>
      <c r="F160" s="38"/>
      <c r="G160" s="230"/>
      <c r="H160" s="71">
        <f t="shared" si="5"/>
        <v>6.428571429</v>
      </c>
      <c r="I160" s="71"/>
      <c r="J160" s="4"/>
      <c r="K160" s="4"/>
      <c r="L160" s="4"/>
      <c r="M160" s="4"/>
      <c r="N160" s="4"/>
      <c r="O160" s="4"/>
    </row>
    <row r="161" ht="15.75" customHeight="1">
      <c r="A161" s="4"/>
      <c r="B161" s="4"/>
      <c r="C161" s="59"/>
      <c r="D161" s="164"/>
      <c r="E161" s="59"/>
      <c r="F161" s="231"/>
      <c r="G161" s="4"/>
      <c r="H161" s="4"/>
      <c r="I161" s="4"/>
      <c r="J161" s="4"/>
      <c r="K161" s="4"/>
      <c r="L161" s="4"/>
      <c r="M161" s="4"/>
      <c r="N161" s="4"/>
      <c r="O161" s="4"/>
    </row>
    <row r="162" ht="15.75" customHeight="1">
      <c r="A162" s="4"/>
      <c r="B162" s="4"/>
      <c r="C162" s="4"/>
      <c r="D162" s="164"/>
      <c r="E162" s="59"/>
      <c r="F162" s="231"/>
      <c r="G162" s="4"/>
      <c r="H162" s="4"/>
      <c r="I162" s="4"/>
      <c r="J162" s="4"/>
      <c r="K162" s="4"/>
      <c r="L162" s="4"/>
      <c r="M162" s="4"/>
      <c r="N162" s="4"/>
      <c r="O162" s="4"/>
    </row>
    <row r="163" ht="15.75" customHeight="1">
      <c r="A163" s="4"/>
      <c r="B163" s="4"/>
      <c r="C163" s="4"/>
      <c r="D163" s="164"/>
      <c r="E163" s="59"/>
      <c r="F163" s="231"/>
      <c r="G163" s="4"/>
      <c r="H163" s="4"/>
      <c r="I163" s="4"/>
      <c r="J163" s="4"/>
      <c r="K163" s="4"/>
      <c r="L163" s="4"/>
      <c r="M163" s="4"/>
      <c r="N163" s="4"/>
      <c r="O163" s="4"/>
    </row>
    <row r="164" ht="15.75" customHeight="1">
      <c r="A164" s="4"/>
      <c r="B164" s="4"/>
      <c r="C164" s="4"/>
      <c r="D164" s="164"/>
      <c r="E164" s="59"/>
      <c r="F164" s="231"/>
      <c r="G164" s="4"/>
      <c r="H164" s="4"/>
      <c r="I164" s="4"/>
      <c r="J164" s="4"/>
      <c r="K164" s="4"/>
      <c r="L164" s="4"/>
      <c r="M164" s="4"/>
      <c r="N164" s="4"/>
      <c r="O164" s="4"/>
    </row>
    <row r="165" ht="15.75" customHeight="1">
      <c r="A165" s="4"/>
      <c r="B165" s="4"/>
      <c r="C165" s="4"/>
      <c r="D165" s="164"/>
      <c r="E165" s="59"/>
      <c r="F165" s="231"/>
      <c r="G165" s="4"/>
      <c r="H165" s="4"/>
      <c r="I165" s="4"/>
      <c r="J165" s="4"/>
      <c r="K165" s="4"/>
      <c r="L165" s="4"/>
      <c r="M165" s="4"/>
      <c r="N165" s="4"/>
      <c r="O165" s="4"/>
    </row>
    <row r="166" ht="15.75" customHeight="1">
      <c r="A166" s="4"/>
      <c r="B166" s="4"/>
      <c r="C166" s="4"/>
      <c r="D166" s="164"/>
      <c r="E166" s="59"/>
      <c r="F166" s="231"/>
      <c r="G166" s="4"/>
      <c r="H166" s="4"/>
      <c r="I166" s="4"/>
      <c r="J166" s="4"/>
      <c r="K166" s="4"/>
      <c r="L166" s="4"/>
      <c r="M166" s="4"/>
      <c r="N166" s="4"/>
      <c r="O166" s="4"/>
    </row>
    <row r="167" ht="15.75" customHeight="1">
      <c r="A167" s="4"/>
      <c r="B167" s="4"/>
      <c r="C167" s="4"/>
      <c r="D167" s="164"/>
      <c r="E167" s="59"/>
      <c r="F167" s="231"/>
      <c r="G167" s="4"/>
      <c r="H167" s="4"/>
      <c r="I167" s="4"/>
      <c r="J167" s="4"/>
      <c r="K167" s="4"/>
      <c r="L167" s="4"/>
      <c r="M167" s="4"/>
      <c r="N167" s="4"/>
      <c r="O167" s="4"/>
    </row>
    <row r="168" ht="15.75" customHeight="1">
      <c r="A168" s="4"/>
      <c r="B168" s="4"/>
      <c r="C168" s="4"/>
      <c r="D168" s="164"/>
      <c r="E168" s="59"/>
      <c r="F168" s="231"/>
      <c r="G168" s="4"/>
      <c r="H168" s="4"/>
      <c r="I168" s="4"/>
      <c r="J168" s="4"/>
      <c r="K168" s="4"/>
      <c r="L168" s="4"/>
      <c r="M168" s="4"/>
      <c r="N168" s="4"/>
      <c r="O168" s="4"/>
    </row>
    <row r="169" ht="15.75" customHeight="1">
      <c r="A169" s="4"/>
      <c r="B169" s="4"/>
      <c r="C169" s="4"/>
      <c r="D169" s="164"/>
      <c r="E169" s="59"/>
      <c r="F169" s="231"/>
      <c r="G169" s="4"/>
      <c r="H169" s="4"/>
      <c r="I169" s="4"/>
      <c r="J169" s="4"/>
      <c r="K169" s="4"/>
      <c r="L169" s="4"/>
      <c r="M169" s="4"/>
      <c r="N169" s="4"/>
      <c r="O169" s="4"/>
    </row>
    <row r="170" ht="15.75" customHeight="1">
      <c r="A170" s="4"/>
      <c r="B170" s="4"/>
      <c r="C170" s="4"/>
      <c r="D170" s="164"/>
      <c r="E170" s="59"/>
      <c r="F170" s="231"/>
      <c r="G170" s="4"/>
      <c r="H170" s="4"/>
      <c r="I170" s="4"/>
      <c r="J170" s="4"/>
      <c r="K170" s="4"/>
      <c r="L170" s="4"/>
      <c r="M170" s="4"/>
      <c r="N170" s="4"/>
      <c r="O170" s="4"/>
    </row>
    <row r="171" ht="15.75" customHeight="1">
      <c r="A171" s="4"/>
      <c r="B171" s="4"/>
      <c r="C171" s="4"/>
      <c r="D171" s="164"/>
      <c r="E171" s="59"/>
      <c r="F171" s="231"/>
      <c r="G171" s="4"/>
      <c r="H171" s="4"/>
      <c r="I171" s="4"/>
      <c r="J171" s="4"/>
      <c r="K171" s="4"/>
      <c r="L171" s="4"/>
      <c r="M171" s="4"/>
      <c r="N171" s="4"/>
      <c r="O171" s="4"/>
    </row>
    <row r="172" ht="15.75" customHeight="1">
      <c r="A172" s="4"/>
      <c r="B172" s="4"/>
      <c r="C172" s="4"/>
      <c r="D172" s="164"/>
      <c r="E172" s="59"/>
      <c r="F172" s="231"/>
      <c r="G172" s="4"/>
      <c r="H172" s="4"/>
      <c r="I172" s="4"/>
      <c r="J172" s="4"/>
      <c r="K172" s="4"/>
      <c r="L172" s="4"/>
      <c r="M172" s="4"/>
      <c r="N172" s="4"/>
      <c r="O172" s="4"/>
    </row>
    <row r="173" ht="15.75" customHeight="1">
      <c r="A173" s="4"/>
      <c r="B173" s="4"/>
      <c r="C173" s="4"/>
      <c r="D173" s="164"/>
      <c r="E173" s="59"/>
      <c r="F173" s="231"/>
      <c r="G173" s="4"/>
      <c r="H173" s="4"/>
      <c r="I173" s="4"/>
      <c r="J173" s="4"/>
      <c r="K173" s="4"/>
      <c r="L173" s="4"/>
      <c r="M173" s="4"/>
      <c r="N173" s="4"/>
      <c r="O173" s="4"/>
    </row>
    <row r="174" ht="15.75" customHeight="1">
      <c r="A174" s="4"/>
      <c r="B174" s="4"/>
      <c r="C174" s="4"/>
      <c r="D174" s="164"/>
      <c r="E174" s="59"/>
      <c r="F174" s="231"/>
      <c r="G174" s="4"/>
      <c r="H174" s="4"/>
      <c r="I174" s="4"/>
      <c r="J174" s="4"/>
      <c r="K174" s="4"/>
      <c r="L174" s="4"/>
      <c r="M174" s="4"/>
      <c r="N174" s="4"/>
      <c r="O174" s="4"/>
    </row>
    <row r="175" ht="15.75" customHeight="1">
      <c r="A175" s="4"/>
      <c r="B175" s="4"/>
      <c r="C175" s="4"/>
      <c r="D175" s="164"/>
      <c r="E175" s="59"/>
      <c r="F175" s="231"/>
      <c r="G175" s="4"/>
      <c r="H175" s="4"/>
      <c r="I175" s="4"/>
      <c r="J175" s="4"/>
      <c r="K175" s="4"/>
      <c r="L175" s="4"/>
      <c r="M175" s="4"/>
      <c r="N175" s="4"/>
      <c r="O175" s="4"/>
    </row>
    <row r="176" ht="15.75" customHeight="1">
      <c r="A176" s="4"/>
      <c r="B176" s="4"/>
      <c r="C176" s="4"/>
      <c r="D176" s="164"/>
      <c r="E176" s="59"/>
      <c r="F176" s="231"/>
      <c r="G176" s="4"/>
      <c r="H176" s="4"/>
      <c r="I176" s="4"/>
      <c r="J176" s="4"/>
      <c r="K176" s="4"/>
      <c r="L176" s="4"/>
      <c r="M176" s="4"/>
      <c r="N176" s="4"/>
      <c r="O176" s="4"/>
    </row>
    <row r="177" ht="15.75" customHeight="1">
      <c r="A177" s="4"/>
      <c r="B177" s="4"/>
      <c r="C177" s="4"/>
      <c r="D177" s="164"/>
      <c r="E177" s="59"/>
      <c r="F177" s="231"/>
      <c r="G177" s="4"/>
      <c r="H177" s="4"/>
      <c r="I177" s="4"/>
      <c r="J177" s="4"/>
      <c r="K177" s="4"/>
      <c r="L177" s="4"/>
      <c r="M177" s="4"/>
      <c r="N177" s="4"/>
      <c r="O177" s="4"/>
    </row>
    <row r="178" ht="15.75" customHeight="1">
      <c r="A178" s="4"/>
      <c r="B178" s="4"/>
      <c r="C178" s="4"/>
      <c r="D178" s="164"/>
      <c r="E178" s="59"/>
      <c r="F178" s="231"/>
      <c r="G178" s="4"/>
      <c r="H178" s="4"/>
      <c r="I178" s="4"/>
      <c r="J178" s="4"/>
      <c r="K178" s="4"/>
      <c r="L178" s="4"/>
      <c r="M178" s="4"/>
      <c r="N178" s="4"/>
      <c r="O178" s="4"/>
    </row>
    <row r="179" ht="15.75" customHeight="1">
      <c r="A179" s="4"/>
      <c r="B179" s="4"/>
      <c r="C179" s="4"/>
      <c r="D179" s="164"/>
      <c r="E179" s="59"/>
      <c r="F179" s="231"/>
      <c r="G179" s="4"/>
      <c r="H179" s="4"/>
      <c r="I179" s="4"/>
      <c r="J179" s="4"/>
      <c r="K179" s="4"/>
      <c r="L179" s="4"/>
      <c r="M179" s="4"/>
      <c r="N179" s="4"/>
      <c r="O179" s="4"/>
    </row>
    <row r="180" ht="15.75" customHeight="1">
      <c r="A180" s="4"/>
      <c r="B180" s="4"/>
      <c r="C180" s="4"/>
      <c r="D180" s="164"/>
      <c r="E180" s="59"/>
      <c r="F180" s="231"/>
      <c r="G180" s="4"/>
      <c r="H180" s="4"/>
      <c r="I180" s="4"/>
      <c r="J180" s="4"/>
      <c r="K180" s="4"/>
      <c r="L180" s="4"/>
      <c r="M180" s="4"/>
      <c r="N180" s="4"/>
      <c r="O180" s="4"/>
    </row>
    <row r="181" ht="15.75" customHeight="1">
      <c r="A181" s="4"/>
      <c r="B181" s="4"/>
      <c r="C181" s="4"/>
      <c r="D181" s="164"/>
      <c r="E181" s="59"/>
      <c r="F181" s="231"/>
      <c r="G181" s="4"/>
      <c r="H181" s="4"/>
      <c r="I181" s="4"/>
      <c r="J181" s="4"/>
      <c r="K181" s="4"/>
      <c r="L181" s="4"/>
      <c r="M181" s="4"/>
      <c r="N181" s="4"/>
      <c r="O181" s="4"/>
    </row>
    <row r="182" ht="15.75" customHeight="1">
      <c r="A182" s="4"/>
      <c r="B182" s="4"/>
      <c r="C182" s="4"/>
      <c r="D182" s="164"/>
      <c r="E182" s="59"/>
      <c r="F182" s="231"/>
      <c r="G182" s="4"/>
      <c r="H182" s="4"/>
      <c r="I182" s="4"/>
      <c r="J182" s="4"/>
      <c r="K182" s="4"/>
      <c r="L182" s="4"/>
      <c r="M182" s="4"/>
      <c r="N182" s="4"/>
      <c r="O182" s="4"/>
    </row>
    <row r="183" ht="15.75" customHeight="1">
      <c r="A183" s="4"/>
      <c r="B183" s="4"/>
      <c r="C183" s="4"/>
      <c r="D183" s="164"/>
      <c r="E183" s="59"/>
      <c r="F183" s="231"/>
      <c r="G183" s="4"/>
      <c r="H183" s="4"/>
      <c r="I183" s="4"/>
      <c r="J183" s="4"/>
      <c r="K183" s="4"/>
      <c r="L183" s="4"/>
      <c r="M183" s="4"/>
      <c r="N183" s="4"/>
      <c r="O183" s="4"/>
    </row>
    <row r="184" ht="15.75" customHeight="1">
      <c r="A184" s="4"/>
      <c r="B184" s="4"/>
      <c r="C184" s="4"/>
      <c r="D184" s="164"/>
      <c r="E184" s="59"/>
      <c r="F184" s="231"/>
      <c r="G184" s="4"/>
      <c r="H184" s="4"/>
      <c r="I184" s="4"/>
      <c r="J184" s="4"/>
      <c r="K184" s="4"/>
      <c r="L184" s="4"/>
      <c r="M184" s="4"/>
      <c r="N184" s="4"/>
      <c r="O184" s="4"/>
    </row>
    <row r="185" ht="15.75" customHeight="1">
      <c r="A185" s="4"/>
      <c r="B185" s="4"/>
      <c r="C185" s="4"/>
      <c r="D185" s="164"/>
      <c r="E185" s="59"/>
      <c r="F185" s="231"/>
      <c r="G185" s="4"/>
      <c r="H185" s="4"/>
      <c r="I185" s="4"/>
      <c r="J185" s="4"/>
      <c r="K185" s="4"/>
      <c r="L185" s="4"/>
      <c r="M185" s="4"/>
      <c r="N185" s="4"/>
      <c r="O185" s="4"/>
    </row>
    <row r="186" ht="15.75" customHeight="1">
      <c r="A186" s="4"/>
      <c r="B186" s="4"/>
      <c r="C186" s="4"/>
      <c r="D186" s="164"/>
      <c r="E186" s="59"/>
      <c r="F186" s="231"/>
      <c r="G186" s="4"/>
      <c r="H186" s="4"/>
      <c r="I186" s="4"/>
      <c r="J186" s="4"/>
      <c r="K186" s="4"/>
      <c r="L186" s="4"/>
      <c r="M186" s="4"/>
      <c r="N186" s="4"/>
      <c r="O186" s="4"/>
    </row>
    <row r="187" ht="15.75" customHeight="1">
      <c r="A187" s="4"/>
      <c r="B187" s="4"/>
      <c r="C187" s="4"/>
      <c r="D187" s="164"/>
      <c r="E187" s="59"/>
      <c r="F187" s="231"/>
      <c r="G187" s="4"/>
      <c r="H187" s="4"/>
      <c r="I187" s="4"/>
      <c r="J187" s="4"/>
      <c r="K187" s="4"/>
      <c r="L187" s="4"/>
      <c r="M187" s="4"/>
      <c r="N187" s="4"/>
      <c r="O187" s="4"/>
    </row>
    <row r="188" ht="15.75" customHeight="1">
      <c r="A188" s="4"/>
      <c r="B188" s="4"/>
      <c r="C188" s="4"/>
      <c r="D188" s="164"/>
      <c r="E188" s="59"/>
      <c r="F188" s="231"/>
      <c r="G188" s="4"/>
      <c r="H188" s="4"/>
      <c r="I188" s="4"/>
      <c r="J188" s="4"/>
      <c r="K188" s="4"/>
      <c r="L188" s="4"/>
      <c r="M188" s="4"/>
      <c r="N188" s="4"/>
      <c r="O188" s="4"/>
    </row>
    <row r="189" ht="15.75" customHeight="1">
      <c r="A189" s="4"/>
      <c r="B189" s="4"/>
      <c r="C189" s="4"/>
      <c r="D189" s="164"/>
      <c r="E189" s="59"/>
      <c r="F189" s="231"/>
      <c r="G189" s="4"/>
      <c r="H189" s="4"/>
      <c r="I189" s="4"/>
      <c r="J189" s="4"/>
      <c r="K189" s="4"/>
      <c r="L189" s="4"/>
      <c r="M189" s="4"/>
      <c r="N189" s="4"/>
      <c r="O189" s="4"/>
    </row>
    <row r="190" ht="15.75" customHeight="1">
      <c r="A190" s="4"/>
      <c r="B190" s="4"/>
      <c r="C190" s="4"/>
      <c r="D190" s="164"/>
      <c r="E190" s="59"/>
      <c r="F190" s="231"/>
      <c r="G190" s="4"/>
      <c r="H190" s="4"/>
      <c r="I190" s="4"/>
      <c r="J190" s="4"/>
      <c r="K190" s="4"/>
      <c r="L190" s="4"/>
      <c r="M190" s="4"/>
      <c r="N190" s="4"/>
      <c r="O190" s="4"/>
    </row>
    <row r="191" ht="15.75" customHeight="1">
      <c r="A191" s="4"/>
      <c r="B191" s="4"/>
      <c r="C191" s="4"/>
      <c r="D191" s="164"/>
      <c r="E191" s="59"/>
      <c r="F191" s="231"/>
      <c r="G191" s="4"/>
      <c r="H191" s="4"/>
      <c r="I191" s="4"/>
      <c r="J191" s="4"/>
      <c r="K191" s="4"/>
      <c r="L191" s="4"/>
      <c r="M191" s="4"/>
      <c r="N191" s="4"/>
      <c r="O191" s="4"/>
    </row>
    <row r="192" ht="15.75" customHeight="1">
      <c r="A192" s="4"/>
      <c r="B192" s="4"/>
      <c r="C192" s="4"/>
      <c r="D192" s="164"/>
      <c r="E192" s="59"/>
      <c r="F192" s="231"/>
      <c r="G192" s="4"/>
      <c r="H192" s="4"/>
      <c r="I192" s="4"/>
      <c r="J192" s="4"/>
      <c r="K192" s="4"/>
      <c r="L192" s="4"/>
      <c r="M192" s="4"/>
      <c r="N192" s="4"/>
      <c r="O192" s="4"/>
    </row>
    <row r="193" ht="15.75" customHeight="1">
      <c r="A193" s="4"/>
      <c r="B193" s="4"/>
      <c r="C193" s="4"/>
      <c r="D193" s="164"/>
      <c r="E193" s="59"/>
      <c r="F193" s="231"/>
      <c r="G193" s="4"/>
      <c r="H193" s="4"/>
      <c r="I193" s="4"/>
      <c r="J193" s="4"/>
      <c r="K193" s="4"/>
      <c r="L193" s="4"/>
      <c r="M193" s="4"/>
      <c r="N193" s="4"/>
      <c r="O193" s="4"/>
    </row>
    <row r="194" ht="15.75" customHeight="1">
      <c r="A194" s="4"/>
      <c r="B194" s="4"/>
      <c r="C194" s="4"/>
      <c r="D194" s="164"/>
      <c r="E194" s="59"/>
      <c r="F194" s="231"/>
      <c r="G194" s="4"/>
      <c r="H194" s="4"/>
      <c r="I194" s="4"/>
      <c r="J194" s="4"/>
      <c r="K194" s="4"/>
      <c r="L194" s="4"/>
      <c r="M194" s="4"/>
      <c r="N194" s="4"/>
      <c r="O194" s="4"/>
    </row>
    <row r="195" ht="15.75" customHeight="1">
      <c r="A195" s="4"/>
      <c r="B195" s="4"/>
      <c r="C195" s="4"/>
      <c r="D195" s="164"/>
      <c r="E195" s="59"/>
      <c r="F195" s="231"/>
      <c r="G195" s="4"/>
      <c r="H195" s="4"/>
      <c r="I195" s="4"/>
      <c r="J195" s="4"/>
      <c r="K195" s="4"/>
      <c r="L195" s="4"/>
      <c r="M195" s="4"/>
      <c r="N195" s="4"/>
      <c r="O195" s="4"/>
    </row>
    <row r="196" ht="15.75" customHeight="1">
      <c r="A196" s="4"/>
      <c r="B196" s="4"/>
      <c r="C196" s="4"/>
      <c r="D196" s="164"/>
      <c r="E196" s="59"/>
      <c r="F196" s="231"/>
      <c r="G196" s="4"/>
      <c r="H196" s="4"/>
      <c r="I196" s="4"/>
      <c r="J196" s="4"/>
      <c r="K196" s="4"/>
      <c r="L196" s="4"/>
      <c r="M196" s="4"/>
      <c r="N196" s="4"/>
      <c r="O196" s="4"/>
    </row>
    <row r="197" ht="15.75" customHeight="1">
      <c r="A197" s="4"/>
      <c r="B197" s="4"/>
      <c r="C197" s="4"/>
      <c r="D197" s="164"/>
      <c r="E197" s="59"/>
      <c r="F197" s="231"/>
      <c r="G197" s="4"/>
      <c r="H197" s="4"/>
      <c r="I197" s="4"/>
      <c r="J197" s="4"/>
      <c r="K197" s="4"/>
      <c r="L197" s="4"/>
      <c r="M197" s="4"/>
      <c r="N197" s="4"/>
      <c r="O197" s="4"/>
    </row>
    <row r="198" ht="15.75" customHeight="1">
      <c r="A198" s="4"/>
      <c r="B198" s="4"/>
      <c r="C198" s="4"/>
      <c r="D198" s="164"/>
      <c r="E198" s="59"/>
      <c r="F198" s="231"/>
      <c r="G198" s="4"/>
      <c r="H198" s="4"/>
      <c r="I198" s="4"/>
      <c r="J198" s="4"/>
      <c r="K198" s="4"/>
      <c r="L198" s="4"/>
      <c r="M198" s="4"/>
      <c r="N198" s="4"/>
      <c r="O198" s="4"/>
    </row>
    <row r="199" ht="15.75" customHeight="1">
      <c r="A199" s="4"/>
      <c r="B199" s="4"/>
      <c r="C199" s="4"/>
      <c r="D199" s="164"/>
      <c r="E199" s="59"/>
      <c r="F199" s="231"/>
      <c r="G199" s="4"/>
      <c r="H199" s="4"/>
      <c r="I199" s="4"/>
      <c r="J199" s="4"/>
      <c r="K199" s="4"/>
      <c r="L199" s="4"/>
      <c r="M199" s="4"/>
      <c r="N199" s="4"/>
      <c r="O199" s="4"/>
    </row>
    <row r="200" ht="15.75" customHeight="1">
      <c r="A200" s="4"/>
      <c r="B200" s="4"/>
      <c r="C200" s="4"/>
      <c r="D200" s="164"/>
      <c r="E200" s="59"/>
      <c r="F200" s="231"/>
      <c r="G200" s="4"/>
      <c r="H200" s="4"/>
      <c r="I200" s="4"/>
      <c r="J200" s="4"/>
      <c r="K200" s="4"/>
      <c r="L200" s="4"/>
      <c r="M200" s="4"/>
      <c r="N200" s="4"/>
      <c r="O200" s="4"/>
    </row>
    <row r="201" ht="15.75" customHeight="1">
      <c r="A201" s="4"/>
      <c r="B201" s="4"/>
      <c r="C201" s="4"/>
      <c r="D201" s="164"/>
      <c r="E201" s="59"/>
      <c r="F201" s="231"/>
      <c r="G201" s="4"/>
      <c r="H201" s="4"/>
      <c r="I201" s="4"/>
      <c r="J201" s="4"/>
      <c r="K201" s="4"/>
      <c r="L201" s="4"/>
      <c r="M201" s="4"/>
      <c r="N201" s="4"/>
      <c r="O201" s="4"/>
    </row>
    <row r="202" ht="15.75" customHeight="1">
      <c r="A202" s="4"/>
      <c r="B202" s="4"/>
      <c r="C202" s="4"/>
      <c r="D202" s="164"/>
      <c r="E202" s="59"/>
      <c r="F202" s="231"/>
      <c r="G202" s="4"/>
      <c r="H202" s="4"/>
      <c r="I202" s="4"/>
      <c r="J202" s="4"/>
      <c r="K202" s="4"/>
      <c r="L202" s="4"/>
      <c r="M202" s="4"/>
      <c r="N202" s="4"/>
      <c r="O202" s="4"/>
    </row>
    <row r="203" ht="15.75" customHeight="1">
      <c r="A203" s="4"/>
      <c r="B203" s="4"/>
      <c r="C203" s="4"/>
      <c r="D203" s="164"/>
      <c r="E203" s="59"/>
      <c r="F203" s="231"/>
      <c r="G203" s="4"/>
      <c r="H203" s="4"/>
      <c r="I203" s="4"/>
      <c r="J203" s="4"/>
      <c r="K203" s="4"/>
      <c r="L203" s="4"/>
      <c r="M203" s="4"/>
      <c r="N203" s="4"/>
      <c r="O203" s="4"/>
    </row>
    <row r="204" ht="15.75" customHeight="1">
      <c r="A204" s="4"/>
      <c r="B204" s="4"/>
      <c r="C204" s="4"/>
      <c r="D204" s="164"/>
      <c r="E204" s="59"/>
      <c r="F204" s="231"/>
      <c r="G204" s="4"/>
      <c r="H204" s="4"/>
      <c r="I204" s="4"/>
      <c r="J204" s="4"/>
      <c r="K204" s="4"/>
      <c r="L204" s="4"/>
      <c r="M204" s="4"/>
      <c r="N204" s="4"/>
      <c r="O204" s="4"/>
    </row>
    <row r="205" ht="15.75" customHeight="1">
      <c r="A205" s="4"/>
      <c r="B205" s="4"/>
      <c r="C205" s="4"/>
      <c r="D205" s="164"/>
      <c r="E205" s="59"/>
      <c r="F205" s="231"/>
      <c r="G205" s="4"/>
      <c r="H205" s="4"/>
      <c r="I205" s="4"/>
      <c r="J205" s="4"/>
      <c r="K205" s="4"/>
      <c r="L205" s="4"/>
      <c r="M205" s="4"/>
      <c r="N205" s="4"/>
      <c r="O205" s="4"/>
    </row>
    <row r="206" ht="15.75" customHeight="1">
      <c r="A206" s="4"/>
      <c r="B206" s="4"/>
      <c r="C206" s="4"/>
      <c r="D206" s="164"/>
      <c r="E206" s="59"/>
      <c r="F206" s="231"/>
      <c r="G206" s="4"/>
      <c r="H206" s="4"/>
      <c r="I206" s="4"/>
      <c r="J206" s="4"/>
      <c r="K206" s="4"/>
      <c r="L206" s="4"/>
      <c r="M206" s="4"/>
      <c r="N206" s="4"/>
      <c r="O206" s="4"/>
    </row>
    <row r="207" ht="15.75" customHeight="1">
      <c r="A207" s="4"/>
      <c r="B207" s="4"/>
      <c r="C207" s="4"/>
      <c r="D207" s="164"/>
      <c r="E207" s="59"/>
      <c r="F207" s="231"/>
      <c r="G207" s="4"/>
      <c r="H207" s="4"/>
      <c r="I207" s="4"/>
      <c r="J207" s="4"/>
      <c r="K207" s="4"/>
      <c r="L207" s="4"/>
      <c r="M207" s="4"/>
      <c r="N207" s="4"/>
      <c r="O207" s="4"/>
    </row>
    <row r="208" ht="15.75" customHeight="1">
      <c r="A208" s="4"/>
      <c r="B208" s="4"/>
      <c r="C208" s="4"/>
      <c r="D208" s="164"/>
      <c r="E208" s="59"/>
      <c r="F208" s="231"/>
      <c r="G208" s="4"/>
      <c r="H208" s="4"/>
      <c r="I208" s="4"/>
      <c r="J208" s="4"/>
      <c r="K208" s="4"/>
      <c r="L208" s="4"/>
      <c r="M208" s="4"/>
      <c r="N208" s="4"/>
      <c r="O208" s="4"/>
    </row>
    <row r="209" ht="15.75" customHeight="1">
      <c r="A209" s="4"/>
      <c r="B209" s="4"/>
      <c r="C209" s="4"/>
      <c r="D209" s="164"/>
      <c r="E209" s="59"/>
      <c r="F209" s="231"/>
      <c r="G209" s="4"/>
      <c r="H209" s="4"/>
      <c r="I209" s="4"/>
      <c r="J209" s="4"/>
      <c r="K209" s="4"/>
      <c r="L209" s="4"/>
      <c r="M209" s="4"/>
      <c r="N209" s="4"/>
      <c r="O209" s="4"/>
    </row>
    <row r="210" ht="15.75" customHeight="1">
      <c r="A210" s="4"/>
      <c r="B210" s="4"/>
      <c r="C210" s="4"/>
      <c r="D210" s="164"/>
      <c r="E210" s="59"/>
      <c r="F210" s="231"/>
      <c r="G210" s="4"/>
      <c r="H210" s="4"/>
      <c r="I210" s="4"/>
      <c r="J210" s="4"/>
      <c r="K210" s="4"/>
      <c r="L210" s="4"/>
      <c r="M210" s="4"/>
      <c r="N210" s="4"/>
      <c r="O210" s="4"/>
    </row>
    <row r="211" ht="15.75" customHeight="1">
      <c r="A211" s="4"/>
      <c r="B211" s="4"/>
      <c r="C211" s="4"/>
      <c r="D211" s="164"/>
      <c r="E211" s="59"/>
      <c r="F211" s="231"/>
      <c r="G211" s="4"/>
      <c r="H211" s="4"/>
      <c r="I211" s="4"/>
      <c r="J211" s="4"/>
      <c r="K211" s="4"/>
      <c r="L211" s="4"/>
      <c r="M211" s="4"/>
      <c r="N211" s="4"/>
      <c r="O211" s="4"/>
    </row>
    <row r="212" ht="15.75" customHeight="1">
      <c r="A212" s="4"/>
      <c r="B212" s="4"/>
      <c r="C212" s="4"/>
      <c r="D212" s="164"/>
      <c r="E212" s="59"/>
      <c r="F212" s="231"/>
      <c r="G212" s="4"/>
      <c r="H212" s="4"/>
      <c r="I212" s="4"/>
      <c r="J212" s="4"/>
      <c r="K212" s="4"/>
      <c r="L212" s="4"/>
      <c r="M212" s="4"/>
      <c r="N212" s="4"/>
      <c r="O212" s="4"/>
    </row>
    <row r="213" ht="15.75" customHeight="1">
      <c r="A213" s="4"/>
      <c r="B213" s="4"/>
      <c r="C213" s="4"/>
      <c r="D213" s="164"/>
      <c r="E213" s="59"/>
      <c r="F213" s="231"/>
      <c r="G213" s="4"/>
      <c r="H213" s="4"/>
      <c r="I213" s="4"/>
      <c r="J213" s="4"/>
      <c r="K213" s="4"/>
      <c r="L213" s="4"/>
      <c r="M213" s="4"/>
      <c r="N213" s="4"/>
      <c r="O213" s="4"/>
    </row>
    <row r="214" ht="15.75" customHeight="1">
      <c r="A214" s="4"/>
      <c r="B214" s="4"/>
      <c r="C214" s="4"/>
      <c r="D214" s="164"/>
      <c r="E214" s="59"/>
      <c r="F214" s="231"/>
      <c r="G214" s="4"/>
      <c r="H214" s="4"/>
      <c r="I214" s="4"/>
      <c r="J214" s="4"/>
      <c r="K214" s="4"/>
      <c r="L214" s="4"/>
      <c r="M214" s="4"/>
      <c r="N214" s="4"/>
      <c r="O214" s="4"/>
    </row>
    <row r="215" ht="15.75" customHeight="1">
      <c r="A215" s="4"/>
      <c r="B215" s="4"/>
      <c r="C215" s="4"/>
      <c r="D215" s="164"/>
      <c r="E215" s="59"/>
      <c r="F215" s="231"/>
      <c r="G215" s="4"/>
      <c r="H215" s="4"/>
      <c r="I215" s="4"/>
      <c r="J215" s="4"/>
      <c r="K215" s="4"/>
      <c r="L215" s="4"/>
      <c r="M215" s="4"/>
      <c r="N215" s="4"/>
      <c r="O215" s="4"/>
    </row>
    <row r="216" ht="15.75" customHeight="1">
      <c r="A216" s="4"/>
      <c r="B216" s="4"/>
      <c r="C216" s="4"/>
      <c r="D216" s="164"/>
      <c r="E216" s="59"/>
      <c r="F216" s="231"/>
      <c r="G216" s="4"/>
      <c r="H216" s="4"/>
      <c r="I216" s="4"/>
      <c r="J216" s="4"/>
      <c r="K216" s="4"/>
      <c r="L216" s="4"/>
      <c r="M216" s="4"/>
      <c r="N216" s="4"/>
      <c r="O216" s="4"/>
    </row>
    <row r="217" ht="15.75" customHeight="1">
      <c r="A217" s="4"/>
      <c r="B217" s="4"/>
      <c r="C217" s="4"/>
      <c r="D217" s="164"/>
      <c r="E217" s="59"/>
      <c r="F217" s="231"/>
      <c r="G217" s="4"/>
      <c r="H217" s="4"/>
      <c r="I217" s="4"/>
      <c r="J217" s="4"/>
      <c r="K217" s="4"/>
      <c r="L217" s="4"/>
      <c r="M217" s="4"/>
      <c r="N217" s="4"/>
      <c r="O217" s="4"/>
    </row>
    <row r="218" ht="15.75" customHeight="1">
      <c r="A218" s="4"/>
      <c r="B218" s="4"/>
      <c r="C218" s="4"/>
      <c r="D218" s="164"/>
      <c r="E218" s="59"/>
      <c r="F218" s="231"/>
      <c r="G218" s="4"/>
      <c r="H218" s="4"/>
      <c r="I218" s="4"/>
      <c r="J218" s="4"/>
      <c r="K218" s="4"/>
      <c r="L218" s="4"/>
      <c r="M218" s="4"/>
      <c r="N218" s="4"/>
      <c r="O218" s="4"/>
    </row>
    <row r="219" ht="15.75" customHeight="1">
      <c r="A219" s="4"/>
      <c r="B219" s="4"/>
      <c r="C219" s="4"/>
      <c r="D219" s="164"/>
      <c r="E219" s="59"/>
      <c r="F219" s="231"/>
      <c r="G219" s="4"/>
      <c r="H219" s="4"/>
      <c r="I219" s="4"/>
      <c r="J219" s="4"/>
      <c r="K219" s="4"/>
      <c r="L219" s="4"/>
      <c r="M219" s="4"/>
      <c r="N219" s="4"/>
      <c r="O219" s="4"/>
    </row>
    <row r="220" ht="15.75" customHeight="1">
      <c r="A220" s="4"/>
      <c r="B220" s="4"/>
      <c r="C220" s="4"/>
      <c r="D220" s="164"/>
      <c r="E220" s="59"/>
      <c r="F220" s="231"/>
      <c r="G220" s="4"/>
      <c r="H220" s="4"/>
      <c r="I220" s="4"/>
      <c r="J220" s="4"/>
      <c r="K220" s="4"/>
      <c r="L220" s="4"/>
      <c r="M220" s="4"/>
      <c r="N220" s="4"/>
      <c r="O220" s="4"/>
    </row>
    <row r="221" ht="15.75" customHeight="1">
      <c r="A221" s="4"/>
      <c r="B221" s="4"/>
      <c r="C221" s="4"/>
      <c r="D221" s="164"/>
      <c r="E221" s="59"/>
      <c r="F221" s="231"/>
      <c r="G221" s="4"/>
      <c r="H221" s="4"/>
      <c r="I221" s="4"/>
      <c r="J221" s="4"/>
      <c r="K221" s="4"/>
      <c r="L221" s="4"/>
      <c r="M221" s="4"/>
      <c r="N221" s="4"/>
      <c r="O221" s="4"/>
    </row>
    <row r="222" ht="15.75" customHeight="1">
      <c r="A222" s="4"/>
      <c r="B222" s="4"/>
      <c r="C222" s="4"/>
      <c r="D222" s="164"/>
      <c r="E222" s="59"/>
      <c r="F222" s="231"/>
      <c r="G222" s="4"/>
      <c r="H222" s="4"/>
      <c r="I222" s="4"/>
      <c r="J222" s="4"/>
      <c r="K222" s="4"/>
      <c r="L222" s="4"/>
      <c r="M222" s="4"/>
      <c r="N222" s="4"/>
      <c r="O222" s="4"/>
    </row>
    <row r="223" ht="15.75" customHeight="1">
      <c r="A223" s="4"/>
      <c r="B223" s="4"/>
      <c r="C223" s="4"/>
      <c r="D223" s="164"/>
      <c r="E223" s="59"/>
      <c r="F223" s="231"/>
      <c r="G223" s="4"/>
      <c r="H223" s="4"/>
      <c r="I223" s="4"/>
      <c r="J223" s="4"/>
      <c r="K223" s="4"/>
      <c r="L223" s="4"/>
      <c r="M223" s="4"/>
      <c r="N223" s="4"/>
      <c r="O223" s="4"/>
    </row>
    <row r="224" ht="15.75" customHeight="1">
      <c r="A224" s="4"/>
      <c r="B224" s="4"/>
      <c r="C224" s="4"/>
      <c r="D224" s="164"/>
      <c r="E224" s="59"/>
      <c r="F224" s="231"/>
      <c r="G224" s="4"/>
      <c r="H224" s="4"/>
      <c r="I224" s="4"/>
      <c r="J224" s="4"/>
      <c r="K224" s="4"/>
      <c r="L224" s="4"/>
      <c r="M224" s="4"/>
      <c r="N224" s="4"/>
      <c r="O224" s="4"/>
    </row>
    <row r="225" ht="15.75" customHeight="1">
      <c r="A225" s="4"/>
      <c r="B225" s="4"/>
      <c r="C225" s="4"/>
      <c r="D225" s="164"/>
      <c r="E225" s="59"/>
      <c r="F225" s="231"/>
      <c r="G225" s="4"/>
      <c r="H225" s="4"/>
      <c r="I225" s="4"/>
      <c r="J225" s="4"/>
      <c r="K225" s="4"/>
      <c r="L225" s="4"/>
      <c r="M225" s="4"/>
      <c r="N225" s="4"/>
      <c r="O225" s="4"/>
    </row>
    <row r="226" ht="15.75" customHeight="1">
      <c r="A226" s="4"/>
      <c r="B226" s="4"/>
      <c r="C226" s="4"/>
      <c r="D226" s="164"/>
      <c r="E226" s="59"/>
      <c r="F226" s="231"/>
      <c r="G226" s="4"/>
      <c r="H226" s="4"/>
      <c r="I226" s="4"/>
      <c r="J226" s="4"/>
      <c r="K226" s="4"/>
      <c r="L226" s="4"/>
      <c r="M226" s="4"/>
      <c r="N226" s="4"/>
      <c r="O226" s="4"/>
    </row>
    <row r="227" ht="15.75" customHeight="1">
      <c r="A227" s="4"/>
      <c r="B227" s="4"/>
      <c r="C227" s="4"/>
      <c r="D227" s="164"/>
      <c r="E227" s="59"/>
      <c r="F227" s="231"/>
      <c r="G227" s="4"/>
      <c r="H227" s="4"/>
      <c r="I227" s="4"/>
      <c r="J227" s="4"/>
      <c r="K227" s="4"/>
      <c r="L227" s="4"/>
      <c r="M227" s="4"/>
      <c r="N227" s="4"/>
      <c r="O227" s="4"/>
    </row>
    <row r="228" ht="15.75" customHeight="1">
      <c r="A228" s="4"/>
      <c r="B228" s="4"/>
      <c r="C228" s="4"/>
      <c r="D228" s="164"/>
      <c r="E228" s="59"/>
      <c r="F228" s="231"/>
      <c r="G228" s="4"/>
      <c r="H228" s="4"/>
      <c r="I228" s="4"/>
      <c r="J228" s="4"/>
      <c r="K228" s="4"/>
      <c r="L228" s="4"/>
      <c r="M228" s="4"/>
      <c r="N228" s="4"/>
      <c r="O228" s="4"/>
    </row>
    <row r="229" ht="15.75" customHeight="1">
      <c r="A229" s="4"/>
      <c r="B229" s="4"/>
      <c r="C229" s="4"/>
      <c r="D229" s="164"/>
      <c r="E229" s="59"/>
      <c r="F229" s="231"/>
      <c r="G229" s="4"/>
      <c r="H229" s="4"/>
      <c r="I229" s="4"/>
      <c r="J229" s="4"/>
      <c r="K229" s="4"/>
      <c r="L229" s="4"/>
      <c r="M229" s="4"/>
      <c r="N229" s="4"/>
      <c r="O229" s="4"/>
    </row>
    <row r="230" ht="15.75" customHeight="1">
      <c r="A230" s="4"/>
      <c r="B230" s="4"/>
      <c r="C230" s="4"/>
      <c r="D230" s="164"/>
      <c r="E230" s="59"/>
      <c r="F230" s="231"/>
      <c r="G230" s="4"/>
      <c r="H230" s="4"/>
      <c r="I230" s="4"/>
      <c r="J230" s="4"/>
      <c r="K230" s="4"/>
      <c r="L230" s="4"/>
      <c r="M230" s="4"/>
      <c r="N230" s="4"/>
      <c r="O230" s="4"/>
    </row>
    <row r="231" ht="15.75" customHeight="1">
      <c r="A231" s="4"/>
      <c r="B231" s="4"/>
      <c r="C231" s="4"/>
      <c r="D231" s="164"/>
      <c r="E231" s="59"/>
      <c r="F231" s="231"/>
      <c r="G231" s="4"/>
      <c r="H231" s="4"/>
      <c r="I231" s="4"/>
      <c r="J231" s="4"/>
      <c r="K231" s="4"/>
      <c r="L231" s="4"/>
      <c r="M231" s="4"/>
      <c r="N231" s="4"/>
      <c r="O231" s="4"/>
    </row>
    <row r="232" ht="15.75" customHeight="1">
      <c r="A232" s="4"/>
      <c r="B232" s="4"/>
      <c r="C232" s="4"/>
      <c r="D232" s="164"/>
      <c r="E232" s="59"/>
      <c r="F232" s="231"/>
      <c r="G232" s="4"/>
      <c r="H232" s="4"/>
      <c r="I232" s="4"/>
      <c r="J232" s="4"/>
      <c r="K232" s="4"/>
      <c r="L232" s="4"/>
      <c r="M232" s="4"/>
      <c r="N232" s="4"/>
      <c r="O232" s="4"/>
    </row>
    <row r="233" ht="15.75" customHeight="1">
      <c r="A233" s="4"/>
      <c r="B233" s="4"/>
      <c r="C233" s="4"/>
      <c r="D233" s="164"/>
      <c r="E233" s="59"/>
      <c r="F233" s="231"/>
      <c r="G233" s="4"/>
      <c r="H233" s="4"/>
      <c r="I233" s="4"/>
      <c r="J233" s="4"/>
      <c r="K233" s="4"/>
      <c r="L233" s="4"/>
      <c r="M233" s="4"/>
      <c r="N233" s="4"/>
      <c r="O233" s="4"/>
    </row>
    <row r="234" ht="15.75" customHeight="1">
      <c r="A234" s="4"/>
      <c r="B234" s="4"/>
      <c r="C234" s="4"/>
      <c r="D234" s="164"/>
      <c r="E234" s="59"/>
      <c r="F234" s="231"/>
      <c r="G234" s="4"/>
      <c r="H234" s="4"/>
      <c r="I234" s="4"/>
      <c r="J234" s="4"/>
      <c r="K234" s="4"/>
      <c r="L234" s="4"/>
      <c r="M234" s="4"/>
      <c r="N234" s="4"/>
      <c r="O234" s="4"/>
    </row>
    <row r="235" ht="15.75" customHeight="1">
      <c r="A235" s="4"/>
      <c r="B235" s="4"/>
      <c r="C235" s="4"/>
      <c r="D235" s="164"/>
      <c r="E235" s="59"/>
      <c r="F235" s="231"/>
      <c r="G235" s="4"/>
      <c r="H235" s="4"/>
      <c r="I235" s="4"/>
      <c r="J235" s="4"/>
      <c r="K235" s="4"/>
      <c r="L235" s="4"/>
      <c r="M235" s="4"/>
      <c r="N235" s="4"/>
      <c r="O235" s="4"/>
    </row>
    <row r="236" ht="15.75" customHeight="1">
      <c r="A236" s="4"/>
      <c r="B236" s="4"/>
      <c r="C236" s="4"/>
      <c r="D236" s="164"/>
      <c r="E236" s="59"/>
      <c r="F236" s="231"/>
      <c r="G236" s="4"/>
      <c r="H236" s="4"/>
      <c r="I236" s="4"/>
      <c r="J236" s="4"/>
      <c r="K236" s="4"/>
      <c r="L236" s="4"/>
      <c r="M236" s="4"/>
      <c r="N236" s="4"/>
      <c r="O236" s="4"/>
    </row>
    <row r="237" ht="15.75" customHeight="1">
      <c r="A237" s="4"/>
      <c r="B237" s="4"/>
      <c r="C237" s="4"/>
      <c r="D237" s="164"/>
      <c r="E237" s="59"/>
      <c r="F237" s="231"/>
      <c r="G237" s="4"/>
      <c r="H237" s="4"/>
      <c r="I237" s="4"/>
      <c r="J237" s="4"/>
      <c r="K237" s="4"/>
      <c r="L237" s="4"/>
      <c r="M237" s="4"/>
      <c r="N237" s="4"/>
      <c r="O237" s="4"/>
    </row>
    <row r="238" ht="15.75" customHeight="1">
      <c r="A238" s="4"/>
      <c r="B238" s="4"/>
      <c r="C238" s="4"/>
      <c r="D238" s="164"/>
      <c r="E238" s="59"/>
      <c r="F238" s="231"/>
      <c r="G238" s="4"/>
      <c r="H238" s="4"/>
      <c r="I238" s="4"/>
      <c r="J238" s="4"/>
      <c r="K238" s="4"/>
      <c r="L238" s="4"/>
      <c r="M238" s="4"/>
      <c r="N238" s="4"/>
      <c r="O238" s="4"/>
    </row>
    <row r="239" ht="15.75" customHeight="1">
      <c r="A239" s="4"/>
      <c r="B239" s="4"/>
      <c r="C239" s="4"/>
      <c r="D239" s="164"/>
      <c r="E239" s="59"/>
      <c r="F239" s="231"/>
      <c r="G239" s="4"/>
      <c r="H239" s="4"/>
      <c r="I239" s="4"/>
      <c r="J239" s="4"/>
      <c r="K239" s="4"/>
      <c r="L239" s="4"/>
      <c r="M239" s="4"/>
      <c r="N239" s="4"/>
      <c r="O239" s="4"/>
    </row>
    <row r="240" ht="15.75" customHeight="1">
      <c r="A240" s="4"/>
      <c r="B240" s="4"/>
      <c r="C240" s="4"/>
      <c r="D240" s="164"/>
      <c r="E240" s="59"/>
      <c r="F240" s="231"/>
      <c r="G240" s="4"/>
      <c r="H240" s="4"/>
      <c r="I240" s="4"/>
      <c r="J240" s="4"/>
      <c r="K240" s="4"/>
      <c r="L240" s="4"/>
      <c r="M240" s="4"/>
      <c r="N240" s="4"/>
      <c r="O240" s="4"/>
    </row>
    <row r="241" ht="15.75" customHeight="1">
      <c r="A241" s="4"/>
      <c r="B241" s="4"/>
      <c r="C241" s="4"/>
      <c r="D241" s="164"/>
      <c r="E241" s="59"/>
      <c r="F241" s="231"/>
      <c r="G241" s="4"/>
      <c r="H241" s="4"/>
      <c r="I241" s="4"/>
      <c r="J241" s="4"/>
      <c r="K241" s="4"/>
      <c r="L241" s="4"/>
      <c r="M241" s="4"/>
      <c r="N241" s="4"/>
      <c r="O241" s="4"/>
    </row>
    <row r="242" ht="15.75" customHeight="1">
      <c r="A242" s="4"/>
      <c r="B242" s="4"/>
      <c r="C242" s="4"/>
      <c r="D242" s="164"/>
      <c r="E242" s="59"/>
      <c r="F242" s="231"/>
      <c r="G242" s="4"/>
      <c r="H242" s="4"/>
      <c r="I242" s="4"/>
      <c r="J242" s="4"/>
      <c r="K242" s="4"/>
      <c r="L242" s="4"/>
      <c r="M242" s="4"/>
      <c r="N242" s="4"/>
      <c r="O242" s="4"/>
    </row>
    <row r="243" ht="15.75" customHeight="1">
      <c r="A243" s="4"/>
      <c r="B243" s="4"/>
      <c r="C243" s="4"/>
      <c r="D243" s="164"/>
      <c r="E243" s="59"/>
      <c r="F243" s="231"/>
      <c r="G243" s="4"/>
      <c r="H243" s="4"/>
      <c r="I243" s="4"/>
      <c r="J243" s="4"/>
      <c r="K243" s="4"/>
      <c r="L243" s="4"/>
      <c r="M243" s="4"/>
      <c r="N243" s="4"/>
      <c r="O243" s="4"/>
    </row>
    <row r="244" ht="15.75" customHeight="1">
      <c r="A244" s="4"/>
      <c r="B244" s="4"/>
      <c r="C244" s="4"/>
      <c r="D244" s="164"/>
      <c r="E244" s="59"/>
      <c r="F244" s="231"/>
      <c r="G244" s="4"/>
      <c r="H244" s="4"/>
      <c r="I244" s="4"/>
      <c r="J244" s="4"/>
      <c r="K244" s="4"/>
      <c r="L244" s="4"/>
      <c r="M244" s="4"/>
      <c r="N244" s="4"/>
      <c r="O244" s="4"/>
    </row>
    <row r="245" ht="15.75" customHeight="1">
      <c r="A245" s="4"/>
      <c r="B245" s="4"/>
      <c r="C245" s="4"/>
      <c r="D245" s="164"/>
      <c r="E245" s="59"/>
      <c r="F245" s="231"/>
      <c r="G245" s="4"/>
      <c r="H245" s="4"/>
      <c r="I245" s="4"/>
      <c r="J245" s="4"/>
      <c r="K245" s="4"/>
      <c r="L245" s="4"/>
      <c r="M245" s="4"/>
      <c r="N245" s="4"/>
      <c r="O245" s="4"/>
    </row>
    <row r="246" ht="15.75" customHeight="1">
      <c r="A246" s="4"/>
      <c r="B246" s="4"/>
      <c r="C246" s="4"/>
      <c r="D246" s="164"/>
      <c r="E246" s="59"/>
      <c r="F246" s="231"/>
      <c r="G246" s="4"/>
      <c r="H246" s="4"/>
      <c r="I246" s="4"/>
      <c r="J246" s="4"/>
      <c r="K246" s="4"/>
      <c r="L246" s="4"/>
      <c r="M246" s="4"/>
      <c r="N246" s="4"/>
      <c r="O246" s="4"/>
    </row>
    <row r="247" ht="15.75" customHeight="1">
      <c r="A247" s="4"/>
      <c r="B247" s="4"/>
      <c r="C247" s="4"/>
      <c r="D247" s="164"/>
      <c r="E247" s="59"/>
      <c r="F247" s="231"/>
      <c r="G247" s="4"/>
      <c r="H247" s="4"/>
      <c r="I247" s="4"/>
      <c r="J247" s="4"/>
      <c r="K247" s="4"/>
      <c r="L247" s="4"/>
      <c r="M247" s="4"/>
      <c r="N247" s="4"/>
      <c r="O247" s="4"/>
    </row>
    <row r="248" ht="15.75" customHeight="1">
      <c r="A248" s="4"/>
      <c r="B248" s="4"/>
      <c r="C248" s="4"/>
      <c r="D248" s="164"/>
      <c r="E248" s="59"/>
      <c r="F248" s="231"/>
      <c r="G248" s="4"/>
      <c r="H248" s="4"/>
      <c r="I248" s="4"/>
      <c r="J248" s="4"/>
      <c r="K248" s="4"/>
      <c r="L248" s="4"/>
      <c r="M248" s="4"/>
      <c r="N248" s="4"/>
      <c r="O248" s="4"/>
    </row>
    <row r="249" ht="15.75" customHeight="1">
      <c r="A249" s="4"/>
      <c r="B249" s="4"/>
      <c r="C249" s="4"/>
      <c r="D249" s="164"/>
      <c r="E249" s="59"/>
      <c r="F249" s="231"/>
      <c r="G249" s="4"/>
      <c r="H249" s="4"/>
      <c r="I249" s="4"/>
      <c r="J249" s="4"/>
      <c r="K249" s="4"/>
      <c r="L249" s="4"/>
      <c r="M249" s="4"/>
      <c r="N249" s="4"/>
      <c r="O249" s="4"/>
    </row>
    <row r="250" ht="15.75" customHeight="1">
      <c r="A250" s="4"/>
      <c r="B250" s="4"/>
      <c r="C250" s="4"/>
      <c r="D250" s="164"/>
      <c r="E250" s="59"/>
      <c r="F250" s="231"/>
      <c r="G250" s="4"/>
      <c r="H250" s="4"/>
      <c r="I250" s="4"/>
      <c r="J250" s="4"/>
      <c r="K250" s="4"/>
      <c r="L250" s="4"/>
      <c r="M250" s="4"/>
      <c r="N250" s="4"/>
      <c r="O250" s="4"/>
    </row>
    <row r="251" ht="15.75" customHeight="1">
      <c r="A251" s="4"/>
      <c r="B251" s="4"/>
      <c r="C251" s="4"/>
      <c r="D251" s="164"/>
      <c r="E251" s="59"/>
      <c r="F251" s="231"/>
      <c r="G251" s="4"/>
      <c r="H251" s="4"/>
      <c r="I251" s="4"/>
      <c r="J251" s="4"/>
      <c r="K251" s="4"/>
      <c r="L251" s="4"/>
      <c r="M251" s="4"/>
      <c r="N251" s="4"/>
      <c r="O251" s="4"/>
    </row>
    <row r="252" ht="15.75" customHeight="1">
      <c r="A252" s="4"/>
      <c r="B252" s="4"/>
      <c r="C252" s="4"/>
      <c r="D252" s="164"/>
      <c r="E252" s="59"/>
      <c r="F252" s="231"/>
      <c r="G252" s="4"/>
      <c r="H252" s="4"/>
      <c r="I252" s="4"/>
      <c r="J252" s="4"/>
      <c r="K252" s="4"/>
      <c r="L252" s="4"/>
      <c r="M252" s="4"/>
      <c r="N252" s="4"/>
      <c r="O252" s="4"/>
    </row>
    <row r="253" ht="15.75" customHeight="1">
      <c r="A253" s="4"/>
      <c r="B253" s="4"/>
      <c r="C253" s="4"/>
      <c r="D253" s="164"/>
      <c r="E253" s="59"/>
      <c r="F253" s="231"/>
      <c r="G253" s="4"/>
      <c r="H253" s="4"/>
      <c r="I253" s="4"/>
      <c r="J253" s="4"/>
      <c r="K253" s="4"/>
      <c r="L253" s="4"/>
      <c r="M253" s="4"/>
      <c r="N253" s="4"/>
      <c r="O253" s="4"/>
    </row>
    <row r="254" ht="15.75" customHeight="1">
      <c r="A254" s="4"/>
      <c r="B254" s="4"/>
      <c r="C254" s="4"/>
      <c r="D254" s="164"/>
      <c r="E254" s="59"/>
      <c r="F254" s="231"/>
      <c r="G254" s="4"/>
      <c r="H254" s="4"/>
      <c r="I254" s="4"/>
      <c r="J254" s="4"/>
      <c r="K254" s="4"/>
      <c r="L254" s="4"/>
      <c r="M254" s="4"/>
      <c r="N254" s="4"/>
      <c r="O254" s="4"/>
    </row>
    <row r="255" ht="15.75" customHeight="1">
      <c r="A255" s="4"/>
      <c r="B255" s="4"/>
      <c r="C255" s="4"/>
      <c r="D255" s="164"/>
      <c r="E255" s="59"/>
      <c r="F255" s="231"/>
      <c r="G255" s="4"/>
      <c r="H255" s="4"/>
      <c r="I255" s="4"/>
      <c r="J255" s="4"/>
      <c r="K255" s="4"/>
      <c r="L255" s="4"/>
      <c r="M255" s="4"/>
      <c r="N255" s="4"/>
      <c r="O255" s="4"/>
    </row>
    <row r="256" ht="15.75" customHeight="1">
      <c r="A256" s="4"/>
      <c r="B256" s="4"/>
      <c r="C256" s="4"/>
      <c r="D256" s="164"/>
      <c r="E256" s="59"/>
      <c r="F256" s="231"/>
      <c r="G256" s="4"/>
      <c r="H256" s="4"/>
      <c r="I256" s="4"/>
      <c r="J256" s="4"/>
      <c r="K256" s="4"/>
      <c r="L256" s="4"/>
      <c r="M256" s="4"/>
      <c r="N256" s="4"/>
      <c r="O256" s="4"/>
    </row>
    <row r="257" ht="15.75" customHeight="1">
      <c r="A257" s="4"/>
      <c r="B257" s="4"/>
      <c r="C257" s="4"/>
      <c r="D257" s="164"/>
      <c r="E257" s="59"/>
      <c r="F257" s="231"/>
      <c r="G257" s="4"/>
      <c r="H257" s="4"/>
      <c r="I257" s="4"/>
      <c r="J257" s="4"/>
      <c r="K257" s="4"/>
      <c r="L257" s="4"/>
      <c r="M257" s="4"/>
      <c r="N257" s="4"/>
      <c r="O257" s="4"/>
    </row>
    <row r="258" ht="15.75" customHeight="1">
      <c r="A258" s="4"/>
      <c r="B258" s="4"/>
      <c r="C258" s="4"/>
      <c r="D258" s="164"/>
      <c r="E258" s="59"/>
      <c r="F258" s="231"/>
      <c r="G258" s="4"/>
      <c r="H258" s="4"/>
      <c r="I258" s="4"/>
      <c r="J258" s="4"/>
      <c r="K258" s="4"/>
      <c r="L258" s="4"/>
      <c r="M258" s="4"/>
      <c r="N258" s="4"/>
      <c r="O258" s="4"/>
    </row>
    <row r="259" ht="15.75" customHeight="1">
      <c r="A259" s="4"/>
      <c r="B259" s="4"/>
      <c r="C259" s="4"/>
      <c r="D259" s="164"/>
      <c r="E259" s="59"/>
      <c r="F259" s="231"/>
      <c r="G259" s="4"/>
      <c r="H259" s="4"/>
      <c r="I259" s="4"/>
      <c r="J259" s="4"/>
      <c r="K259" s="4"/>
      <c r="L259" s="4"/>
      <c r="M259" s="4"/>
      <c r="N259" s="4"/>
      <c r="O259" s="4"/>
    </row>
    <row r="260" ht="15.75" customHeight="1">
      <c r="A260" s="4"/>
      <c r="B260" s="4"/>
      <c r="C260" s="4"/>
      <c r="D260" s="164"/>
      <c r="E260" s="59"/>
      <c r="F260" s="231"/>
      <c r="G260" s="4"/>
      <c r="H260" s="4"/>
      <c r="I260" s="4"/>
      <c r="J260" s="4"/>
      <c r="K260" s="4"/>
      <c r="L260" s="4"/>
      <c r="M260" s="4"/>
      <c r="N260" s="4"/>
      <c r="O260" s="4"/>
    </row>
    <row r="261" ht="15.75" customHeight="1">
      <c r="A261" s="4"/>
      <c r="B261" s="4"/>
      <c r="C261" s="4"/>
      <c r="D261" s="164"/>
      <c r="E261" s="59"/>
      <c r="F261" s="231"/>
      <c r="G261" s="4"/>
      <c r="H261" s="4"/>
      <c r="I261" s="4"/>
      <c r="J261" s="4"/>
      <c r="K261" s="4"/>
      <c r="L261" s="4"/>
      <c r="M261" s="4"/>
      <c r="N261" s="4"/>
      <c r="O261" s="4"/>
    </row>
    <row r="262" ht="15.75" customHeight="1">
      <c r="A262" s="4"/>
      <c r="B262" s="4"/>
      <c r="C262" s="4"/>
      <c r="D262" s="164"/>
      <c r="E262" s="59"/>
      <c r="F262" s="231"/>
      <c r="G262" s="4"/>
      <c r="H262" s="4"/>
      <c r="I262" s="4"/>
      <c r="J262" s="4"/>
      <c r="K262" s="4"/>
      <c r="L262" s="4"/>
      <c r="M262" s="4"/>
      <c r="N262" s="4"/>
      <c r="O262" s="4"/>
    </row>
    <row r="263" ht="15.75" customHeight="1">
      <c r="A263" s="4"/>
      <c r="B263" s="4"/>
      <c r="C263" s="4"/>
      <c r="D263" s="164"/>
      <c r="E263" s="59"/>
      <c r="F263" s="231"/>
      <c r="G263" s="4"/>
      <c r="H263" s="4"/>
      <c r="I263" s="4"/>
      <c r="J263" s="4"/>
      <c r="K263" s="4"/>
      <c r="L263" s="4"/>
      <c r="M263" s="4"/>
      <c r="N263" s="4"/>
      <c r="O263" s="4"/>
    </row>
    <row r="264" ht="15.75" customHeight="1">
      <c r="A264" s="4"/>
      <c r="B264" s="4"/>
      <c r="C264" s="4"/>
      <c r="D264" s="164"/>
      <c r="E264" s="59"/>
      <c r="F264" s="231"/>
      <c r="G264" s="4"/>
      <c r="H264" s="4"/>
      <c r="I264" s="4"/>
      <c r="J264" s="4"/>
      <c r="K264" s="4"/>
      <c r="L264" s="4"/>
      <c r="M264" s="4"/>
      <c r="N264" s="4"/>
      <c r="O264" s="4"/>
    </row>
    <row r="265" ht="15.75" customHeight="1">
      <c r="A265" s="4"/>
      <c r="B265" s="4"/>
      <c r="C265" s="4"/>
      <c r="D265" s="164"/>
      <c r="E265" s="59"/>
      <c r="F265" s="231"/>
      <c r="G265" s="4"/>
      <c r="H265" s="4"/>
      <c r="I265" s="4"/>
      <c r="J265" s="4"/>
      <c r="K265" s="4"/>
      <c r="L265" s="4"/>
      <c r="M265" s="4"/>
      <c r="N265" s="4"/>
      <c r="O265" s="4"/>
    </row>
    <row r="266" ht="15.75" customHeight="1">
      <c r="A266" s="4"/>
      <c r="B266" s="4"/>
      <c r="C266" s="4"/>
      <c r="D266" s="164"/>
      <c r="E266" s="59"/>
      <c r="F266" s="231"/>
      <c r="G266" s="4"/>
      <c r="H266" s="4"/>
      <c r="I266" s="4"/>
      <c r="J266" s="4"/>
      <c r="K266" s="4"/>
      <c r="L266" s="4"/>
      <c r="M266" s="4"/>
      <c r="N266" s="4"/>
      <c r="O266" s="4"/>
    </row>
    <row r="267" ht="15.75" customHeight="1">
      <c r="A267" s="4"/>
      <c r="B267" s="4"/>
      <c r="C267" s="4"/>
      <c r="D267" s="164"/>
      <c r="E267" s="59"/>
      <c r="F267" s="231"/>
      <c r="G267" s="4"/>
      <c r="H267" s="4"/>
      <c r="I267" s="4"/>
      <c r="J267" s="4"/>
      <c r="K267" s="4"/>
      <c r="L267" s="4"/>
      <c r="M267" s="4"/>
      <c r="N267" s="4"/>
      <c r="O267" s="4"/>
    </row>
    <row r="268" ht="15.75" customHeight="1">
      <c r="A268" s="4"/>
      <c r="B268" s="4"/>
      <c r="C268" s="4"/>
      <c r="D268" s="164"/>
      <c r="E268" s="59"/>
      <c r="F268" s="231"/>
      <c r="G268" s="4"/>
      <c r="H268" s="4"/>
      <c r="I268" s="4"/>
      <c r="J268" s="4"/>
      <c r="K268" s="4"/>
      <c r="L268" s="4"/>
      <c r="M268" s="4"/>
      <c r="N268" s="4"/>
      <c r="O268" s="4"/>
    </row>
    <row r="269" ht="15.75" customHeight="1">
      <c r="A269" s="4"/>
      <c r="B269" s="4"/>
      <c r="C269" s="4"/>
      <c r="D269" s="164"/>
      <c r="E269" s="59"/>
      <c r="F269" s="231"/>
      <c r="G269" s="4"/>
      <c r="H269" s="4"/>
      <c r="I269" s="4"/>
      <c r="J269" s="4"/>
      <c r="K269" s="4"/>
      <c r="L269" s="4"/>
      <c r="M269" s="4"/>
      <c r="N269" s="4"/>
      <c r="O269" s="4"/>
    </row>
    <row r="270" ht="15.75" customHeight="1">
      <c r="A270" s="4"/>
      <c r="B270" s="4"/>
      <c r="C270" s="4"/>
      <c r="D270" s="164"/>
      <c r="E270" s="59"/>
      <c r="F270" s="231"/>
      <c r="G270" s="4"/>
      <c r="H270" s="4"/>
      <c r="I270" s="4"/>
      <c r="J270" s="4"/>
      <c r="K270" s="4"/>
      <c r="L270" s="4"/>
      <c r="M270" s="4"/>
      <c r="N270" s="4"/>
      <c r="O270" s="4"/>
    </row>
    <row r="271" ht="15.75" customHeight="1">
      <c r="A271" s="4"/>
      <c r="B271" s="4"/>
      <c r="C271" s="4"/>
      <c r="D271" s="164"/>
      <c r="E271" s="59"/>
      <c r="F271" s="231"/>
      <c r="G271" s="4"/>
      <c r="H271" s="4"/>
      <c r="I271" s="4"/>
      <c r="J271" s="4"/>
      <c r="K271" s="4"/>
      <c r="L271" s="4"/>
      <c r="M271" s="4"/>
      <c r="N271" s="4"/>
      <c r="O271" s="4"/>
    </row>
    <row r="272" ht="15.75" customHeight="1">
      <c r="A272" s="4"/>
      <c r="B272" s="4"/>
      <c r="C272" s="4"/>
      <c r="D272" s="164"/>
      <c r="E272" s="59"/>
      <c r="F272" s="231"/>
      <c r="G272" s="4"/>
      <c r="H272" s="4"/>
      <c r="I272" s="4"/>
      <c r="J272" s="4"/>
      <c r="K272" s="4"/>
      <c r="L272" s="4"/>
      <c r="M272" s="4"/>
      <c r="N272" s="4"/>
      <c r="O272" s="4"/>
    </row>
    <row r="273" ht="15.75" customHeight="1">
      <c r="A273" s="4"/>
      <c r="B273" s="4"/>
      <c r="C273" s="4"/>
      <c r="D273" s="164"/>
      <c r="E273" s="59"/>
      <c r="F273" s="231"/>
      <c r="G273" s="4"/>
      <c r="H273" s="4"/>
      <c r="I273" s="4"/>
      <c r="J273" s="4"/>
      <c r="K273" s="4"/>
      <c r="L273" s="4"/>
      <c r="M273" s="4"/>
      <c r="N273" s="4"/>
      <c r="O273" s="4"/>
    </row>
    <row r="274" ht="15.75" customHeight="1">
      <c r="A274" s="4"/>
      <c r="B274" s="4"/>
      <c r="C274" s="4"/>
      <c r="D274" s="164"/>
      <c r="E274" s="59"/>
      <c r="F274" s="231"/>
      <c r="G274" s="4"/>
      <c r="H274" s="4"/>
      <c r="I274" s="4"/>
      <c r="J274" s="4"/>
      <c r="K274" s="4"/>
      <c r="L274" s="4"/>
      <c r="M274" s="4"/>
      <c r="N274" s="4"/>
      <c r="O274" s="4"/>
    </row>
    <row r="275" ht="15.75" customHeight="1">
      <c r="A275" s="4"/>
      <c r="B275" s="4"/>
      <c r="C275" s="4"/>
      <c r="D275" s="164"/>
      <c r="E275" s="59"/>
      <c r="F275" s="231"/>
      <c r="G275" s="4"/>
      <c r="H275" s="4"/>
      <c r="I275" s="4"/>
      <c r="J275" s="4"/>
      <c r="K275" s="4"/>
      <c r="L275" s="4"/>
      <c r="M275" s="4"/>
      <c r="N275" s="4"/>
      <c r="O275" s="4"/>
    </row>
    <row r="276" ht="15.75" customHeight="1">
      <c r="A276" s="4"/>
      <c r="B276" s="4"/>
      <c r="C276" s="4"/>
      <c r="D276" s="164"/>
      <c r="E276" s="59"/>
      <c r="F276" s="231"/>
      <c r="G276" s="4"/>
      <c r="H276" s="4"/>
      <c r="I276" s="4"/>
      <c r="J276" s="4"/>
      <c r="K276" s="4"/>
      <c r="L276" s="4"/>
      <c r="M276" s="4"/>
      <c r="N276" s="4"/>
      <c r="O276" s="4"/>
    </row>
    <row r="277" ht="15.75" customHeight="1">
      <c r="A277" s="4"/>
      <c r="B277" s="4"/>
      <c r="C277" s="4"/>
      <c r="D277" s="164"/>
      <c r="E277" s="59"/>
      <c r="F277" s="231"/>
      <c r="G277" s="4"/>
      <c r="H277" s="4"/>
      <c r="I277" s="4"/>
      <c r="J277" s="4"/>
      <c r="K277" s="4"/>
      <c r="L277" s="4"/>
      <c r="M277" s="4"/>
      <c r="N277" s="4"/>
      <c r="O277" s="4"/>
    </row>
    <row r="278" ht="15.75" customHeight="1">
      <c r="A278" s="4"/>
      <c r="B278" s="4"/>
      <c r="C278" s="4"/>
      <c r="D278" s="164"/>
      <c r="E278" s="59"/>
      <c r="F278" s="231"/>
      <c r="G278" s="4"/>
      <c r="H278" s="4"/>
      <c r="I278" s="4"/>
      <c r="J278" s="4"/>
      <c r="K278" s="4"/>
      <c r="L278" s="4"/>
      <c r="M278" s="4"/>
      <c r="N278" s="4"/>
      <c r="O278" s="4"/>
    </row>
    <row r="279" ht="15.75" customHeight="1">
      <c r="A279" s="4"/>
      <c r="B279" s="4"/>
      <c r="C279" s="4"/>
      <c r="D279" s="164"/>
      <c r="E279" s="59"/>
      <c r="F279" s="231"/>
      <c r="G279" s="4"/>
      <c r="H279" s="4"/>
      <c r="I279" s="4"/>
      <c r="J279" s="4"/>
      <c r="K279" s="4"/>
      <c r="L279" s="4"/>
      <c r="M279" s="4"/>
      <c r="N279" s="4"/>
      <c r="O279" s="4"/>
    </row>
    <row r="280" ht="15.75" customHeight="1">
      <c r="A280" s="4"/>
      <c r="B280" s="4"/>
      <c r="C280" s="4"/>
      <c r="D280" s="164"/>
      <c r="E280" s="59"/>
      <c r="F280" s="231"/>
      <c r="G280" s="4"/>
      <c r="H280" s="4"/>
      <c r="I280" s="4"/>
      <c r="J280" s="4"/>
      <c r="K280" s="4"/>
      <c r="L280" s="4"/>
      <c r="M280" s="4"/>
      <c r="N280" s="4"/>
      <c r="O280" s="4"/>
    </row>
    <row r="281" ht="15.75" customHeight="1">
      <c r="A281" s="4"/>
      <c r="B281" s="4"/>
      <c r="C281" s="4"/>
      <c r="D281" s="164"/>
      <c r="E281" s="59"/>
      <c r="F281" s="231"/>
      <c r="G281" s="4"/>
      <c r="H281" s="4"/>
      <c r="I281" s="4"/>
      <c r="J281" s="4"/>
      <c r="K281" s="4"/>
      <c r="L281" s="4"/>
      <c r="M281" s="4"/>
      <c r="N281" s="4"/>
      <c r="O281" s="4"/>
    </row>
    <row r="282" ht="15.75" customHeight="1">
      <c r="A282" s="4"/>
      <c r="B282" s="4"/>
      <c r="C282" s="4"/>
      <c r="D282" s="164"/>
      <c r="E282" s="59"/>
      <c r="F282" s="231"/>
      <c r="G282" s="4"/>
      <c r="H282" s="4"/>
      <c r="I282" s="4"/>
      <c r="J282" s="4"/>
      <c r="K282" s="4"/>
      <c r="L282" s="4"/>
      <c r="M282" s="4"/>
      <c r="N282" s="4"/>
      <c r="O282" s="4"/>
    </row>
    <row r="283" ht="15.75" customHeight="1">
      <c r="A283" s="4"/>
      <c r="B283" s="4"/>
      <c r="C283" s="4"/>
      <c r="D283" s="164"/>
      <c r="E283" s="59"/>
      <c r="F283" s="231"/>
      <c r="G283" s="4"/>
      <c r="H283" s="4"/>
      <c r="I283" s="4"/>
      <c r="J283" s="4"/>
      <c r="K283" s="4"/>
      <c r="L283" s="4"/>
      <c r="M283" s="4"/>
      <c r="N283" s="4"/>
      <c r="O283" s="4"/>
    </row>
    <row r="284" ht="15.75" customHeight="1">
      <c r="A284" s="4"/>
      <c r="B284" s="4"/>
      <c r="C284" s="4"/>
      <c r="D284" s="164"/>
      <c r="E284" s="59"/>
      <c r="F284" s="231"/>
      <c r="G284" s="4"/>
      <c r="H284" s="4"/>
      <c r="I284" s="4"/>
      <c r="J284" s="4"/>
      <c r="K284" s="4"/>
      <c r="L284" s="4"/>
      <c r="M284" s="4"/>
      <c r="N284" s="4"/>
      <c r="O284" s="4"/>
    </row>
    <row r="285" ht="15.75" customHeight="1">
      <c r="A285" s="4"/>
      <c r="B285" s="4"/>
      <c r="C285" s="4"/>
      <c r="D285" s="164"/>
      <c r="E285" s="59"/>
      <c r="F285" s="231"/>
      <c r="G285" s="4"/>
      <c r="H285" s="4"/>
      <c r="I285" s="4"/>
      <c r="J285" s="4"/>
      <c r="K285" s="4"/>
      <c r="L285" s="4"/>
      <c r="M285" s="4"/>
      <c r="N285" s="4"/>
      <c r="O285" s="4"/>
    </row>
    <row r="286" ht="15.75" customHeight="1">
      <c r="A286" s="4"/>
      <c r="B286" s="4"/>
      <c r="C286" s="4"/>
      <c r="D286" s="164"/>
      <c r="E286" s="59"/>
      <c r="F286" s="231"/>
      <c r="G286" s="4"/>
      <c r="H286" s="4"/>
      <c r="I286" s="4"/>
      <c r="J286" s="4"/>
      <c r="K286" s="4"/>
      <c r="L286" s="4"/>
      <c r="M286" s="4"/>
      <c r="N286" s="4"/>
      <c r="O286" s="4"/>
    </row>
    <row r="287" ht="15.75" customHeight="1">
      <c r="A287" s="4"/>
      <c r="B287" s="4"/>
      <c r="C287" s="4"/>
      <c r="D287" s="164"/>
      <c r="E287" s="59"/>
      <c r="F287" s="231"/>
      <c r="G287" s="4"/>
      <c r="H287" s="4"/>
      <c r="I287" s="4"/>
      <c r="J287" s="4"/>
      <c r="K287" s="4"/>
      <c r="L287" s="4"/>
      <c r="M287" s="4"/>
      <c r="N287" s="4"/>
      <c r="O287" s="4"/>
    </row>
    <row r="288" ht="15.75" customHeight="1">
      <c r="A288" s="4"/>
      <c r="B288" s="4"/>
      <c r="C288" s="4"/>
      <c r="D288" s="164"/>
      <c r="E288" s="59"/>
      <c r="F288" s="231"/>
      <c r="G288" s="4"/>
      <c r="H288" s="4"/>
      <c r="I288" s="4"/>
      <c r="J288" s="4"/>
      <c r="K288" s="4"/>
      <c r="L288" s="4"/>
      <c r="M288" s="4"/>
      <c r="N288" s="4"/>
      <c r="O288" s="4"/>
    </row>
    <row r="289" ht="15.75" customHeight="1">
      <c r="A289" s="4"/>
      <c r="B289" s="4"/>
      <c r="C289" s="4"/>
      <c r="D289" s="164"/>
      <c r="E289" s="59"/>
      <c r="F289" s="231"/>
      <c r="G289" s="4"/>
      <c r="H289" s="4"/>
      <c r="I289" s="4"/>
      <c r="J289" s="4"/>
      <c r="K289" s="4"/>
      <c r="L289" s="4"/>
      <c r="M289" s="4"/>
      <c r="N289" s="4"/>
      <c r="O289" s="4"/>
    </row>
    <row r="290" ht="15.75" customHeight="1">
      <c r="A290" s="4"/>
      <c r="B290" s="4"/>
      <c r="C290" s="4"/>
      <c r="D290" s="164"/>
      <c r="E290" s="59"/>
      <c r="F290" s="231"/>
      <c r="G290" s="4"/>
      <c r="H290" s="4"/>
      <c r="I290" s="4"/>
      <c r="J290" s="4"/>
      <c r="K290" s="4"/>
      <c r="L290" s="4"/>
      <c r="M290" s="4"/>
      <c r="N290" s="4"/>
      <c r="O290" s="4"/>
    </row>
    <row r="291" ht="15.75" customHeight="1">
      <c r="A291" s="4"/>
      <c r="B291" s="4"/>
      <c r="C291" s="4"/>
      <c r="D291" s="164"/>
      <c r="E291" s="59"/>
      <c r="F291" s="231"/>
      <c r="G291" s="4"/>
      <c r="H291" s="4"/>
      <c r="I291" s="4"/>
      <c r="J291" s="4"/>
      <c r="K291" s="4"/>
      <c r="L291" s="4"/>
      <c r="M291" s="4"/>
      <c r="N291" s="4"/>
      <c r="O291" s="4"/>
    </row>
    <row r="292" ht="15.75" customHeight="1">
      <c r="A292" s="4"/>
      <c r="B292" s="4"/>
      <c r="C292" s="4"/>
      <c r="D292" s="164"/>
      <c r="E292" s="59"/>
      <c r="F292" s="231"/>
      <c r="G292" s="4"/>
      <c r="H292" s="4"/>
      <c r="I292" s="4"/>
      <c r="J292" s="4"/>
      <c r="K292" s="4"/>
      <c r="L292" s="4"/>
      <c r="M292" s="4"/>
      <c r="N292" s="4"/>
      <c r="O292" s="4"/>
    </row>
    <row r="293" ht="15.75" customHeight="1">
      <c r="A293" s="4"/>
      <c r="B293" s="4"/>
      <c r="C293" s="4"/>
      <c r="D293" s="164"/>
      <c r="E293" s="59"/>
      <c r="F293" s="231"/>
      <c r="G293" s="4"/>
      <c r="H293" s="4"/>
      <c r="I293" s="4"/>
      <c r="J293" s="4"/>
      <c r="K293" s="4"/>
      <c r="L293" s="4"/>
      <c r="M293" s="4"/>
      <c r="N293" s="4"/>
      <c r="O293" s="4"/>
    </row>
    <row r="294" ht="15.75" customHeight="1">
      <c r="A294" s="4"/>
      <c r="B294" s="4"/>
      <c r="C294" s="4"/>
      <c r="D294" s="164"/>
      <c r="E294" s="59"/>
      <c r="F294" s="231"/>
      <c r="G294" s="4"/>
      <c r="H294" s="4"/>
      <c r="I294" s="4"/>
      <c r="J294" s="4"/>
      <c r="K294" s="4"/>
      <c r="L294" s="4"/>
      <c r="M294" s="4"/>
      <c r="N294" s="4"/>
      <c r="O294" s="4"/>
    </row>
    <row r="295" ht="15.75" customHeight="1">
      <c r="A295" s="4"/>
      <c r="B295" s="4"/>
      <c r="C295" s="4"/>
      <c r="D295" s="164"/>
      <c r="E295" s="59"/>
      <c r="F295" s="231"/>
      <c r="G295" s="4"/>
      <c r="H295" s="4"/>
      <c r="I295" s="4"/>
      <c r="J295" s="4"/>
      <c r="K295" s="4"/>
      <c r="L295" s="4"/>
      <c r="M295" s="4"/>
      <c r="N295" s="4"/>
      <c r="O295" s="4"/>
    </row>
    <row r="296" ht="15.75" customHeight="1">
      <c r="A296" s="4"/>
      <c r="B296" s="4"/>
      <c r="C296" s="4"/>
      <c r="D296" s="164"/>
      <c r="E296" s="59"/>
      <c r="F296" s="231"/>
      <c r="G296" s="4"/>
      <c r="H296" s="4"/>
      <c r="I296" s="4"/>
      <c r="J296" s="4"/>
      <c r="K296" s="4"/>
      <c r="L296" s="4"/>
      <c r="M296" s="4"/>
      <c r="N296" s="4"/>
      <c r="O296" s="4"/>
    </row>
    <row r="297" ht="15.75" customHeight="1">
      <c r="A297" s="4"/>
      <c r="B297" s="4"/>
      <c r="C297" s="4"/>
      <c r="D297" s="164"/>
      <c r="E297" s="59"/>
      <c r="F297" s="231"/>
      <c r="G297" s="4"/>
      <c r="H297" s="4"/>
      <c r="I297" s="4"/>
      <c r="J297" s="4"/>
      <c r="K297" s="4"/>
      <c r="L297" s="4"/>
      <c r="M297" s="4"/>
      <c r="N297" s="4"/>
      <c r="O297" s="4"/>
    </row>
    <row r="298" ht="15.75" customHeight="1">
      <c r="A298" s="4"/>
      <c r="B298" s="4"/>
      <c r="C298" s="4"/>
      <c r="D298" s="164"/>
      <c r="E298" s="59"/>
      <c r="F298" s="231"/>
      <c r="G298" s="4"/>
      <c r="H298" s="4"/>
      <c r="I298" s="4"/>
      <c r="J298" s="4"/>
      <c r="K298" s="4"/>
      <c r="L298" s="4"/>
      <c r="M298" s="4"/>
      <c r="N298" s="4"/>
      <c r="O298" s="4"/>
    </row>
    <row r="299" ht="15.75" customHeight="1">
      <c r="A299" s="4"/>
      <c r="B299" s="4"/>
      <c r="C299" s="4"/>
      <c r="D299" s="164"/>
      <c r="E299" s="59"/>
      <c r="F299" s="231"/>
      <c r="G299" s="4"/>
      <c r="H299" s="4"/>
      <c r="I299" s="4"/>
      <c r="J299" s="4"/>
      <c r="K299" s="4"/>
      <c r="L299" s="4"/>
      <c r="M299" s="4"/>
      <c r="N299" s="4"/>
      <c r="O299" s="4"/>
    </row>
    <row r="300" ht="15.75" customHeight="1">
      <c r="A300" s="4"/>
      <c r="B300" s="4"/>
      <c r="C300" s="4"/>
      <c r="D300" s="164"/>
      <c r="E300" s="59"/>
      <c r="F300" s="231"/>
      <c r="G300" s="4"/>
      <c r="H300" s="4"/>
      <c r="I300" s="4"/>
      <c r="J300" s="4"/>
      <c r="K300" s="4"/>
      <c r="L300" s="4"/>
      <c r="M300" s="4"/>
      <c r="N300" s="4"/>
      <c r="O300" s="4"/>
    </row>
    <row r="301" ht="15.75" customHeight="1">
      <c r="A301" s="4"/>
      <c r="B301" s="4"/>
      <c r="C301" s="4"/>
      <c r="D301" s="164"/>
      <c r="E301" s="59"/>
      <c r="F301" s="231"/>
      <c r="G301" s="4"/>
      <c r="H301" s="4"/>
      <c r="I301" s="4"/>
      <c r="J301" s="4"/>
      <c r="K301" s="4"/>
      <c r="L301" s="4"/>
      <c r="M301" s="4"/>
      <c r="N301" s="4"/>
      <c r="O301" s="4"/>
    </row>
    <row r="302" ht="15.75" customHeight="1">
      <c r="A302" s="4"/>
      <c r="B302" s="4"/>
      <c r="C302" s="4"/>
      <c r="D302" s="164"/>
      <c r="E302" s="59"/>
      <c r="F302" s="231"/>
      <c r="G302" s="4"/>
      <c r="H302" s="4"/>
      <c r="I302" s="4"/>
      <c r="J302" s="4"/>
      <c r="K302" s="4"/>
      <c r="L302" s="4"/>
      <c r="M302" s="4"/>
      <c r="N302" s="4"/>
      <c r="O302" s="4"/>
    </row>
    <row r="303" ht="15.75" customHeight="1">
      <c r="A303" s="4"/>
      <c r="B303" s="4"/>
      <c r="C303" s="4"/>
      <c r="D303" s="164"/>
      <c r="E303" s="59"/>
      <c r="F303" s="231"/>
      <c r="G303" s="4"/>
      <c r="H303" s="4"/>
      <c r="I303" s="4"/>
      <c r="J303" s="4"/>
      <c r="K303" s="4"/>
      <c r="L303" s="4"/>
      <c r="M303" s="4"/>
      <c r="N303" s="4"/>
      <c r="O303" s="4"/>
    </row>
    <row r="304" ht="15.75" customHeight="1">
      <c r="A304" s="4"/>
      <c r="B304" s="4"/>
      <c r="C304" s="4"/>
      <c r="D304" s="164"/>
      <c r="E304" s="59"/>
      <c r="F304" s="231"/>
      <c r="G304" s="4"/>
      <c r="H304" s="4"/>
      <c r="I304" s="4"/>
      <c r="J304" s="4"/>
      <c r="K304" s="4"/>
      <c r="L304" s="4"/>
      <c r="M304" s="4"/>
      <c r="N304" s="4"/>
      <c r="O304" s="4"/>
    </row>
    <row r="305" ht="15.75" customHeight="1">
      <c r="A305" s="4"/>
      <c r="B305" s="4"/>
      <c r="C305" s="4"/>
      <c r="D305" s="164"/>
      <c r="E305" s="59"/>
      <c r="F305" s="231"/>
      <c r="G305" s="4"/>
      <c r="H305" s="4"/>
      <c r="I305" s="4"/>
      <c r="J305" s="4"/>
      <c r="K305" s="4"/>
      <c r="L305" s="4"/>
      <c r="M305" s="4"/>
      <c r="N305" s="4"/>
      <c r="O305" s="4"/>
    </row>
    <row r="306" ht="15.75" customHeight="1">
      <c r="A306" s="4"/>
      <c r="B306" s="4"/>
      <c r="C306" s="4"/>
      <c r="D306" s="164"/>
      <c r="E306" s="59"/>
      <c r="F306" s="231"/>
      <c r="G306" s="4"/>
      <c r="H306" s="4"/>
      <c r="I306" s="4"/>
      <c r="J306" s="4"/>
      <c r="K306" s="4"/>
      <c r="L306" s="4"/>
      <c r="M306" s="4"/>
      <c r="N306" s="4"/>
      <c r="O306" s="4"/>
    </row>
    <row r="307" ht="15.75" customHeight="1">
      <c r="A307" s="4"/>
      <c r="B307" s="4"/>
      <c r="C307" s="4"/>
      <c r="D307" s="164"/>
      <c r="E307" s="59"/>
      <c r="F307" s="231"/>
      <c r="G307" s="4"/>
      <c r="H307" s="4"/>
      <c r="I307" s="4"/>
      <c r="J307" s="4"/>
      <c r="K307" s="4"/>
      <c r="L307" s="4"/>
      <c r="M307" s="4"/>
      <c r="N307" s="4"/>
      <c r="O307" s="4"/>
    </row>
    <row r="308" ht="15.75" customHeight="1">
      <c r="A308" s="4"/>
      <c r="B308" s="4"/>
      <c r="C308" s="4"/>
      <c r="D308" s="164"/>
      <c r="E308" s="59"/>
      <c r="F308" s="231"/>
      <c r="G308" s="4"/>
      <c r="H308" s="4"/>
      <c r="I308" s="4"/>
      <c r="J308" s="4"/>
      <c r="K308" s="4"/>
      <c r="L308" s="4"/>
      <c r="M308" s="4"/>
      <c r="N308" s="4"/>
      <c r="O308" s="4"/>
    </row>
    <row r="309" ht="15.75" customHeight="1">
      <c r="A309" s="4"/>
      <c r="B309" s="4"/>
      <c r="C309" s="4"/>
      <c r="D309" s="164"/>
      <c r="E309" s="59"/>
      <c r="F309" s="231"/>
      <c r="G309" s="4"/>
      <c r="H309" s="4"/>
      <c r="I309" s="4"/>
      <c r="J309" s="4"/>
      <c r="K309" s="4"/>
      <c r="L309" s="4"/>
      <c r="M309" s="4"/>
      <c r="N309" s="4"/>
      <c r="O309" s="4"/>
    </row>
    <row r="310" ht="15.75" customHeight="1">
      <c r="A310" s="4"/>
      <c r="B310" s="4"/>
      <c r="C310" s="4"/>
      <c r="D310" s="164"/>
      <c r="E310" s="59"/>
      <c r="F310" s="231"/>
      <c r="G310" s="4"/>
      <c r="H310" s="4"/>
      <c r="I310" s="4"/>
      <c r="J310" s="4"/>
      <c r="K310" s="4"/>
      <c r="L310" s="4"/>
      <c r="M310" s="4"/>
      <c r="N310" s="4"/>
      <c r="O310" s="4"/>
    </row>
    <row r="311" ht="15.75" customHeight="1">
      <c r="A311" s="4"/>
      <c r="B311" s="4"/>
      <c r="C311" s="4"/>
      <c r="D311" s="164"/>
      <c r="E311" s="59"/>
      <c r="F311" s="231"/>
      <c r="G311" s="4"/>
      <c r="H311" s="4"/>
      <c r="I311" s="4"/>
      <c r="J311" s="4"/>
      <c r="K311" s="4"/>
      <c r="L311" s="4"/>
      <c r="M311" s="4"/>
      <c r="N311" s="4"/>
      <c r="O311" s="4"/>
    </row>
    <row r="312" ht="15.75" customHeight="1">
      <c r="A312" s="4"/>
      <c r="B312" s="4"/>
      <c r="C312" s="4"/>
      <c r="D312" s="164"/>
      <c r="E312" s="59"/>
      <c r="F312" s="231"/>
      <c r="G312" s="4"/>
      <c r="H312" s="4"/>
      <c r="I312" s="4"/>
      <c r="J312" s="4"/>
      <c r="K312" s="4"/>
      <c r="L312" s="4"/>
      <c r="M312" s="4"/>
      <c r="N312" s="4"/>
      <c r="O312" s="4"/>
    </row>
    <row r="313" ht="15.75" customHeight="1">
      <c r="A313" s="4"/>
      <c r="B313" s="4"/>
      <c r="C313" s="4"/>
      <c r="D313" s="164"/>
      <c r="E313" s="59"/>
      <c r="F313" s="231"/>
      <c r="G313" s="4"/>
      <c r="H313" s="4"/>
      <c r="I313" s="4"/>
      <c r="J313" s="4"/>
      <c r="K313" s="4"/>
      <c r="L313" s="4"/>
      <c r="M313" s="4"/>
      <c r="N313" s="4"/>
      <c r="O313" s="4"/>
    </row>
    <row r="314" ht="15.75" customHeight="1">
      <c r="A314" s="4"/>
      <c r="B314" s="4"/>
      <c r="C314" s="4"/>
      <c r="D314" s="164"/>
      <c r="E314" s="59"/>
      <c r="F314" s="231"/>
      <c r="G314" s="4"/>
      <c r="H314" s="4"/>
      <c r="I314" s="4"/>
      <c r="J314" s="4"/>
      <c r="K314" s="4"/>
      <c r="L314" s="4"/>
      <c r="M314" s="4"/>
      <c r="N314" s="4"/>
      <c r="O314" s="4"/>
    </row>
    <row r="315" ht="15.75" customHeight="1">
      <c r="A315" s="4"/>
      <c r="B315" s="4"/>
      <c r="C315" s="4"/>
      <c r="D315" s="164"/>
      <c r="E315" s="59"/>
      <c r="F315" s="231"/>
      <c r="G315" s="4"/>
      <c r="H315" s="4"/>
      <c r="I315" s="4"/>
      <c r="J315" s="4"/>
      <c r="K315" s="4"/>
      <c r="L315" s="4"/>
      <c r="M315" s="4"/>
      <c r="N315" s="4"/>
      <c r="O315" s="4"/>
    </row>
    <row r="316" ht="15.75" customHeight="1">
      <c r="A316" s="4"/>
      <c r="B316" s="4"/>
      <c r="C316" s="4"/>
      <c r="D316" s="164"/>
      <c r="E316" s="59"/>
      <c r="F316" s="231"/>
      <c r="G316" s="4"/>
      <c r="H316" s="4"/>
      <c r="I316" s="4"/>
      <c r="J316" s="4"/>
      <c r="K316" s="4"/>
      <c r="L316" s="4"/>
      <c r="M316" s="4"/>
      <c r="N316" s="4"/>
      <c r="O316" s="4"/>
    </row>
    <row r="317" ht="15.75" customHeight="1">
      <c r="A317" s="4"/>
      <c r="B317" s="4"/>
      <c r="C317" s="4"/>
      <c r="D317" s="164"/>
      <c r="E317" s="59"/>
      <c r="F317" s="231"/>
      <c r="G317" s="4"/>
      <c r="H317" s="4"/>
      <c r="I317" s="4"/>
      <c r="J317" s="4"/>
      <c r="K317" s="4"/>
      <c r="L317" s="4"/>
      <c r="M317" s="4"/>
      <c r="N317" s="4"/>
      <c r="O317" s="4"/>
    </row>
    <row r="318" ht="15.75" customHeight="1">
      <c r="A318" s="4"/>
      <c r="B318" s="4"/>
      <c r="C318" s="4"/>
      <c r="D318" s="164"/>
      <c r="E318" s="59"/>
      <c r="F318" s="231"/>
      <c r="G318" s="4"/>
      <c r="H318" s="4"/>
      <c r="I318" s="4"/>
      <c r="J318" s="4"/>
      <c r="K318" s="4"/>
      <c r="L318" s="4"/>
      <c r="M318" s="4"/>
      <c r="N318" s="4"/>
      <c r="O318" s="4"/>
    </row>
    <row r="319" ht="15.75" customHeight="1">
      <c r="A319" s="4"/>
      <c r="B319" s="4"/>
      <c r="C319" s="4"/>
      <c r="D319" s="164"/>
      <c r="E319" s="59"/>
      <c r="F319" s="231"/>
      <c r="G319" s="4"/>
      <c r="H319" s="4"/>
      <c r="I319" s="4"/>
      <c r="J319" s="4"/>
      <c r="K319" s="4"/>
      <c r="L319" s="4"/>
      <c r="M319" s="4"/>
      <c r="N319" s="4"/>
      <c r="O319" s="4"/>
    </row>
    <row r="320" ht="15.75" customHeight="1">
      <c r="A320" s="4"/>
      <c r="B320" s="4"/>
      <c r="C320" s="4"/>
      <c r="D320" s="164"/>
      <c r="E320" s="59"/>
      <c r="F320" s="231"/>
      <c r="G320" s="4"/>
      <c r="H320" s="4"/>
      <c r="I320" s="4"/>
      <c r="J320" s="4"/>
      <c r="K320" s="4"/>
      <c r="L320" s="4"/>
      <c r="M320" s="4"/>
      <c r="N320" s="4"/>
      <c r="O320" s="4"/>
    </row>
    <row r="321" ht="15.75" customHeight="1">
      <c r="A321" s="4"/>
      <c r="B321" s="4"/>
      <c r="C321" s="4"/>
      <c r="D321" s="164"/>
      <c r="E321" s="59"/>
      <c r="F321" s="231"/>
      <c r="G321" s="4"/>
      <c r="H321" s="4"/>
      <c r="I321" s="4"/>
      <c r="J321" s="4"/>
      <c r="K321" s="4"/>
      <c r="L321" s="4"/>
      <c r="M321" s="4"/>
      <c r="N321" s="4"/>
      <c r="O321" s="4"/>
    </row>
    <row r="322" ht="15.75" customHeight="1">
      <c r="A322" s="4"/>
      <c r="B322" s="4"/>
      <c r="C322" s="4"/>
      <c r="D322" s="164"/>
      <c r="E322" s="59"/>
      <c r="F322" s="231"/>
      <c r="G322" s="4"/>
      <c r="H322" s="4"/>
      <c r="I322" s="4"/>
      <c r="J322" s="4"/>
      <c r="K322" s="4"/>
      <c r="L322" s="4"/>
      <c r="M322" s="4"/>
      <c r="N322" s="4"/>
      <c r="O322" s="4"/>
    </row>
    <row r="323" ht="15.75" customHeight="1">
      <c r="A323" s="4"/>
      <c r="B323" s="4"/>
      <c r="C323" s="4"/>
      <c r="D323" s="164"/>
      <c r="E323" s="59"/>
      <c r="F323" s="231"/>
      <c r="G323" s="4"/>
      <c r="H323" s="4"/>
      <c r="I323" s="4"/>
      <c r="J323" s="4"/>
      <c r="K323" s="4"/>
      <c r="L323" s="4"/>
      <c r="M323" s="4"/>
      <c r="N323" s="4"/>
      <c r="O323" s="4"/>
    </row>
    <row r="324" ht="15.75" customHeight="1">
      <c r="A324" s="4"/>
      <c r="B324" s="4"/>
      <c r="C324" s="4"/>
      <c r="D324" s="164"/>
      <c r="E324" s="59"/>
      <c r="F324" s="231"/>
      <c r="G324" s="4"/>
      <c r="H324" s="4"/>
      <c r="I324" s="4"/>
      <c r="J324" s="4"/>
      <c r="K324" s="4"/>
      <c r="L324" s="4"/>
      <c r="M324" s="4"/>
      <c r="N324" s="4"/>
      <c r="O324" s="4"/>
    </row>
    <row r="325" ht="15.75" customHeight="1">
      <c r="A325" s="4"/>
      <c r="B325" s="4"/>
      <c r="C325" s="4"/>
      <c r="D325" s="164"/>
      <c r="E325" s="59"/>
      <c r="F325" s="231"/>
      <c r="G325" s="4"/>
      <c r="H325" s="4"/>
      <c r="I325" s="4"/>
      <c r="J325" s="4"/>
      <c r="K325" s="4"/>
      <c r="L325" s="4"/>
      <c r="M325" s="4"/>
      <c r="N325" s="4"/>
      <c r="O325" s="4"/>
    </row>
    <row r="326" ht="15.75" customHeight="1">
      <c r="A326" s="4"/>
      <c r="B326" s="4"/>
      <c r="C326" s="4"/>
      <c r="D326" s="164"/>
      <c r="E326" s="59"/>
      <c r="F326" s="231"/>
      <c r="G326" s="4"/>
      <c r="H326" s="4"/>
      <c r="I326" s="4"/>
      <c r="J326" s="4"/>
      <c r="K326" s="4"/>
      <c r="L326" s="4"/>
      <c r="M326" s="4"/>
      <c r="N326" s="4"/>
      <c r="O326" s="4"/>
    </row>
    <row r="327" ht="15.75" customHeight="1">
      <c r="A327" s="4"/>
      <c r="B327" s="4"/>
      <c r="C327" s="4"/>
      <c r="D327" s="164"/>
      <c r="E327" s="59"/>
      <c r="F327" s="231"/>
      <c r="G327" s="4"/>
      <c r="H327" s="4"/>
      <c r="I327" s="4"/>
      <c r="J327" s="4"/>
      <c r="K327" s="4"/>
      <c r="L327" s="4"/>
      <c r="M327" s="4"/>
      <c r="N327" s="4"/>
      <c r="O327" s="4"/>
    </row>
    <row r="328" ht="15.75" customHeight="1">
      <c r="A328" s="4"/>
      <c r="B328" s="4"/>
      <c r="C328" s="4"/>
      <c r="D328" s="164"/>
      <c r="E328" s="59"/>
      <c r="F328" s="231"/>
      <c r="G328" s="4"/>
      <c r="H328" s="4"/>
      <c r="I328" s="4"/>
      <c r="J328" s="4"/>
      <c r="K328" s="4"/>
      <c r="L328" s="4"/>
      <c r="M328" s="4"/>
      <c r="N328" s="4"/>
      <c r="O328" s="4"/>
    </row>
    <row r="329" ht="15.75" customHeight="1">
      <c r="A329" s="4"/>
      <c r="B329" s="4"/>
      <c r="C329" s="4"/>
      <c r="D329" s="164"/>
      <c r="E329" s="59"/>
      <c r="F329" s="231"/>
      <c r="G329" s="4"/>
      <c r="H329" s="4"/>
      <c r="I329" s="4"/>
      <c r="J329" s="4"/>
      <c r="K329" s="4"/>
      <c r="L329" s="4"/>
      <c r="M329" s="4"/>
      <c r="N329" s="4"/>
      <c r="O329" s="4"/>
    </row>
    <row r="330" ht="15.75" customHeight="1">
      <c r="A330" s="4"/>
      <c r="B330" s="4"/>
      <c r="C330" s="4"/>
      <c r="D330" s="164"/>
      <c r="E330" s="59"/>
      <c r="F330" s="231"/>
      <c r="G330" s="4"/>
      <c r="H330" s="4"/>
      <c r="I330" s="4"/>
      <c r="J330" s="4"/>
      <c r="K330" s="4"/>
      <c r="L330" s="4"/>
      <c r="M330" s="4"/>
      <c r="N330" s="4"/>
      <c r="O330" s="4"/>
    </row>
    <row r="331" ht="15.75" customHeight="1">
      <c r="A331" s="4"/>
      <c r="B331" s="4"/>
      <c r="C331" s="4"/>
      <c r="D331" s="164"/>
      <c r="E331" s="59"/>
      <c r="F331" s="231"/>
      <c r="G331" s="4"/>
      <c r="H331" s="4"/>
      <c r="I331" s="4"/>
      <c r="J331" s="4"/>
      <c r="K331" s="4"/>
      <c r="L331" s="4"/>
      <c r="M331" s="4"/>
      <c r="N331" s="4"/>
      <c r="O331" s="4"/>
    </row>
    <row r="332" ht="15.75" customHeight="1">
      <c r="A332" s="4"/>
      <c r="B332" s="4"/>
      <c r="C332" s="4"/>
      <c r="D332" s="164"/>
      <c r="E332" s="59"/>
      <c r="F332" s="231"/>
      <c r="G332" s="4"/>
      <c r="H332" s="4"/>
      <c r="I332" s="4"/>
      <c r="J332" s="4"/>
      <c r="K332" s="4"/>
      <c r="L332" s="4"/>
      <c r="M332" s="4"/>
      <c r="N332" s="4"/>
      <c r="O332" s="4"/>
    </row>
    <row r="333" ht="15.75" customHeight="1">
      <c r="A333" s="4"/>
      <c r="B333" s="4"/>
      <c r="C333" s="4"/>
      <c r="D333" s="164"/>
      <c r="E333" s="59"/>
      <c r="F333" s="231"/>
      <c r="G333" s="4"/>
      <c r="H333" s="4"/>
      <c r="I333" s="4"/>
      <c r="J333" s="4"/>
      <c r="K333" s="4"/>
      <c r="L333" s="4"/>
      <c r="M333" s="4"/>
      <c r="N333" s="4"/>
      <c r="O333" s="4"/>
    </row>
    <row r="334" ht="15.75" customHeight="1">
      <c r="A334" s="4"/>
      <c r="B334" s="4"/>
      <c r="C334" s="4"/>
      <c r="D334" s="164"/>
      <c r="E334" s="59"/>
      <c r="F334" s="231"/>
      <c r="G334" s="4"/>
      <c r="H334" s="4"/>
      <c r="I334" s="4"/>
      <c r="J334" s="4"/>
      <c r="K334" s="4"/>
      <c r="L334" s="4"/>
      <c r="M334" s="4"/>
      <c r="N334" s="4"/>
      <c r="O334" s="4"/>
    </row>
    <row r="335" ht="15.75" customHeight="1">
      <c r="A335" s="4"/>
      <c r="B335" s="4"/>
      <c r="C335" s="4"/>
      <c r="D335" s="164"/>
      <c r="E335" s="59"/>
      <c r="F335" s="231"/>
      <c r="G335" s="4"/>
      <c r="H335" s="4"/>
      <c r="I335" s="4"/>
      <c r="J335" s="4"/>
      <c r="K335" s="4"/>
      <c r="L335" s="4"/>
      <c r="M335" s="4"/>
      <c r="N335" s="4"/>
      <c r="O335" s="4"/>
    </row>
    <row r="336" ht="15.75" customHeight="1">
      <c r="A336" s="4"/>
      <c r="B336" s="4"/>
      <c r="C336" s="4"/>
      <c r="D336" s="164"/>
      <c r="E336" s="59"/>
      <c r="F336" s="231"/>
      <c r="G336" s="4"/>
      <c r="H336" s="4"/>
      <c r="I336" s="4"/>
      <c r="J336" s="4"/>
      <c r="K336" s="4"/>
      <c r="L336" s="4"/>
      <c r="M336" s="4"/>
      <c r="N336" s="4"/>
      <c r="O336" s="4"/>
    </row>
    <row r="337" ht="15.75" customHeight="1">
      <c r="A337" s="4"/>
      <c r="B337" s="4"/>
      <c r="C337" s="4"/>
      <c r="D337" s="164"/>
      <c r="E337" s="59"/>
      <c r="F337" s="231"/>
      <c r="G337" s="4"/>
      <c r="H337" s="4"/>
      <c r="I337" s="4"/>
      <c r="J337" s="4"/>
      <c r="K337" s="4"/>
      <c r="L337" s="4"/>
      <c r="M337" s="4"/>
      <c r="N337" s="4"/>
      <c r="O337" s="4"/>
    </row>
    <row r="338" ht="15.75" customHeight="1">
      <c r="A338" s="4"/>
      <c r="B338" s="4"/>
      <c r="C338" s="4"/>
      <c r="D338" s="164"/>
      <c r="E338" s="59"/>
      <c r="F338" s="231"/>
      <c r="G338" s="4"/>
      <c r="H338" s="4"/>
      <c r="I338" s="4"/>
      <c r="J338" s="4"/>
      <c r="K338" s="4"/>
      <c r="L338" s="4"/>
      <c r="M338" s="4"/>
      <c r="N338" s="4"/>
      <c r="O338" s="4"/>
    </row>
    <row r="339" ht="15.75" customHeight="1">
      <c r="A339" s="4"/>
      <c r="B339" s="4"/>
      <c r="C339" s="4"/>
      <c r="D339" s="164"/>
      <c r="E339" s="59"/>
      <c r="F339" s="231"/>
      <c r="G339" s="4"/>
      <c r="H339" s="4"/>
      <c r="I339" s="4"/>
      <c r="J339" s="4"/>
      <c r="K339" s="4"/>
      <c r="L339" s="4"/>
      <c r="M339" s="4"/>
      <c r="N339" s="4"/>
      <c r="O339" s="4"/>
    </row>
    <row r="340" ht="15.75" customHeight="1">
      <c r="A340" s="4"/>
      <c r="B340" s="4"/>
      <c r="C340" s="4"/>
      <c r="D340" s="164"/>
      <c r="E340" s="59"/>
      <c r="F340" s="231"/>
      <c r="G340" s="4"/>
      <c r="H340" s="4"/>
      <c r="I340" s="4"/>
      <c r="J340" s="4"/>
      <c r="K340" s="4"/>
      <c r="L340" s="4"/>
      <c r="M340" s="4"/>
      <c r="N340" s="4"/>
      <c r="O340" s="4"/>
    </row>
    <row r="341" ht="15.75" customHeight="1">
      <c r="A341" s="4"/>
      <c r="B341" s="4"/>
      <c r="C341" s="4"/>
      <c r="D341" s="164"/>
      <c r="E341" s="59"/>
      <c r="F341" s="231"/>
      <c r="G341" s="4"/>
      <c r="H341" s="4"/>
      <c r="I341" s="4"/>
      <c r="J341" s="4"/>
      <c r="K341" s="4"/>
      <c r="L341" s="4"/>
      <c r="M341" s="4"/>
      <c r="N341" s="4"/>
      <c r="O341" s="4"/>
    </row>
    <row r="342" ht="15.75" customHeight="1">
      <c r="A342" s="4"/>
      <c r="B342" s="4"/>
      <c r="C342" s="4"/>
      <c r="D342" s="164"/>
      <c r="E342" s="59"/>
      <c r="F342" s="231"/>
      <c r="G342" s="4"/>
      <c r="H342" s="4"/>
      <c r="I342" s="4"/>
      <c r="J342" s="4"/>
      <c r="K342" s="4"/>
      <c r="L342" s="4"/>
      <c r="M342" s="4"/>
      <c r="N342" s="4"/>
      <c r="O342" s="4"/>
    </row>
    <row r="343" ht="15.75" customHeight="1">
      <c r="A343" s="4"/>
      <c r="B343" s="4"/>
      <c r="C343" s="4"/>
      <c r="D343" s="164"/>
      <c r="E343" s="59"/>
      <c r="F343" s="231"/>
      <c r="G343" s="4"/>
      <c r="H343" s="4"/>
      <c r="I343" s="4"/>
      <c r="J343" s="4"/>
      <c r="K343" s="4"/>
      <c r="L343" s="4"/>
      <c r="M343" s="4"/>
      <c r="N343" s="4"/>
      <c r="O343" s="4"/>
    </row>
    <row r="344" ht="15.75" customHeight="1">
      <c r="A344" s="4"/>
      <c r="B344" s="4"/>
      <c r="C344" s="4"/>
      <c r="D344" s="164"/>
      <c r="E344" s="59"/>
      <c r="F344" s="231"/>
      <c r="G344" s="4"/>
      <c r="H344" s="4"/>
      <c r="I344" s="4"/>
      <c r="J344" s="4"/>
      <c r="K344" s="4"/>
      <c r="L344" s="4"/>
      <c r="M344" s="4"/>
      <c r="N344" s="4"/>
      <c r="O344" s="4"/>
    </row>
    <row r="345" ht="15.75" customHeight="1">
      <c r="A345" s="4"/>
      <c r="B345" s="4"/>
      <c r="C345" s="4"/>
      <c r="D345" s="164"/>
      <c r="E345" s="59"/>
      <c r="F345" s="231"/>
      <c r="G345" s="4"/>
      <c r="H345" s="4"/>
      <c r="I345" s="4"/>
      <c r="J345" s="4"/>
      <c r="K345" s="4"/>
      <c r="L345" s="4"/>
      <c r="M345" s="4"/>
      <c r="N345" s="4"/>
      <c r="O345" s="4"/>
    </row>
    <row r="346" ht="15.75" customHeight="1">
      <c r="A346" s="4"/>
      <c r="B346" s="4"/>
      <c r="C346" s="4"/>
      <c r="D346" s="164"/>
      <c r="E346" s="59"/>
      <c r="F346" s="231"/>
      <c r="G346" s="4"/>
      <c r="H346" s="4"/>
      <c r="I346" s="4"/>
      <c r="J346" s="4"/>
      <c r="K346" s="4"/>
      <c r="L346" s="4"/>
      <c r="M346" s="4"/>
      <c r="N346" s="4"/>
      <c r="O346" s="4"/>
    </row>
    <row r="347" ht="15.75" customHeight="1">
      <c r="A347" s="4"/>
      <c r="B347" s="4"/>
      <c r="C347" s="4"/>
      <c r="D347" s="164"/>
      <c r="E347" s="59"/>
      <c r="F347" s="231"/>
      <c r="G347" s="4"/>
      <c r="H347" s="4"/>
      <c r="I347" s="4"/>
      <c r="J347" s="4"/>
      <c r="K347" s="4"/>
      <c r="L347" s="4"/>
      <c r="M347" s="4"/>
      <c r="N347" s="4"/>
      <c r="O347" s="4"/>
    </row>
    <row r="348" ht="15.75" customHeight="1">
      <c r="A348" s="4"/>
      <c r="B348" s="4"/>
      <c r="C348" s="4"/>
      <c r="D348" s="164"/>
      <c r="E348" s="59"/>
      <c r="F348" s="231"/>
      <c r="G348" s="4"/>
      <c r="H348" s="4"/>
      <c r="I348" s="4"/>
      <c r="J348" s="4"/>
      <c r="K348" s="4"/>
      <c r="L348" s="4"/>
      <c r="M348" s="4"/>
      <c r="N348" s="4"/>
      <c r="O348" s="4"/>
    </row>
    <row r="349" ht="15.75" customHeight="1">
      <c r="A349" s="4"/>
      <c r="B349" s="4"/>
      <c r="C349" s="4"/>
      <c r="D349" s="164"/>
      <c r="E349" s="59"/>
      <c r="F349" s="231"/>
      <c r="G349" s="4"/>
      <c r="H349" s="4"/>
      <c r="I349" s="4"/>
      <c r="J349" s="4"/>
      <c r="K349" s="4"/>
      <c r="L349" s="4"/>
      <c r="M349" s="4"/>
      <c r="N349" s="4"/>
      <c r="O349" s="4"/>
    </row>
    <row r="350" ht="15.75" customHeight="1">
      <c r="A350" s="4"/>
      <c r="B350" s="4"/>
      <c r="C350" s="4"/>
      <c r="D350" s="164"/>
      <c r="E350" s="59"/>
      <c r="F350" s="231"/>
      <c r="G350" s="4"/>
      <c r="H350" s="4"/>
      <c r="I350" s="4"/>
      <c r="J350" s="4"/>
      <c r="K350" s="4"/>
      <c r="L350" s="4"/>
      <c r="M350" s="4"/>
      <c r="N350" s="4"/>
      <c r="O350" s="4"/>
    </row>
    <row r="351" ht="15.75" customHeight="1">
      <c r="A351" s="4"/>
      <c r="B351" s="4"/>
      <c r="C351" s="4"/>
      <c r="D351" s="164"/>
      <c r="E351" s="59"/>
      <c r="F351" s="231"/>
      <c r="G351" s="4"/>
      <c r="H351" s="4"/>
      <c r="I351" s="4"/>
      <c r="J351" s="4"/>
      <c r="K351" s="4"/>
      <c r="L351" s="4"/>
      <c r="M351" s="4"/>
      <c r="N351" s="4"/>
      <c r="O351" s="4"/>
    </row>
    <row r="352" ht="15.75" customHeight="1">
      <c r="A352" s="4"/>
      <c r="B352" s="4"/>
      <c r="C352" s="4"/>
      <c r="D352" s="16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</row>
    <row r="353" ht="15.75" customHeight="1">
      <c r="A353" s="4"/>
      <c r="B353" s="4"/>
      <c r="C353" s="4"/>
      <c r="D353" s="16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</row>
    <row r="354" ht="15.75" customHeight="1">
      <c r="A354" s="4"/>
      <c r="B354" s="4"/>
      <c r="C354" s="4"/>
      <c r="D354" s="16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</row>
    <row r="355" ht="15.75" customHeight="1">
      <c r="A355" s="4"/>
      <c r="B355" s="4"/>
      <c r="C355" s="4"/>
      <c r="D355" s="16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</row>
    <row r="356" ht="15.75" customHeight="1">
      <c r="A356" s="4"/>
      <c r="B356" s="4"/>
      <c r="C356" s="4"/>
      <c r="D356" s="16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</row>
    <row r="357" ht="15.75" customHeight="1">
      <c r="A357" s="4"/>
      <c r="B357" s="4"/>
      <c r="C357" s="4"/>
      <c r="D357" s="16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</row>
    <row r="358" ht="15.75" customHeight="1">
      <c r="A358" s="4"/>
      <c r="B358" s="4"/>
      <c r="C358" s="4"/>
      <c r="D358" s="16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</row>
    <row r="359" ht="15.75" customHeight="1">
      <c r="A359" s="4"/>
      <c r="B359" s="4"/>
      <c r="C359" s="4"/>
      <c r="D359" s="16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</row>
    <row r="360" ht="15.75" customHeight="1">
      <c r="A360" s="4"/>
      <c r="B360" s="4"/>
      <c r="C360" s="4"/>
      <c r="D360" s="16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</row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8:C8"/>
    <mergeCell ref="A84:C84"/>
    <mergeCell ref="A126:C126"/>
    <mergeCell ref="A147:B147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57"/>
    <col customWidth="1" min="2" max="2" width="24.14"/>
    <col customWidth="1" min="3" max="3" width="9.57"/>
    <col customWidth="1" min="4" max="4" width="11.43"/>
    <col customWidth="1" min="5" max="5" width="10.57"/>
    <col customWidth="1" min="6" max="6" width="14.71"/>
    <col customWidth="1" min="7" max="7" width="17.14"/>
    <col customWidth="1" min="8" max="8" width="15.0"/>
    <col customWidth="1" min="9" max="17" width="10.71"/>
  </cols>
  <sheetData>
    <row r="1">
      <c r="A1" s="116" t="s">
        <v>5</v>
      </c>
      <c r="B1" s="117"/>
      <c r="C1" s="3"/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>
      <c r="A2" s="116" t="s">
        <v>124</v>
      </c>
      <c r="B2" s="199"/>
      <c r="C2" s="3"/>
      <c r="D2" s="3"/>
      <c r="E2" s="3"/>
      <c r="F2" s="3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>
      <c r="A3" s="116" t="s">
        <v>125</v>
      </c>
      <c r="B3" s="117"/>
      <c r="C3" s="3"/>
      <c r="D3" s="3"/>
      <c r="E3" s="3"/>
      <c r="F3" s="3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>
      <c r="A4" s="116" t="s">
        <v>127</v>
      </c>
      <c r="B4" s="117"/>
      <c r="C4" s="3" t="s">
        <v>128</v>
      </c>
      <c r="D4" s="3"/>
      <c r="E4" s="3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>
      <c r="A5" s="116" t="s">
        <v>129</v>
      </c>
      <c r="B5" s="117"/>
      <c r="C5" s="3" t="s">
        <v>128</v>
      </c>
      <c r="D5" s="3"/>
      <c r="E5" s="3"/>
      <c r="F5" s="3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>
      <c r="A6" s="232" t="s">
        <v>130</v>
      </c>
      <c r="B6" s="233" t="s">
        <v>887</v>
      </c>
      <c r="C6" s="234"/>
      <c r="D6" s="233" t="s">
        <v>888</v>
      </c>
      <c r="E6" s="234"/>
      <c r="F6" s="3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>
      <c r="A8" s="204" t="s">
        <v>236</v>
      </c>
      <c r="B8" s="204" t="s">
        <v>235</v>
      </c>
      <c r="C8" s="204" t="s">
        <v>135</v>
      </c>
      <c r="D8" s="207" t="s">
        <v>136</v>
      </c>
      <c r="E8" s="208" t="s">
        <v>237</v>
      </c>
      <c r="F8" s="207" t="s">
        <v>138</v>
      </c>
      <c r="G8" s="186" t="s">
        <v>139</v>
      </c>
      <c r="H8" s="207" t="s">
        <v>693</v>
      </c>
      <c r="I8" s="4"/>
      <c r="J8" s="4"/>
      <c r="K8" s="4"/>
      <c r="L8" s="4"/>
      <c r="M8" s="4"/>
      <c r="N8" s="4"/>
      <c r="O8" s="4"/>
      <c r="P8" s="4"/>
      <c r="Q8" s="4"/>
    </row>
    <row r="9">
      <c r="A9" s="42">
        <v>8.44343219E9</v>
      </c>
      <c r="B9" s="42" t="s">
        <v>889</v>
      </c>
      <c r="C9" s="37">
        <v>300.0</v>
      </c>
      <c r="D9" s="152">
        <v>112.0</v>
      </c>
      <c r="E9" s="37"/>
      <c r="F9" s="38">
        <f t="shared" ref="F9:F111" si="1">E9/C9</f>
        <v>0</v>
      </c>
      <c r="G9" s="71">
        <f t="shared" ref="G9:G111" si="2">(360/D9)</f>
        <v>3.214285714</v>
      </c>
      <c r="H9" s="71"/>
      <c r="I9" s="4"/>
      <c r="J9" s="4"/>
      <c r="K9" s="4"/>
      <c r="L9" s="4"/>
      <c r="M9" s="4"/>
      <c r="N9" s="4"/>
      <c r="O9" s="4"/>
      <c r="P9" s="4"/>
      <c r="Q9" s="4"/>
    </row>
    <row r="10">
      <c r="A10" s="42">
        <v>9.00773319E9</v>
      </c>
      <c r="B10" s="42" t="s">
        <v>890</v>
      </c>
      <c r="C10" s="37">
        <v>300.0</v>
      </c>
      <c r="D10" s="38">
        <v>112.0</v>
      </c>
      <c r="E10" s="37"/>
      <c r="F10" s="38">
        <f t="shared" si="1"/>
        <v>0</v>
      </c>
      <c r="G10" s="71">
        <f t="shared" si="2"/>
        <v>3.214285714</v>
      </c>
      <c r="H10" s="71"/>
      <c r="I10" s="4"/>
      <c r="J10" s="4"/>
      <c r="K10" s="4"/>
      <c r="L10" s="4"/>
      <c r="M10" s="4"/>
      <c r="N10" s="4"/>
      <c r="O10" s="4"/>
      <c r="P10" s="4"/>
      <c r="Q10" s="4"/>
    </row>
    <row r="11">
      <c r="A11" s="42">
        <v>9.00778419E9</v>
      </c>
      <c r="B11" s="42" t="s">
        <v>891</v>
      </c>
      <c r="C11" s="37">
        <v>300.0</v>
      </c>
      <c r="D11" s="38">
        <v>112.0</v>
      </c>
      <c r="E11" s="37"/>
      <c r="F11" s="38">
        <f t="shared" si="1"/>
        <v>0</v>
      </c>
      <c r="G11" s="71">
        <f t="shared" si="2"/>
        <v>3.214285714</v>
      </c>
      <c r="H11" s="71"/>
      <c r="I11" s="4"/>
      <c r="J11" s="4"/>
      <c r="K11" s="4"/>
      <c r="L11" s="4"/>
      <c r="M11" s="4"/>
      <c r="N11" s="4"/>
      <c r="O11" s="4"/>
      <c r="P11" s="4"/>
      <c r="Q11" s="4"/>
    </row>
    <row r="12">
      <c r="A12" s="42">
        <v>9.00581119E9</v>
      </c>
      <c r="B12" s="42" t="s">
        <v>892</v>
      </c>
      <c r="C12" s="37">
        <v>300.0</v>
      </c>
      <c r="D12" s="38">
        <v>112.0</v>
      </c>
      <c r="E12" s="37"/>
      <c r="F12" s="38">
        <f t="shared" si="1"/>
        <v>0</v>
      </c>
      <c r="G12" s="71">
        <f t="shared" si="2"/>
        <v>3.214285714</v>
      </c>
      <c r="H12" s="71"/>
      <c r="I12" s="4"/>
      <c r="J12" s="4"/>
      <c r="K12" s="4"/>
      <c r="L12" s="4"/>
      <c r="M12" s="4"/>
      <c r="N12" s="4"/>
      <c r="O12" s="4"/>
      <c r="P12" s="4"/>
      <c r="Q12" s="4"/>
    </row>
    <row r="13">
      <c r="A13" s="42">
        <v>9.04328419E9</v>
      </c>
      <c r="B13" s="42" t="s">
        <v>893</v>
      </c>
      <c r="C13" s="37">
        <v>300.0</v>
      </c>
      <c r="D13" s="38">
        <v>112.0</v>
      </c>
      <c r="E13" s="37"/>
      <c r="F13" s="38">
        <f t="shared" si="1"/>
        <v>0</v>
      </c>
      <c r="G13" s="71">
        <f t="shared" si="2"/>
        <v>3.214285714</v>
      </c>
      <c r="H13" s="71"/>
      <c r="I13" s="4"/>
      <c r="J13" s="4"/>
      <c r="K13" s="4"/>
      <c r="L13" s="4"/>
      <c r="M13" s="4"/>
      <c r="N13" s="4"/>
      <c r="O13" s="4"/>
      <c r="P13" s="4"/>
      <c r="Q13" s="4"/>
    </row>
    <row r="14">
      <c r="A14" s="42">
        <v>8.90656419E9</v>
      </c>
      <c r="B14" s="42" t="s">
        <v>894</v>
      </c>
      <c r="C14" s="37">
        <v>300.0</v>
      </c>
      <c r="D14" s="38">
        <v>112.0</v>
      </c>
      <c r="E14" s="37"/>
      <c r="F14" s="38">
        <f t="shared" si="1"/>
        <v>0</v>
      </c>
      <c r="G14" s="71">
        <f t="shared" si="2"/>
        <v>3.214285714</v>
      </c>
      <c r="H14" s="71"/>
      <c r="I14" s="4"/>
      <c r="J14" s="4"/>
      <c r="K14" s="4"/>
      <c r="L14" s="4"/>
      <c r="M14" s="4"/>
      <c r="N14" s="4"/>
      <c r="O14" s="4"/>
      <c r="P14" s="4"/>
      <c r="Q14" s="4"/>
    </row>
    <row r="15">
      <c r="A15" s="42">
        <v>7.02693519E9</v>
      </c>
      <c r="B15" s="42" t="s">
        <v>895</v>
      </c>
      <c r="C15" s="37">
        <v>300.0</v>
      </c>
      <c r="D15" s="38">
        <v>112.0</v>
      </c>
      <c r="E15" s="37"/>
      <c r="F15" s="38">
        <f t="shared" si="1"/>
        <v>0</v>
      </c>
      <c r="G15" s="71">
        <f t="shared" si="2"/>
        <v>3.214285714</v>
      </c>
      <c r="H15" s="71"/>
      <c r="I15" s="4"/>
      <c r="J15" s="4"/>
      <c r="K15" s="4"/>
      <c r="L15" s="4"/>
      <c r="M15" s="4"/>
      <c r="N15" s="4"/>
      <c r="O15" s="4"/>
      <c r="P15" s="4"/>
      <c r="Q15" s="4"/>
    </row>
    <row r="16">
      <c r="A16" s="42">
        <v>9.00502119E9</v>
      </c>
      <c r="B16" s="42" t="s">
        <v>896</v>
      </c>
      <c r="C16" s="37">
        <v>300.0</v>
      </c>
      <c r="D16" s="38">
        <v>112.0</v>
      </c>
      <c r="E16" s="37"/>
      <c r="F16" s="38">
        <f t="shared" si="1"/>
        <v>0</v>
      </c>
      <c r="G16" s="71">
        <f t="shared" si="2"/>
        <v>3.214285714</v>
      </c>
      <c r="H16" s="71"/>
      <c r="I16" s="4"/>
      <c r="J16" s="4"/>
      <c r="K16" s="4"/>
      <c r="L16" s="4"/>
      <c r="M16" s="4"/>
      <c r="N16" s="4"/>
      <c r="O16" s="4"/>
      <c r="P16" s="4"/>
      <c r="Q16" s="4"/>
    </row>
    <row r="17">
      <c r="A17" s="42">
        <v>8.49663319E9</v>
      </c>
      <c r="B17" s="42" t="s">
        <v>897</v>
      </c>
      <c r="C17" s="37">
        <v>100.0</v>
      </c>
      <c r="D17" s="38">
        <v>112.0</v>
      </c>
      <c r="E17" s="37"/>
      <c r="F17" s="38">
        <f t="shared" si="1"/>
        <v>0</v>
      </c>
      <c r="G17" s="71">
        <f t="shared" si="2"/>
        <v>3.214285714</v>
      </c>
      <c r="H17" s="71"/>
      <c r="I17" s="4"/>
      <c r="J17" s="4"/>
      <c r="K17" s="4"/>
      <c r="L17" s="4"/>
      <c r="M17" s="4"/>
      <c r="N17" s="4"/>
      <c r="O17" s="4"/>
      <c r="P17" s="4"/>
      <c r="Q17" s="4"/>
    </row>
    <row r="18">
      <c r="A18" s="42">
        <v>7.02757519E9</v>
      </c>
      <c r="B18" s="13" t="s">
        <v>898</v>
      </c>
      <c r="C18" s="37">
        <v>300.0</v>
      </c>
      <c r="D18" s="38">
        <v>112.0</v>
      </c>
      <c r="E18" s="37"/>
      <c r="F18" s="38">
        <f t="shared" si="1"/>
        <v>0</v>
      </c>
      <c r="G18" s="71">
        <f t="shared" si="2"/>
        <v>3.214285714</v>
      </c>
      <c r="H18" s="71"/>
      <c r="I18" s="4"/>
      <c r="J18" s="4"/>
      <c r="K18" s="4"/>
      <c r="L18" s="4"/>
      <c r="M18" s="4"/>
      <c r="N18" s="4"/>
      <c r="O18" s="4"/>
      <c r="P18" s="4"/>
      <c r="Q18" s="4"/>
    </row>
    <row r="19">
      <c r="A19" s="42">
        <v>8.93238719E9</v>
      </c>
      <c r="B19" s="13" t="s">
        <v>899</v>
      </c>
      <c r="C19" s="37">
        <v>300.0</v>
      </c>
      <c r="D19" s="38">
        <v>112.0</v>
      </c>
      <c r="E19" s="37"/>
      <c r="F19" s="38">
        <f t="shared" si="1"/>
        <v>0</v>
      </c>
      <c r="G19" s="71">
        <f t="shared" si="2"/>
        <v>3.214285714</v>
      </c>
      <c r="H19" s="71"/>
      <c r="I19" s="4"/>
      <c r="J19" s="4"/>
      <c r="K19" s="4"/>
      <c r="L19" s="4"/>
      <c r="M19" s="4"/>
      <c r="N19" s="4"/>
      <c r="O19" s="4"/>
      <c r="P19" s="4"/>
      <c r="Q19" s="4"/>
    </row>
    <row r="20" ht="15.75" customHeight="1">
      <c r="A20" s="42">
        <v>7.02724919E9</v>
      </c>
      <c r="B20" s="13" t="s">
        <v>900</v>
      </c>
      <c r="C20" s="37">
        <v>300.0</v>
      </c>
      <c r="D20" s="38">
        <v>112.0</v>
      </c>
      <c r="E20" s="37"/>
      <c r="F20" s="38">
        <f t="shared" si="1"/>
        <v>0</v>
      </c>
      <c r="G20" s="71">
        <f t="shared" si="2"/>
        <v>3.214285714</v>
      </c>
      <c r="H20" s="71"/>
      <c r="I20" s="4"/>
      <c r="J20" s="4"/>
      <c r="K20" s="4"/>
      <c r="L20" s="4"/>
      <c r="M20" s="4"/>
      <c r="N20" s="4"/>
      <c r="O20" s="4"/>
      <c r="P20" s="4"/>
      <c r="Q20" s="4"/>
    </row>
    <row r="21" ht="15.75" customHeight="1">
      <c r="A21" s="42">
        <v>7.02769919E9</v>
      </c>
      <c r="B21" s="13" t="s">
        <v>901</v>
      </c>
      <c r="C21" s="37">
        <v>300.0</v>
      </c>
      <c r="D21" s="38">
        <v>112.0</v>
      </c>
      <c r="E21" s="37"/>
      <c r="F21" s="38">
        <f t="shared" si="1"/>
        <v>0</v>
      </c>
      <c r="G21" s="71">
        <f t="shared" si="2"/>
        <v>3.214285714</v>
      </c>
      <c r="H21" s="71"/>
      <c r="I21" s="4"/>
      <c r="J21" s="4"/>
      <c r="K21" s="4"/>
      <c r="L21" s="4"/>
      <c r="M21" s="4"/>
      <c r="N21" s="4"/>
      <c r="O21" s="4"/>
      <c r="P21" s="4"/>
      <c r="Q21" s="4"/>
    </row>
    <row r="22" ht="15.75" customHeight="1">
      <c r="A22" s="42">
        <v>7.02773719E9</v>
      </c>
      <c r="B22" s="13" t="s">
        <v>902</v>
      </c>
      <c r="C22" s="37">
        <v>300.0</v>
      </c>
      <c r="D22" s="38">
        <v>112.0</v>
      </c>
      <c r="E22" s="37"/>
      <c r="F22" s="38">
        <f t="shared" si="1"/>
        <v>0</v>
      </c>
      <c r="G22" s="71">
        <f t="shared" si="2"/>
        <v>3.214285714</v>
      </c>
      <c r="H22" s="71"/>
      <c r="I22" s="4"/>
      <c r="J22" s="4"/>
      <c r="K22" s="4"/>
      <c r="L22" s="4"/>
      <c r="M22" s="4"/>
      <c r="N22" s="4"/>
      <c r="O22" s="4"/>
      <c r="P22" s="4"/>
      <c r="Q22" s="4"/>
    </row>
    <row r="23" ht="15.75" customHeight="1">
      <c r="A23" s="42">
        <v>8.94637019E9</v>
      </c>
      <c r="B23" s="13" t="s">
        <v>903</v>
      </c>
      <c r="C23" s="37">
        <v>300.0</v>
      </c>
      <c r="D23" s="38">
        <v>112.0</v>
      </c>
      <c r="E23" s="37"/>
      <c r="F23" s="38">
        <f t="shared" si="1"/>
        <v>0</v>
      </c>
      <c r="G23" s="71">
        <f t="shared" si="2"/>
        <v>3.214285714</v>
      </c>
      <c r="H23" s="71"/>
      <c r="I23" s="4"/>
      <c r="J23" s="4"/>
      <c r="K23" s="4"/>
      <c r="L23" s="4"/>
      <c r="M23" s="4"/>
      <c r="N23" s="4"/>
      <c r="O23" s="4"/>
      <c r="P23" s="4"/>
      <c r="Q23" s="4"/>
    </row>
    <row r="24" ht="15.75" customHeight="1">
      <c r="A24" s="42">
        <v>7.25849619E9</v>
      </c>
      <c r="B24" s="13" t="s">
        <v>904</v>
      </c>
      <c r="C24" s="37">
        <v>300.0</v>
      </c>
      <c r="D24" s="38">
        <v>112.0</v>
      </c>
      <c r="E24" s="37"/>
      <c r="F24" s="38">
        <f t="shared" si="1"/>
        <v>0</v>
      </c>
      <c r="G24" s="71">
        <f t="shared" si="2"/>
        <v>3.214285714</v>
      </c>
      <c r="H24" s="71"/>
      <c r="I24" s="4"/>
      <c r="J24" s="4"/>
      <c r="K24" s="4"/>
      <c r="L24" s="4"/>
      <c r="M24" s="4"/>
      <c r="N24" s="4"/>
      <c r="O24" s="4"/>
      <c r="P24" s="4"/>
      <c r="Q24" s="4"/>
    </row>
    <row r="25" ht="15.75" customHeight="1">
      <c r="A25" s="42">
        <v>7.02719219E9</v>
      </c>
      <c r="B25" s="13" t="s">
        <v>905</v>
      </c>
      <c r="C25" s="37">
        <v>100.0</v>
      </c>
      <c r="D25" s="38">
        <v>112.0</v>
      </c>
      <c r="E25" s="37"/>
      <c r="F25" s="38">
        <f t="shared" si="1"/>
        <v>0</v>
      </c>
      <c r="G25" s="71">
        <f t="shared" si="2"/>
        <v>3.214285714</v>
      </c>
      <c r="H25" s="71"/>
      <c r="I25" s="4"/>
      <c r="J25" s="4"/>
      <c r="K25" s="4"/>
      <c r="L25" s="4"/>
      <c r="M25" s="4"/>
      <c r="N25" s="4"/>
      <c r="O25" s="4"/>
      <c r="P25" s="4"/>
      <c r="Q25" s="4"/>
    </row>
    <row r="26" ht="15.75" customHeight="1">
      <c r="A26" s="42">
        <v>7.25102519E9</v>
      </c>
      <c r="B26" s="13" t="s">
        <v>906</v>
      </c>
      <c r="C26" s="37">
        <v>300.0</v>
      </c>
      <c r="D26" s="38">
        <v>112.0</v>
      </c>
      <c r="E26" s="37"/>
      <c r="F26" s="38">
        <f t="shared" si="1"/>
        <v>0</v>
      </c>
      <c r="G26" s="71">
        <f t="shared" si="2"/>
        <v>3.214285714</v>
      </c>
      <c r="H26" s="71"/>
      <c r="I26" s="4"/>
      <c r="J26" s="4"/>
      <c r="K26" s="4"/>
      <c r="L26" s="4"/>
      <c r="M26" s="4"/>
      <c r="N26" s="4"/>
      <c r="O26" s="4"/>
      <c r="P26" s="4"/>
      <c r="Q26" s="4"/>
    </row>
    <row r="27" ht="15.75" customHeight="1">
      <c r="A27" s="42">
        <v>8.89059519E9</v>
      </c>
      <c r="B27" s="13" t="s">
        <v>907</v>
      </c>
      <c r="C27" s="37">
        <v>100.0</v>
      </c>
      <c r="D27" s="38">
        <v>112.0</v>
      </c>
      <c r="E27" s="37"/>
      <c r="F27" s="38">
        <f t="shared" si="1"/>
        <v>0</v>
      </c>
      <c r="G27" s="71">
        <f t="shared" si="2"/>
        <v>3.214285714</v>
      </c>
      <c r="H27" s="71"/>
      <c r="I27" s="4"/>
      <c r="J27" s="4"/>
      <c r="K27" s="4"/>
      <c r="L27" s="4"/>
      <c r="M27" s="4"/>
      <c r="N27" s="4"/>
      <c r="O27" s="4"/>
      <c r="P27" s="4"/>
      <c r="Q27" s="4"/>
    </row>
    <row r="28" ht="15.75" customHeight="1">
      <c r="A28" s="42">
        <v>8.86031919E9</v>
      </c>
      <c r="B28" s="13" t="s">
        <v>908</v>
      </c>
      <c r="C28" s="37">
        <v>100.0</v>
      </c>
      <c r="D28" s="38">
        <v>112.0</v>
      </c>
      <c r="E28" s="37"/>
      <c r="F28" s="38">
        <f t="shared" si="1"/>
        <v>0</v>
      </c>
      <c r="G28" s="71">
        <f t="shared" si="2"/>
        <v>3.214285714</v>
      </c>
      <c r="H28" s="71"/>
      <c r="I28" s="4"/>
      <c r="J28" s="4"/>
      <c r="K28" s="4"/>
      <c r="L28" s="4"/>
      <c r="M28" s="4"/>
      <c r="N28" s="4"/>
      <c r="O28" s="4"/>
      <c r="P28" s="4"/>
      <c r="Q28" s="4"/>
    </row>
    <row r="29" ht="15.75" customHeight="1">
      <c r="A29" s="42">
        <v>8.86018119E9</v>
      </c>
      <c r="B29" s="13" t="s">
        <v>909</v>
      </c>
      <c r="C29" s="37">
        <v>100.0</v>
      </c>
      <c r="D29" s="38">
        <v>112.0</v>
      </c>
      <c r="E29" s="37"/>
      <c r="F29" s="38">
        <f t="shared" si="1"/>
        <v>0</v>
      </c>
      <c r="G29" s="71">
        <f t="shared" si="2"/>
        <v>3.214285714</v>
      </c>
      <c r="H29" s="71"/>
      <c r="I29" s="4"/>
      <c r="J29" s="4"/>
      <c r="K29" s="4"/>
      <c r="L29" s="4"/>
      <c r="M29" s="4"/>
      <c r="N29" s="4"/>
      <c r="O29" s="4"/>
      <c r="P29" s="4"/>
      <c r="Q29" s="4"/>
    </row>
    <row r="30" ht="15.75" customHeight="1">
      <c r="A30" s="42">
        <v>7.02764819E9</v>
      </c>
      <c r="B30" s="13" t="s">
        <v>910</v>
      </c>
      <c r="C30" s="37">
        <v>100.0</v>
      </c>
      <c r="D30" s="38">
        <v>112.0</v>
      </c>
      <c r="E30" s="37"/>
      <c r="F30" s="38">
        <f t="shared" si="1"/>
        <v>0</v>
      </c>
      <c r="G30" s="71">
        <f t="shared" si="2"/>
        <v>3.214285714</v>
      </c>
      <c r="H30" s="71"/>
      <c r="I30" s="4"/>
      <c r="J30" s="4"/>
      <c r="K30" s="4"/>
      <c r="L30" s="4"/>
      <c r="M30" s="4"/>
      <c r="N30" s="4"/>
      <c r="O30" s="4"/>
      <c r="P30" s="4"/>
      <c r="Q30" s="4"/>
    </row>
    <row r="31" ht="15.75" customHeight="1">
      <c r="A31" s="42">
        <v>7.02781819E9</v>
      </c>
      <c r="B31" s="13" t="s">
        <v>911</v>
      </c>
      <c r="C31" s="37">
        <v>100.0</v>
      </c>
      <c r="D31" s="38">
        <v>112.0</v>
      </c>
      <c r="E31" s="37"/>
      <c r="F31" s="38">
        <f t="shared" si="1"/>
        <v>0</v>
      </c>
      <c r="G31" s="71">
        <f t="shared" si="2"/>
        <v>3.214285714</v>
      </c>
      <c r="H31" s="71"/>
      <c r="I31" s="4"/>
      <c r="J31" s="4"/>
      <c r="K31" s="4"/>
      <c r="L31" s="4"/>
      <c r="M31" s="4"/>
      <c r="N31" s="4"/>
      <c r="O31" s="4"/>
      <c r="P31" s="4"/>
      <c r="Q31" s="4"/>
    </row>
    <row r="32" ht="15.75" customHeight="1">
      <c r="A32" s="42">
        <v>7.02716819E9</v>
      </c>
      <c r="B32" s="13" t="s">
        <v>912</v>
      </c>
      <c r="C32" s="37">
        <v>100.0</v>
      </c>
      <c r="D32" s="38">
        <v>112.0</v>
      </c>
      <c r="E32" s="37"/>
      <c r="F32" s="38">
        <f t="shared" si="1"/>
        <v>0</v>
      </c>
      <c r="G32" s="71">
        <f t="shared" si="2"/>
        <v>3.214285714</v>
      </c>
      <c r="H32" s="71"/>
      <c r="I32" s="4"/>
      <c r="J32" s="4"/>
      <c r="K32" s="4"/>
      <c r="L32" s="4"/>
      <c r="M32" s="4"/>
      <c r="N32" s="4"/>
      <c r="O32" s="4"/>
      <c r="P32" s="4"/>
      <c r="Q32" s="4"/>
    </row>
    <row r="33" ht="15.75" customHeight="1">
      <c r="A33" s="42">
        <v>7.02755919E9</v>
      </c>
      <c r="B33" s="13" t="s">
        <v>913</v>
      </c>
      <c r="C33" s="37">
        <v>100.0</v>
      </c>
      <c r="D33" s="38">
        <v>112.0</v>
      </c>
      <c r="E33" s="37"/>
      <c r="F33" s="38">
        <f t="shared" si="1"/>
        <v>0</v>
      </c>
      <c r="G33" s="71">
        <f t="shared" si="2"/>
        <v>3.214285714</v>
      </c>
      <c r="H33" s="71"/>
      <c r="I33" s="4"/>
      <c r="J33" s="4"/>
      <c r="K33" s="4"/>
      <c r="L33" s="4"/>
      <c r="M33" s="4"/>
      <c r="N33" s="4"/>
      <c r="O33" s="4"/>
      <c r="P33" s="4"/>
      <c r="Q33" s="4"/>
    </row>
    <row r="34" ht="15.75" customHeight="1">
      <c r="A34" s="211">
        <v>7.02715019E9</v>
      </c>
      <c r="B34" s="13" t="s">
        <v>914</v>
      </c>
      <c r="C34" s="37">
        <v>300.0</v>
      </c>
      <c r="D34" s="38">
        <v>112.0</v>
      </c>
      <c r="E34" s="37"/>
      <c r="F34" s="38">
        <f t="shared" si="1"/>
        <v>0</v>
      </c>
      <c r="G34" s="71">
        <f t="shared" si="2"/>
        <v>3.214285714</v>
      </c>
      <c r="H34" s="71"/>
      <c r="I34" s="4"/>
      <c r="J34" s="4"/>
      <c r="K34" s="4"/>
      <c r="L34" s="4"/>
      <c r="M34" s="4"/>
      <c r="N34" s="4"/>
      <c r="O34" s="4"/>
      <c r="P34" s="4"/>
      <c r="Q34" s="4"/>
    </row>
    <row r="35" ht="15.75" customHeight="1">
      <c r="A35" s="211">
        <v>7.68280819E9</v>
      </c>
      <c r="B35" s="13" t="s">
        <v>915</v>
      </c>
      <c r="C35" s="37">
        <v>300.0</v>
      </c>
      <c r="D35" s="38">
        <v>112.0</v>
      </c>
      <c r="E35" s="37"/>
      <c r="F35" s="38">
        <f t="shared" si="1"/>
        <v>0</v>
      </c>
      <c r="G35" s="71">
        <f t="shared" si="2"/>
        <v>3.214285714</v>
      </c>
      <c r="H35" s="71"/>
      <c r="I35" s="4"/>
      <c r="J35" s="4"/>
      <c r="K35" s="4"/>
      <c r="L35" s="4"/>
      <c r="M35" s="4"/>
      <c r="N35" s="4"/>
      <c r="O35" s="4"/>
      <c r="P35" s="4"/>
      <c r="Q35" s="4"/>
    </row>
    <row r="36" ht="15.75" customHeight="1">
      <c r="A36" s="211">
        <v>8.94672819E9</v>
      </c>
      <c r="B36" s="13" t="s">
        <v>916</v>
      </c>
      <c r="C36" s="37">
        <v>100.0</v>
      </c>
      <c r="D36" s="38">
        <v>112.0</v>
      </c>
      <c r="E36" s="37"/>
      <c r="F36" s="38">
        <f t="shared" si="1"/>
        <v>0</v>
      </c>
      <c r="G36" s="71">
        <f t="shared" si="2"/>
        <v>3.214285714</v>
      </c>
      <c r="H36" s="71"/>
      <c r="I36" s="4"/>
      <c r="J36" s="4"/>
      <c r="K36" s="4"/>
      <c r="L36" s="4"/>
      <c r="M36" s="4"/>
      <c r="N36" s="4"/>
      <c r="O36" s="4"/>
      <c r="P36" s="4"/>
      <c r="Q36" s="4"/>
    </row>
    <row r="37" ht="15.75" customHeight="1">
      <c r="A37" s="211">
        <v>7.02748619E9</v>
      </c>
      <c r="B37" s="13" t="s">
        <v>917</v>
      </c>
      <c r="C37" s="37">
        <v>100.0</v>
      </c>
      <c r="D37" s="38">
        <v>112.0</v>
      </c>
      <c r="E37" s="37"/>
      <c r="F37" s="38">
        <f t="shared" si="1"/>
        <v>0</v>
      </c>
      <c r="G37" s="71">
        <f t="shared" si="2"/>
        <v>3.214285714</v>
      </c>
      <c r="H37" s="71"/>
      <c r="I37" s="4"/>
      <c r="J37" s="4"/>
      <c r="K37" s="4"/>
      <c r="L37" s="4"/>
      <c r="M37" s="4"/>
      <c r="N37" s="4"/>
      <c r="O37" s="4"/>
      <c r="P37" s="4"/>
      <c r="Q37" s="4"/>
    </row>
    <row r="38" ht="15.75" customHeight="1">
      <c r="A38" s="211">
        <v>1.005952419E10</v>
      </c>
      <c r="B38" s="13" t="s">
        <v>918</v>
      </c>
      <c r="C38" s="37">
        <v>100.0</v>
      </c>
      <c r="D38" s="38">
        <v>112.0</v>
      </c>
      <c r="E38" s="37"/>
      <c r="F38" s="38">
        <f t="shared" si="1"/>
        <v>0</v>
      </c>
      <c r="G38" s="71">
        <f t="shared" si="2"/>
        <v>3.214285714</v>
      </c>
      <c r="H38" s="71"/>
      <c r="I38" s="4"/>
      <c r="J38" s="4"/>
      <c r="K38" s="4"/>
      <c r="L38" s="4"/>
      <c r="M38" s="4"/>
      <c r="N38" s="4"/>
      <c r="O38" s="4"/>
      <c r="P38" s="4"/>
      <c r="Q38" s="4"/>
    </row>
    <row r="39" ht="15.75" customHeight="1">
      <c r="A39" s="211">
        <v>8.79173219E9</v>
      </c>
      <c r="B39" s="13" t="s">
        <v>919</v>
      </c>
      <c r="C39" s="37">
        <v>300.0</v>
      </c>
      <c r="D39" s="38">
        <v>112.0</v>
      </c>
      <c r="E39" s="37"/>
      <c r="F39" s="38">
        <f t="shared" si="1"/>
        <v>0</v>
      </c>
      <c r="G39" s="71">
        <f t="shared" si="2"/>
        <v>3.214285714</v>
      </c>
      <c r="H39" s="71"/>
      <c r="I39" s="4"/>
      <c r="J39" s="4"/>
      <c r="K39" s="4"/>
      <c r="L39" s="4"/>
      <c r="M39" s="4"/>
      <c r="N39" s="4"/>
      <c r="O39" s="4"/>
      <c r="P39" s="4"/>
      <c r="Q39" s="4"/>
    </row>
    <row r="40" ht="15.75" customHeight="1">
      <c r="A40" s="42">
        <v>8.82861019E9</v>
      </c>
      <c r="B40" s="13" t="s">
        <v>920</v>
      </c>
      <c r="C40" s="37">
        <v>300.0</v>
      </c>
      <c r="D40" s="38">
        <v>112.0</v>
      </c>
      <c r="E40" s="37"/>
      <c r="F40" s="38">
        <f t="shared" si="1"/>
        <v>0</v>
      </c>
      <c r="G40" s="71">
        <f t="shared" si="2"/>
        <v>3.214285714</v>
      </c>
      <c r="H40" s="71"/>
      <c r="I40" s="4"/>
      <c r="J40" s="4"/>
      <c r="K40" s="4"/>
      <c r="L40" s="4"/>
      <c r="M40" s="4"/>
      <c r="N40" s="4"/>
      <c r="O40" s="4"/>
      <c r="P40" s="4"/>
      <c r="Q40" s="4"/>
    </row>
    <row r="41" ht="15.75" customHeight="1">
      <c r="A41" s="42">
        <v>9.01512419E9</v>
      </c>
      <c r="B41" s="13" t="s">
        <v>921</v>
      </c>
      <c r="C41" s="37">
        <v>300.0</v>
      </c>
      <c r="D41" s="38">
        <v>112.0</v>
      </c>
      <c r="E41" s="37"/>
      <c r="F41" s="38">
        <f t="shared" si="1"/>
        <v>0</v>
      </c>
      <c r="G41" s="71">
        <f t="shared" si="2"/>
        <v>3.214285714</v>
      </c>
      <c r="H41" s="71"/>
      <c r="I41" s="4"/>
      <c r="J41" s="4"/>
      <c r="K41" s="4"/>
      <c r="L41" s="4"/>
      <c r="M41" s="4"/>
      <c r="N41" s="4"/>
      <c r="O41" s="4"/>
      <c r="P41" s="4"/>
      <c r="Q41" s="4"/>
    </row>
    <row r="42" ht="15.75" customHeight="1">
      <c r="A42" s="42">
        <v>7.02707919E9</v>
      </c>
      <c r="B42" s="13" t="s">
        <v>922</v>
      </c>
      <c r="C42" s="37">
        <v>300.0</v>
      </c>
      <c r="D42" s="38">
        <v>112.0</v>
      </c>
      <c r="E42" s="37"/>
      <c r="F42" s="38">
        <f t="shared" si="1"/>
        <v>0</v>
      </c>
      <c r="G42" s="71">
        <f t="shared" si="2"/>
        <v>3.214285714</v>
      </c>
      <c r="H42" s="71"/>
      <c r="I42" s="4"/>
      <c r="J42" s="4"/>
      <c r="K42" s="4"/>
      <c r="L42" s="4"/>
      <c r="M42" s="4"/>
      <c r="N42" s="4"/>
      <c r="O42" s="4"/>
      <c r="P42" s="4"/>
      <c r="Q42" s="4"/>
    </row>
    <row r="43" ht="15.75" customHeight="1">
      <c r="A43" s="42">
        <v>7.02698619E9</v>
      </c>
      <c r="B43" s="13" t="s">
        <v>923</v>
      </c>
      <c r="C43" s="37">
        <v>300.0</v>
      </c>
      <c r="D43" s="38">
        <v>112.0</v>
      </c>
      <c r="E43" s="37"/>
      <c r="F43" s="38">
        <f t="shared" si="1"/>
        <v>0</v>
      </c>
      <c r="G43" s="71">
        <f t="shared" si="2"/>
        <v>3.214285714</v>
      </c>
      <c r="H43" s="71"/>
      <c r="I43" s="4"/>
      <c r="J43" s="4"/>
      <c r="K43" s="4"/>
      <c r="L43" s="4"/>
      <c r="M43" s="4"/>
      <c r="N43" s="4"/>
      <c r="O43" s="4"/>
      <c r="P43" s="4"/>
      <c r="Q43" s="4"/>
    </row>
    <row r="44" ht="15.75" customHeight="1">
      <c r="A44" s="42">
        <v>7.02700119E9</v>
      </c>
      <c r="B44" s="13" t="s">
        <v>924</v>
      </c>
      <c r="C44" s="37">
        <v>300.0</v>
      </c>
      <c r="D44" s="38">
        <v>112.0</v>
      </c>
      <c r="E44" s="37"/>
      <c r="F44" s="38">
        <f t="shared" si="1"/>
        <v>0</v>
      </c>
      <c r="G44" s="71">
        <f t="shared" si="2"/>
        <v>3.214285714</v>
      </c>
      <c r="H44" s="71"/>
      <c r="I44" s="4"/>
      <c r="J44" s="4"/>
      <c r="K44" s="4"/>
      <c r="L44" s="4"/>
      <c r="M44" s="4"/>
      <c r="N44" s="4"/>
      <c r="O44" s="4"/>
      <c r="P44" s="4"/>
      <c r="Q44" s="4"/>
    </row>
    <row r="45" ht="15.75" customHeight="1">
      <c r="A45" s="42">
        <v>7.02702819E9</v>
      </c>
      <c r="B45" s="13" t="s">
        <v>925</v>
      </c>
      <c r="C45" s="37">
        <v>300.0</v>
      </c>
      <c r="D45" s="38">
        <v>112.0</v>
      </c>
      <c r="E45" s="37"/>
      <c r="F45" s="38">
        <f t="shared" si="1"/>
        <v>0</v>
      </c>
      <c r="G45" s="71">
        <f t="shared" si="2"/>
        <v>3.214285714</v>
      </c>
      <c r="H45" s="71"/>
      <c r="I45" s="4"/>
      <c r="J45" s="4"/>
      <c r="K45" s="4"/>
      <c r="L45" s="4"/>
      <c r="M45" s="4"/>
      <c r="N45" s="4"/>
      <c r="O45" s="4"/>
      <c r="P45" s="4"/>
      <c r="Q45" s="4"/>
    </row>
    <row r="46" ht="15.75" customHeight="1">
      <c r="A46" s="42">
        <v>7.29996619E9</v>
      </c>
      <c r="B46" s="13" t="s">
        <v>926</v>
      </c>
      <c r="C46" s="37">
        <v>300.0</v>
      </c>
      <c r="D46" s="38">
        <v>112.0</v>
      </c>
      <c r="E46" s="37"/>
      <c r="F46" s="38">
        <f t="shared" si="1"/>
        <v>0</v>
      </c>
      <c r="G46" s="71">
        <f t="shared" si="2"/>
        <v>3.214285714</v>
      </c>
      <c r="H46" s="71"/>
      <c r="I46" s="4"/>
      <c r="J46" s="4"/>
      <c r="K46" s="4"/>
      <c r="L46" s="4"/>
      <c r="M46" s="4"/>
      <c r="N46" s="4"/>
      <c r="O46" s="4"/>
      <c r="P46" s="4"/>
      <c r="Q46" s="4"/>
    </row>
    <row r="47" ht="15.75" customHeight="1">
      <c r="A47" s="42">
        <v>9.00570619E9</v>
      </c>
      <c r="B47" s="13" t="s">
        <v>927</v>
      </c>
      <c r="C47" s="37">
        <v>300.0</v>
      </c>
      <c r="D47" s="38">
        <v>112.0</v>
      </c>
      <c r="E47" s="37"/>
      <c r="F47" s="38">
        <f t="shared" si="1"/>
        <v>0</v>
      </c>
      <c r="G47" s="71">
        <f t="shared" si="2"/>
        <v>3.214285714</v>
      </c>
      <c r="H47" s="71"/>
      <c r="I47" s="4"/>
      <c r="J47" s="4"/>
      <c r="K47" s="4"/>
      <c r="L47" s="4"/>
      <c r="M47" s="4"/>
      <c r="N47" s="4"/>
      <c r="O47" s="4"/>
      <c r="P47" s="4"/>
      <c r="Q47" s="4"/>
    </row>
    <row r="48" ht="15.75" customHeight="1">
      <c r="A48" s="42">
        <v>7.29998219E9</v>
      </c>
      <c r="B48" s="13" t="s">
        <v>928</v>
      </c>
      <c r="C48" s="37">
        <v>300.0</v>
      </c>
      <c r="D48" s="38">
        <v>112.0</v>
      </c>
      <c r="E48" s="37"/>
      <c r="F48" s="38">
        <f t="shared" si="1"/>
        <v>0</v>
      </c>
      <c r="G48" s="71">
        <f t="shared" si="2"/>
        <v>3.214285714</v>
      </c>
      <c r="H48" s="71"/>
      <c r="I48" s="4"/>
      <c r="J48" s="4"/>
      <c r="K48" s="4"/>
      <c r="L48" s="4"/>
      <c r="M48" s="4"/>
      <c r="N48" s="4"/>
      <c r="O48" s="4"/>
      <c r="P48" s="4"/>
      <c r="Q48" s="4"/>
    </row>
    <row r="49" ht="15.75" customHeight="1">
      <c r="A49" s="42">
        <v>8.81732419E9</v>
      </c>
      <c r="B49" s="13" t="s">
        <v>929</v>
      </c>
      <c r="C49" s="37">
        <v>100.0</v>
      </c>
      <c r="D49" s="38">
        <v>112.0</v>
      </c>
      <c r="E49" s="37"/>
      <c r="F49" s="38">
        <f t="shared" si="1"/>
        <v>0</v>
      </c>
      <c r="G49" s="71">
        <f t="shared" si="2"/>
        <v>3.214285714</v>
      </c>
      <c r="H49" s="71"/>
      <c r="I49" s="4"/>
      <c r="J49" s="4"/>
      <c r="K49" s="4"/>
      <c r="L49" s="4"/>
      <c r="M49" s="4"/>
      <c r="N49" s="4"/>
      <c r="O49" s="4"/>
      <c r="P49" s="4"/>
      <c r="Q49" s="4"/>
    </row>
    <row r="50" ht="15.75" customHeight="1">
      <c r="A50" s="42">
        <v>7.02747819E9</v>
      </c>
      <c r="B50" s="13" t="s">
        <v>930</v>
      </c>
      <c r="C50" s="37">
        <v>100.0</v>
      </c>
      <c r="D50" s="38">
        <v>112.0</v>
      </c>
      <c r="E50" s="37"/>
      <c r="F50" s="38">
        <f t="shared" si="1"/>
        <v>0</v>
      </c>
      <c r="G50" s="71">
        <f t="shared" si="2"/>
        <v>3.214285714</v>
      </c>
      <c r="H50" s="71"/>
      <c r="I50" s="4"/>
      <c r="J50" s="4"/>
      <c r="K50" s="4"/>
      <c r="L50" s="4"/>
      <c r="M50" s="4"/>
      <c r="N50" s="4"/>
      <c r="O50" s="4"/>
      <c r="P50" s="4"/>
      <c r="Q50" s="4"/>
    </row>
    <row r="51" ht="15.75" customHeight="1">
      <c r="A51" s="42">
        <v>9.01504319E9</v>
      </c>
      <c r="B51" s="13" t="s">
        <v>931</v>
      </c>
      <c r="C51" s="37">
        <v>300.0</v>
      </c>
      <c r="D51" s="38">
        <v>112.0</v>
      </c>
      <c r="E51" s="37"/>
      <c r="F51" s="38">
        <f t="shared" si="1"/>
        <v>0</v>
      </c>
      <c r="G51" s="71">
        <f t="shared" si="2"/>
        <v>3.214285714</v>
      </c>
      <c r="H51" s="71"/>
      <c r="I51" s="4"/>
      <c r="J51" s="4"/>
      <c r="K51" s="4"/>
      <c r="L51" s="4"/>
      <c r="M51" s="4"/>
      <c r="N51" s="4"/>
      <c r="O51" s="4"/>
      <c r="P51" s="4"/>
      <c r="Q51" s="4"/>
    </row>
    <row r="52" ht="15.75" customHeight="1">
      <c r="A52" s="42">
        <v>9.00769519E9</v>
      </c>
      <c r="B52" s="13" t="s">
        <v>932</v>
      </c>
      <c r="C52" s="37">
        <v>100.0</v>
      </c>
      <c r="D52" s="38">
        <v>112.0</v>
      </c>
      <c r="E52" s="37"/>
      <c r="F52" s="38">
        <f t="shared" si="1"/>
        <v>0</v>
      </c>
      <c r="G52" s="71">
        <f t="shared" si="2"/>
        <v>3.214285714</v>
      </c>
      <c r="H52" s="71"/>
      <c r="I52" s="4"/>
      <c r="J52" s="4"/>
      <c r="K52" s="4"/>
      <c r="L52" s="4"/>
      <c r="M52" s="4"/>
      <c r="N52" s="4"/>
      <c r="O52" s="4"/>
      <c r="P52" s="4"/>
      <c r="Q52" s="4"/>
    </row>
    <row r="53" ht="15.75" customHeight="1">
      <c r="A53" s="42">
        <v>7.02825319E9</v>
      </c>
      <c r="B53" s="13" t="s">
        <v>933</v>
      </c>
      <c r="C53" s="37">
        <v>100.0</v>
      </c>
      <c r="D53" s="38">
        <v>112.0</v>
      </c>
      <c r="E53" s="37"/>
      <c r="F53" s="38">
        <f t="shared" si="1"/>
        <v>0</v>
      </c>
      <c r="G53" s="71">
        <f t="shared" si="2"/>
        <v>3.214285714</v>
      </c>
      <c r="H53" s="71"/>
      <c r="I53" s="4"/>
      <c r="J53" s="4"/>
      <c r="K53" s="4"/>
      <c r="L53" s="4"/>
      <c r="M53" s="4"/>
      <c r="N53" s="4"/>
      <c r="O53" s="4"/>
      <c r="P53" s="4"/>
      <c r="Q53" s="4"/>
    </row>
    <row r="54" ht="15.75" customHeight="1">
      <c r="A54" s="42">
        <v>7.02721419E9</v>
      </c>
      <c r="B54" s="13" t="s">
        <v>934</v>
      </c>
      <c r="C54" s="37">
        <v>100.0</v>
      </c>
      <c r="D54" s="38">
        <v>112.0</v>
      </c>
      <c r="E54" s="37"/>
      <c r="F54" s="38">
        <f t="shared" si="1"/>
        <v>0</v>
      </c>
      <c r="G54" s="71">
        <f t="shared" si="2"/>
        <v>3.214285714</v>
      </c>
      <c r="H54" s="71"/>
      <c r="I54" s="4"/>
      <c r="J54" s="4"/>
      <c r="K54" s="4"/>
      <c r="L54" s="4"/>
      <c r="M54" s="4"/>
      <c r="N54" s="4"/>
      <c r="O54" s="4"/>
      <c r="P54" s="4"/>
      <c r="Q54" s="4"/>
    </row>
    <row r="55" ht="15.75" customHeight="1">
      <c r="A55" s="42">
        <v>7.02708719E9</v>
      </c>
      <c r="B55" s="13" t="s">
        <v>935</v>
      </c>
      <c r="C55" s="37">
        <v>100.0</v>
      </c>
      <c r="D55" s="38">
        <v>112.0</v>
      </c>
      <c r="E55" s="37"/>
      <c r="F55" s="38">
        <f t="shared" si="1"/>
        <v>0</v>
      </c>
      <c r="G55" s="71">
        <f t="shared" si="2"/>
        <v>3.214285714</v>
      </c>
      <c r="H55" s="71"/>
      <c r="I55" s="4"/>
      <c r="J55" s="4"/>
      <c r="K55" s="4"/>
      <c r="L55" s="4"/>
      <c r="M55" s="4"/>
      <c r="N55" s="4"/>
      <c r="O55" s="4"/>
      <c r="P55" s="4"/>
      <c r="Q55" s="4"/>
    </row>
    <row r="56" ht="15.75" customHeight="1">
      <c r="A56" s="42">
        <v>7.02758319E9</v>
      </c>
      <c r="B56" s="13" t="s">
        <v>936</v>
      </c>
      <c r="C56" s="37">
        <v>100.0</v>
      </c>
      <c r="D56" s="38">
        <v>112.0</v>
      </c>
      <c r="E56" s="37"/>
      <c r="F56" s="38">
        <f t="shared" si="1"/>
        <v>0</v>
      </c>
      <c r="G56" s="71">
        <f t="shared" si="2"/>
        <v>3.214285714</v>
      </c>
      <c r="H56" s="71"/>
      <c r="I56" s="4"/>
      <c r="J56" s="4"/>
      <c r="K56" s="4"/>
      <c r="L56" s="4"/>
      <c r="M56" s="4"/>
      <c r="N56" s="4"/>
      <c r="O56" s="4"/>
      <c r="P56" s="4"/>
      <c r="Q56" s="4"/>
    </row>
    <row r="57" ht="15.75" customHeight="1">
      <c r="A57" s="42">
        <v>8.94680919E9</v>
      </c>
      <c r="B57" s="13" t="s">
        <v>937</v>
      </c>
      <c r="C57" s="37">
        <v>100.0</v>
      </c>
      <c r="D57" s="38">
        <v>112.0</v>
      </c>
      <c r="E57" s="37"/>
      <c r="F57" s="38">
        <f t="shared" si="1"/>
        <v>0</v>
      </c>
      <c r="G57" s="71">
        <f t="shared" si="2"/>
        <v>3.214285714</v>
      </c>
      <c r="H57" s="71"/>
      <c r="I57" s="4"/>
      <c r="J57" s="4"/>
      <c r="K57" s="4"/>
      <c r="L57" s="4"/>
      <c r="M57" s="4"/>
      <c r="N57" s="4"/>
      <c r="O57" s="4"/>
      <c r="P57" s="4"/>
      <c r="Q57" s="4"/>
    </row>
    <row r="58" ht="15.75" customHeight="1">
      <c r="A58" s="42">
        <v>9.31535719E9</v>
      </c>
      <c r="B58" s="13" t="s">
        <v>938</v>
      </c>
      <c r="C58" s="37">
        <v>300.0</v>
      </c>
      <c r="D58" s="38">
        <v>112.0</v>
      </c>
      <c r="E58" s="37"/>
      <c r="F58" s="38">
        <f t="shared" si="1"/>
        <v>0</v>
      </c>
      <c r="G58" s="71">
        <f t="shared" si="2"/>
        <v>3.214285714</v>
      </c>
      <c r="H58" s="71"/>
      <c r="I58" s="4"/>
      <c r="J58" s="4"/>
      <c r="K58" s="4"/>
      <c r="L58" s="4"/>
      <c r="M58" s="4"/>
      <c r="N58" s="4"/>
      <c r="O58" s="4"/>
      <c r="P58" s="4"/>
      <c r="Q58" s="4"/>
    </row>
    <row r="59" ht="15.75" customHeight="1">
      <c r="A59" s="42">
        <v>7.02805919E9</v>
      </c>
      <c r="B59" s="13" t="s">
        <v>939</v>
      </c>
      <c r="C59" s="37">
        <v>300.0</v>
      </c>
      <c r="D59" s="38">
        <v>112.0</v>
      </c>
      <c r="E59" s="37"/>
      <c r="F59" s="38">
        <f t="shared" si="1"/>
        <v>0</v>
      </c>
      <c r="G59" s="71">
        <f t="shared" si="2"/>
        <v>3.214285714</v>
      </c>
      <c r="H59" s="71"/>
      <c r="I59" s="4"/>
      <c r="J59" s="4"/>
      <c r="K59" s="4"/>
      <c r="L59" s="4"/>
      <c r="M59" s="4"/>
      <c r="N59" s="4"/>
      <c r="O59" s="4"/>
      <c r="P59" s="4"/>
      <c r="Q59" s="4"/>
    </row>
    <row r="60" ht="15.75" customHeight="1">
      <c r="A60" s="214" t="s">
        <v>940</v>
      </c>
      <c r="B60" s="235" t="s">
        <v>941</v>
      </c>
      <c r="C60" s="37">
        <v>300.0</v>
      </c>
      <c r="D60" s="38">
        <v>112.0</v>
      </c>
      <c r="E60" s="37"/>
      <c r="F60" s="38">
        <f t="shared" si="1"/>
        <v>0</v>
      </c>
      <c r="G60" s="71">
        <f t="shared" si="2"/>
        <v>3.214285714</v>
      </c>
      <c r="H60" s="71"/>
      <c r="I60" s="4"/>
      <c r="J60" s="4"/>
      <c r="K60" s="4"/>
      <c r="L60" s="4"/>
      <c r="M60" s="4"/>
      <c r="N60" s="4"/>
      <c r="O60" s="4"/>
      <c r="P60" s="4"/>
      <c r="Q60" s="4"/>
    </row>
    <row r="61" ht="15.75" customHeight="1">
      <c r="A61" s="42">
        <v>9.00567619E9</v>
      </c>
      <c r="B61" s="13" t="s">
        <v>942</v>
      </c>
      <c r="C61" s="37">
        <v>100.0</v>
      </c>
      <c r="D61" s="38">
        <v>112.0</v>
      </c>
      <c r="E61" s="37"/>
      <c r="F61" s="38">
        <f t="shared" si="1"/>
        <v>0</v>
      </c>
      <c r="G61" s="71">
        <f t="shared" si="2"/>
        <v>3.214285714</v>
      </c>
      <c r="H61" s="71"/>
      <c r="I61" s="4"/>
      <c r="J61" s="4"/>
      <c r="K61" s="4"/>
      <c r="L61" s="4"/>
      <c r="M61" s="4"/>
      <c r="N61" s="4"/>
      <c r="O61" s="4"/>
      <c r="P61" s="4"/>
      <c r="Q61" s="4"/>
    </row>
    <row r="62" ht="15.75" customHeight="1">
      <c r="A62" s="42">
        <v>9.01561219E9</v>
      </c>
      <c r="B62" s="13" t="s">
        <v>943</v>
      </c>
      <c r="C62" s="37">
        <v>100.0</v>
      </c>
      <c r="D62" s="38">
        <v>112.0</v>
      </c>
      <c r="E62" s="37"/>
      <c r="F62" s="38">
        <f t="shared" si="1"/>
        <v>0</v>
      </c>
      <c r="G62" s="71">
        <f t="shared" si="2"/>
        <v>3.214285714</v>
      </c>
      <c r="H62" s="71"/>
      <c r="I62" s="4"/>
      <c r="J62" s="4"/>
      <c r="K62" s="4"/>
      <c r="L62" s="4"/>
      <c r="M62" s="4"/>
      <c r="N62" s="4"/>
      <c r="O62" s="4"/>
      <c r="P62" s="4"/>
      <c r="Q62" s="4"/>
    </row>
    <row r="63" ht="15.75" customHeight="1">
      <c r="A63" s="42">
        <v>7.02727319E9</v>
      </c>
      <c r="B63" s="42" t="s">
        <v>944</v>
      </c>
      <c r="C63" s="37">
        <v>300.0</v>
      </c>
      <c r="D63" s="38">
        <v>112.0</v>
      </c>
      <c r="E63" s="37"/>
      <c r="F63" s="38">
        <f t="shared" si="1"/>
        <v>0</v>
      </c>
      <c r="G63" s="71">
        <f t="shared" si="2"/>
        <v>3.214285714</v>
      </c>
      <c r="H63" s="71"/>
      <c r="I63" s="4"/>
      <c r="J63" s="4"/>
      <c r="K63" s="4"/>
      <c r="L63" s="4"/>
      <c r="M63" s="4"/>
      <c r="N63" s="4"/>
      <c r="O63" s="4"/>
      <c r="P63" s="4"/>
      <c r="Q63" s="4"/>
    </row>
    <row r="64" ht="15.75" customHeight="1">
      <c r="A64" s="42">
        <v>7.02729019E9</v>
      </c>
      <c r="B64" s="42" t="s">
        <v>945</v>
      </c>
      <c r="C64" s="37">
        <v>300.0</v>
      </c>
      <c r="D64" s="38">
        <v>112.0</v>
      </c>
      <c r="E64" s="37"/>
      <c r="F64" s="38">
        <f t="shared" si="1"/>
        <v>0</v>
      </c>
      <c r="G64" s="71">
        <f t="shared" si="2"/>
        <v>3.214285714</v>
      </c>
      <c r="H64" s="71"/>
      <c r="I64" s="4"/>
      <c r="J64" s="4"/>
      <c r="K64" s="4"/>
      <c r="L64" s="4"/>
      <c r="M64" s="4"/>
      <c r="N64" s="4"/>
      <c r="O64" s="4"/>
      <c r="P64" s="4"/>
      <c r="Q64" s="4"/>
    </row>
    <row r="65" ht="15.75" customHeight="1">
      <c r="A65" s="42">
        <v>7.02812119E9</v>
      </c>
      <c r="B65" s="42" t="s">
        <v>946</v>
      </c>
      <c r="C65" s="37">
        <v>300.0</v>
      </c>
      <c r="D65" s="38">
        <v>112.0</v>
      </c>
      <c r="E65" s="37"/>
      <c r="F65" s="38">
        <f t="shared" si="1"/>
        <v>0</v>
      </c>
      <c r="G65" s="71">
        <f t="shared" si="2"/>
        <v>3.214285714</v>
      </c>
      <c r="H65" s="71"/>
      <c r="I65" s="4"/>
      <c r="J65" s="4"/>
      <c r="K65" s="4"/>
      <c r="L65" s="4"/>
      <c r="M65" s="4"/>
      <c r="N65" s="4"/>
      <c r="O65" s="4"/>
      <c r="P65" s="4"/>
      <c r="Q65" s="4"/>
    </row>
    <row r="66" ht="15.75" customHeight="1">
      <c r="A66" s="42">
        <v>7.71325819E9</v>
      </c>
      <c r="B66" s="42" t="s">
        <v>947</v>
      </c>
      <c r="C66" s="37">
        <v>300.0</v>
      </c>
      <c r="D66" s="38">
        <v>112.0</v>
      </c>
      <c r="E66" s="37"/>
      <c r="F66" s="38">
        <f t="shared" si="1"/>
        <v>0</v>
      </c>
      <c r="G66" s="71">
        <f t="shared" si="2"/>
        <v>3.214285714</v>
      </c>
      <c r="H66" s="71"/>
      <c r="I66" s="4"/>
      <c r="J66" s="4"/>
      <c r="K66" s="4"/>
      <c r="L66" s="4"/>
      <c r="M66" s="4"/>
      <c r="N66" s="4"/>
      <c r="O66" s="4"/>
      <c r="P66" s="4"/>
      <c r="Q66" s="4"/>
    </row>
    <row r="67" ht="15.75" customHeight="1">
      <c r="A67" s="14">
        <v>7.02751619E9</v>
      </c>
      <c r="B67" s="42" t="s">
        <v>948</v>
      </c>
      <c r="C67" s="37">
        <v>100.0</v>
      </c>
      <c r="D67" s="38">
        <v>112.0</v>
      </c>
      <c r="E67" s="37"/>
      <c r="F67" s="38">
        <f t="shared" si="1"/>
        <v>0</v>
      </c>
      <c r="G67" s="71">
        <f t="shared" si="2"/>
        <v>3.214285714</v>
      </c>
      <c r="H67" s="71"/>
      <c r="I67" s="4"/>
      <c r="J67" s="4"/>
      <c r="K67" s="4"/>
      <c r="L67" s="4"/>
      <c r="M67" s="4"/>
      <c r="N67" s="4"/>
      <c r="O67" s="4"/>
      <c r="P67" s="4"/>
      <c r="Q67" s="4"/>
    </row>
    <row r="68" ht="15.75" customHeight="1">
      <c r="A68" s="14">
        <v>7.25106819E9</v>
      </c>
      <c r="B68" s="42" t="s">
        <v>949</v>
      </c>
      <c r="C68" s="37">
        <v>300.0</v>
      </c>
      <c r="D68" s="38">
        <v>112.0</v>
      </c>
      <c r="E68" s="37"/>
      <c r="F68" s="38">
        <f t="shared" si="1"/>
        <v>0</v>
      </c>
      <c r="G68" s="71">
        <f t="shared" si="2"/>
        <v>3.214285714</v>
      </c>
      <c r="H68" s="71"/>
      <c r="I68" s="4"/>
      <c r="J68" s="4"/>
      <c r="K68" s="4"/>
      <c r="L68" s="4"/>
      <c r="M68" s="4"/>
      <c r="N68" s="4"/>
      <c r="O68" s="4"/>
      <c r="P68" s="4"/>
      <c r="Q68" s="4"/>
    </row>
    <row r="69" ht="15.75" customHeight="1">
      <c r="A69" s="14">
        <v>9.00576519E9</v>
      </c>
      <c r="B69" s="42" t="s">
        <v>950</v>
      </c>
      <c r="C69" s="37">
        <v>100.0</v>
      </c>
      <c r="D69" s="38">
        <v>112.0</v>
      </c>
      <c r="E69" s="37"/>
      <c r="F69" s="38">
        <f t="shared" si="1"/>
        <v>0</v>
      </c>
      <c r="G69" s="71">
        <f t="shared" si="2"/>
        <v>3.214285714</v>
      </c>
      <c r="H69" s="71"/>
      <c r="I69" s="4"/>
      <c r="J69" s="4"/>
      <c r="K69" s="4"/>
      <c r="L69" s="4"/>
      <c r="M69" s="4"/>
      <c r="N69" s="4"/>
      <c r="O69" s="4"/>
      <c r="P69" s="4"/>
      <c r="Q69" s="4"/>
    </row>
    <row r="70" ht="15.75" customHeight="1">
      <c r="A70" s="14">
        <v>7.02794019E9</v>
      </c>
      <c r="B70" s="42" t="s">
        <v>951</v>
      </c>
      <c r="C70" s="37">
        <v>100.0</v>
      </c>
      <c r="D70" s="38">
        <v>112.0</v>
      </c>
      <c r="E70" s="37"/>
      <c r="F70" s="38">
        <f t="shared" si="1"/>
        <v>0</v>
      </c>
      <c r="G70" s="71">
        <f t="shared" si="2"/>
        <v>3.214285714</v>
      </c>
      <c r="H70" s="71"/>
      <c r="I70" s="4"/>
      <c r="J70" s="4"/>
      <c r="K70" s="4"/>
      <c r="L70" s="4"/>
      <c r="M70" s="4"/>
      <c r="N70" s="4"/>
      <c r="O70" s="4"/>
      <c r="P70" s="4"/>
      <c r="Q70" s="4"/>
    </row>
    <row r="71" ht="15.75" customHeight="1">
      <c r="A71" s="236" t="s">
        <v>952</v>
      </c>
      <c r="B71" s="215" t="s">
        <v>953</v>
      </c>
      <c r="C71" s="37">
        <v>100.0</v>
      </c>
      <c r="D71" s="38">
        <v>112.0</v>
      </c>
      <c r="E71" s="37"/>
      <c r="F71" s="38">
        <f t="shared" si="1"/>
        <v>0</v>
      </c>
      <c r="G71" s="71">
        <f t="shared" si="2"/>
        <v>3.214285714</v>
      </c>
      <c r="H71" s="71"/>
      <c r="I71" s="4"/>
      <c r="J71" s="4"/>
      <c r="K71" s="4"/>
      <c r="L71" s="4"/>
      <c r="M71" s="4"/>
      <c r="N71" s="4"/>
      <c r="O71" s="4"/>
      <c r="P71" s="4"/>
      <c r="Q71" s="4"/>
    </row>
    <row r="72" ht="15.75" customHeight="1">
      <c r="A72" s="14">
        <v>7.02759119E9</v>
      </c>
      <c r="B72" s="42" t="s">
        <v>954</v>
      </c>
      <c r="C72" s="37">
        <v>100.0</v>
      </c>
      <c r="D72" s="38">
        <v>112.0</v>
      </c>
      <c r="E72" s="37"/>
      <c r="F72" s="38">
        <f t="shared" si="1"/>
        <v>0</v>
      </c>
      <c r="G72" s="71">
        <f t="shared" si="2"/>
        <v>3.214285714</v>
      </c>
      <c r="H72" s="71"/>
      <c r="I72" s="4"/>
      <c r="J72" s="4"/>
      <c r="K72" s="4"/>
      <c r="L72" s="4"/>
      <c r="M72" s="4"/>
      <c r="N72" s="4"/>
      <c r="O72" s="4"/>
      <c r="P72" s="4"/>
      <c r="Q72" s="4"/>
    </row>
    <row r="73" ht="15.75" customHeight="1">
      <c r="A73" s="236" t="s">
        <v>955</v>
      </c>
      <c r="B73" s="215" t="s">
        <v>956</v>
      </c>
      <c r="C73" s="37">
        <v>100.0</v>
      </c>
      <c r="D73" s="38">
        <v>112.0</v>
      </c>
      <c r="E73" s="37"/>
      <c r="F73" s="38">
        <f t="shared" si="1"/>
        <v>0</v>
      </c>
      <c r="G73" s="71">
        <f t="shared" si="2"/>
        <v>3.214285714</v>
      </c>
      <c r="H73" s="71"/>
      <c r="I73" s="4"/>
      <c r="J73" s="4"/>
      <c r="K73" s="4"/>
      <c r="L73" s="4"/>
      <c r="M73" s="4"/>
      <c r="N73" s="4"/>
      <c r="O73" s="4"/>
      <c r="P73" s="4"/>
      <c r="Q73" s="4"/>
    </row>
    <row r="74" ht="15.75" customHeight="1">
      <c r="A74" s="236" t="s">
        <v>957</v>
      </c>
      <c r="B74" s="215" t="s">
        <v>958</v>
      </c>
      <c r="C74" s="37">
        <v>300.0</v>
      </c>
      <c r="D74" s="38">
        <v>112.0</v>
      </c>
      <c r="E74" s="37"/>
      <c r="F74" s="38">
        <f t="shared" si="1"/>
        <v>0</v>
      </c>
      <c r="G74" s="71">
        <f t="shared" si="2"/>
        <v>3.214285714</v>
      </c>
      <c r="H74" s="71"/>
      <c r="I74" s="4"/>
      <c r="J74" s="4"/>
      <c r="K74" s="4"/>
      <c r="L74" s="4"/>
      <c r="M74" s="4"/>
      <c r="N74" s="4"/>
      <c r="O74" s="4"/>
      <c r="P74" s="4"/>
      <c r="Q74" s="4"/>
    </row>
    <row r="75" ht="15.75" customHeight="1">
      <c r="A75" s="14">
        <v>9.03808619E9</v>
      </c>
      <c r="B75" s="42" t="s">
        <v>959</v>
      </c>
      <c r="C75" s="37">
        <v>300.0</v>
      </c>
      <c r="D75" s="38">
        <v>77.0</v>
      </c>
      <c r="E75" s="37"/>
      <c r="F75" s="38">
        <f t="shared" si="1"/>
        <v>0</v>
      </c>
      <c r="G75" s="71">
        <f t="shared" si="2"/>
        <v>4.675324675</v>
      </c>
      <c r="H75" s="71"/>
      <c r="I75" s="4"/>
      <c r="J75" s="4"/>
      <c r="K75" s="4"/>
      <c r="L75" s="4"/>
      <c r="M75" s="4"/>
      <c r="N75" s="4"/>
      <c r="O75" s="4"/>
      <c r="P75" s="4"/>
      <c r="Q75" s="4"/>
    </row>
    <row r="76" ht="15.75" customHeight="1">
      <c r="A76" s="14">
        <v>7.47591819E9</v>
      </c>
      <c r="B76" s="42" t="s">
        <v>960</v>
      </c>
      <c r="C76" s="37">
        <v>100.0</v>
      </c>
      <c r="D76" s="38">
        <v>112.0</v>
      </c>
      <c r="E76" s="37"/>
      <c r="F76" s="38">
        <f t="shared" si="1"/>
        <v>0</v>
      </c>
      <c r="G76" s="71">
        <f t="shared" si="2"/>
        <v>3.214285714</v>
      </c>
      <c r="H76" s="71"/>
      <c r="I76" s="4"/>
      <c r="J76" s="4"/>
      <c r="K76" s="4"/>
      <c r="L76" s="4"/>
      <c r="M76" s="4"/>
      <c r="N76" s="4"/>
      <c r="O76" s="4"/>
      <c r="P76" s="4"/>
      <c r="Q76" s="4"/>
    </row>
    <row r="77" ht="15.75" customHeight="1">
      <c r="A77" s="14">
        <v>7.57472019E9</v>
      </c>
      <c r="B77" s="42" t="s">
        <v>961</v>
      </c>
      <c r="C77" s="37">
        <v>100.0</v>
      </c>
      <c r="D77" s="38">
        <v>112.0</v>
      </c>
      <c r="E77" s="37"/>
      <c r="F77" s="38">
        <f t="shared" si="1"/>
        <v>0</v>
      </c>
      <c r="G77" s="71">
        <f t="shared" si="2"/>
        <v>3.214285714</v>
      </c>
      <c r="H77" s="71"/>
      <c r="I77" s="4"/>
      <c r="J77" s="4"/>
      <c r="K77" s="4"/>
      <c r="L77" s="4"/>
      <c r="M77" s="4"/>
      <c r="N77" s="4"/>
      <c r="O77" s="4"/>
      <c r="P77" s="4"/>
      <c r="Q77" s="4"/>
    </row>
    <row r="78" ht="15.75" customHeight="1">
      <c r="A78" s="14">
        <v>8.83697319E9</v>
      </c>
      <c r="B78" s="42" t="s">
        <v>962</v>
      </c>
      <c r="C78" s="37">
        <v>300.0</v>
      </c>
      <c r="D78" s="38">
        <v>112.0</v>
      </c>
      <c r="E78" s="37"/>
      <c r="F78" s="38">
        <f t="shared" si="1"/>
        <v>0</v>
      </c>
      <c r="G78" s="71">
        <f t="shared" si="2"/>
        <v>3.214285714</v>
      </c>
      <c r="H78" s="71"/>
      <c r="I78" s="4"/>
      <c r="J78" s="4"/>
      <c r="K78" s="4"/>
      <c r="L78" s="4"/>
      <c r="M78" s="4"/>
      <c r="N78" s="4"/>
      <c r="O78" s="4"/>
      <c r="P78" s="4"/>
      <c r="Q78" s="4"/>
    </row>
    <row r="79" ht="15.75" customHeight="1">
      <c r="A79" s="14">
        <v>8.11069719E9</v>
      </c>
      <c r="B79" s="42" t="s">
        <v>963</v>
      </c>
      <c r="C79" s="37">
        <v>300.0</v>
      </c>
      <c r="D79" s="38">
        <v>31.0</v>
      </c>
      <c r="E79" s="37"/>
      <c r="F79" s="38">
        <f t="shared" si="1"/>
        <v>0</v>
      </c>
      <c r="G79" s="71">
        <f t="shared" si="2"/>
        <v>11.61290323</v>
      </c>
      <c r="H79" s="71"/>
      <c r="I79" s="4"/>
      <c r="J79" s="4"/>
      <c r="K79" s="4"/>
      <c r="L79" s="4"/>
      <c r="M79" s="4"/>
      <c r="N79" s="4"/>
      <c r="O79" s="4"/>
      <c r="P79" s="4"/>
      <c r="Q79" s="4"/>
    </row>
    <row r="80" ht="15.75" customHeight="1">
      <c r="A80" s="14">
        <v>8.08666419E9</v>
      </c>
      <c r="B80" s="42" t="s">
        <v>964</v>
      </c>
      <c r="C80" s="37">
        <v>300.0</v>
      </c>
      <c r="D80" s="38">
        <v>112.0</v>
      </c>
      <c r="E80" s="37"/>
      <c r="F80" s="38">
        <f t="shared" si="1"/>
        <v>0</v>
      </c>
      <c r="G80" s="71">
        <f t="shared" si="2"/>
        <v>3.214285714</v>
      </c>
      <c r="H80" s="71"/>
      <c r="I80" s="4"/>
      <c r="J80" s="4"/>
      <c r="K80" s="4"/>
      <c r="L80" s="4"/>
      <c r="M80" s="4"/>
      <c r="N80" s="4"/>
      <c r="O80" s="4"/>
      <c r="P80" s="4"/>
      <c r="Q80" s="4"/>
    </row>
    <row r="81" ht="15.75" customHeight="1">
      <c r="A81" s="14">
        <v>7.02677319E9</v>
      </c>
      <c r="B81" s="42" t="s">
        <v>965</v>
      </c>
      <c r="C81" s="37">
        <v>300.0</v>
      </c>
      <c r="D81" s="38">
        <v>112.0</v>
      </c>
      <c r="E81" s="37"/>
      <c r="F81" s="38">
        <f t="shared" si="1"/>
        <v>0</v>
      </c>
      <c r="G81" s="71">
        <f t="shared" si="2"/>
        <v>3.214285714</v>
      </c>
      <c r="H81" s="71"/>
      <c r="I81" s="4"/>
      <c r="J81" s="4"/>
      <c r="K81" s="4"/>
      <c r="L81" s="4"/>
      <c r="M81" s="4"/>
      <c r="N81" s="4"/>
      <c r="O81" s="4"/>
      <c r="P81" s="4"/>
      <c r="Q81" s="4"/>
    </row>
    <row r="82" ht="15.75" customHeight="1">
      <c r="A82" s="14">
        <v>8.81484819E9</v>
      </c>
      <c r="B82" s="42" t="s">
        <v>966</v>
      </c>
      <c r="C82" s="37">
        <v>300.0</v>
      </c>
      <c r="D82" s="38">
        <v>112.0</v>
      </c>
      <c r="E82" s="37"/>
      <c r="F82" s="38">
        <f t="shared" si="1"/>
        <v>0</v>
      </c>
      <c r="G82" s="71">
        <f t="shared" si="2"/>
        <v>3.214285714</v>
      </c>
      <c r="H82" s="71"/>
      <c r="I82" s="4"/>
      <c r="J82" s="4"/>
      <c r="K82" s="4"/>
      <c r="L82" s="4"/>
      <c r="M82" s="4"/>
      <c r="N82" s="4"/>
      <c r="O82" s="4"/>
      <c r="P82" s="4"/>
      <c r="Q82" s="4"/>
    </row>
    <row r="83" ht="15.75" customHeight="1">
      <c r="A83" s="14">
        <v>8.49861019E9</v>
      </c>
      <c r="B83" s="42" t="s">
        <v>967</v>
      </c>
      <c r="C83" s="37">
        <v>300.0</v>
      </c>
      <c r="D83" s="38">
        <v>112.0</v>
      </c>
      <c r="E83" s="37"/>
      <c r="F83" s="38">
        <f t="shared" si="1"/>
        <v>0</v>
      </c>
      <c r="G83" s="71">
        <f t="shared" si="2"/>
        <v>3.214285714</v>
      </c>
      <c r="H83" s="71"/>
      <c r="I83" s="4"/>
      <c r="J83" s="4"/>
      <c r="K83" s="4"/>
      <c r="L83" s="4"/>
      <c r="M83" s="4"/>
      <c r="N83" s="4"/>
      <c r="O83" s="4"/>
      <c r="P83" s="4"/>
      <c r="Q83" s="4"/>
    </row>
    <row r="84" ht="15.75" customHeight="1">
      <c r="A84" s="14">
        <v>7.02742719E9</v>
      </c>
      <c r="B84" s="42" t="s">
        <v>968</v>
      </c>
      <c r="C84" s="37">
        <v>300.0</v>
      </c>
      <c r="D84" s="38">
        <v>112.0</v>
      </c>
      <c r="E84" s="37"/>
      <c r="F84" s="38">
        <f t="shared" si="1"/>
        <v>0</v>
      </c>
      <c r="G84" s="71">
        <f t="shared" si="2"/>
        <v>3.214285714</v>
      </c>
      <c r="H84" s="71"/>
      <c r="I84" s="4"/>
      <c r="J84" s="4"/>
      <c r="K84" s="4"/>
      <c r="L84" s="4"/>
      <c r="M84" s="4"/>
      <c r="N84" s="4"/>
      <c r="O84" s="4"/>
      <c r="P84" s="4"/>
      <c r="Q84" s="4"/>
    </row>
    <row r="85" ht="15.75" customHeight="1">
      <c r="A85" s="14">
        <v>7.02683819E9</v>
      </c>
      <c r="B85" s="42" t="s">
        <v>969</v>
      </c>
      <c r="C85" s="37">
        <v>300.0</v>
      </c>
      <c r="D85" s="38">
        <v>112.0</v>
      </c>
      <c r="E85" s="37"/>
      <c r="F85" s="38">
        <f t="shared" si="1"/>
        <v>0</v>
      </c>
      <c r="G85" s="71">
        <f t="shared" si="2"/>
        <v>3.214285714</v>
      </c>
      <c r="H85" s="71"/>
      <c r="I85" s="4"/>
      <c r="J85" s="4"/>
      <c r="K85" s="4"/>
      <c r="L85" s="4"/>
      <c r="M85" s="4"/>
      <c r="N85" s="4"/>
      <c r="O85" s="4"/>
      <c r="P85" s="4"/>
      <c r="Q85" s="4"/>
    </row>
    <row r="86" ht="15.75" customHeight="1">
      <c r="A86" s="14">
        <v>9.01492619E9</v>
      </c>
      <c r="B86" s="42" t="s">
        <v>970</v>
      </c>
      <c r="C86" s="37">
        <v>300.0</v>
      </c>
      <c r="D86" s="38">
        <v>112.0</v>
      </c>
      <c r="E86" s="37"/>
      <c r="F86" s="38">
        <f t="shared" si="1"/>
        <v>0</v>
      </c>
      <c r="G86" s="71">
        <f t="shared" si="2"/>
        <v>3.214285714</v>
      </c>
      <c r="H86" s="71"/>
      <c r="I86" s="4"/>
      <c r="J86" s="4"/>
      <c r="K86" s="4"/>
      <c r="L86" s="4"/>
      <c r="M86" s="4"/>
      <c r="N86" s="4"/>
      <c r="O86" s="4"/>
      <c r="P86" s="4"/>
      <c r="Q86" s="4"/>
    </row>
    <row r="87" ht="15.75" customHeight="1">
      <c r="A87" s="14">
        <v>7.02681119E9</v>
      </c>
      <c r="B87" s="42" t="s">
        <v>971</v>
      </c>
      <c r="C87" s="37">
        <v>300.0</v>
      </c>
      <c r="D87" s="38">
        <v>112.0</v>
      </c>
      <c r="E87" s="37"/>
      <c r="F87" s="38">
        <f t="shared" si="1"/>
        <v>0</v>
      </c>
      <c r="G87" s="71">
        <f t="shared" si="2"/>
        <v>3.214285714</v>
      </c>
      <c r="H87" s="71"/>
      <c r="I87" s="4"/>
      <c r="J87" s="4"/>
      <c r="K87" s="4"/>
      <c r="L87" s="4"/>
      <c r="M87" s="4"/>
      <c r="N87" s="4"/>
      <c r="O87" s="4"/>
      <c r="P87" s="4"/>
      <c r="Q87" s="4"/>
    </row>
    <row r="88" ht="15.75" customHeight="1">
      <c r="A88" s="14">
        <v>8.83705819E9</v>
      </c>
      <c r="B88" s="42" t="s">
        <v>972</v>
      </c>
      <c r="C88" s="37">
        <v>300.0</v>
      </c>
      <c r="D88" s="38">
        <v>31.0</v>
      </c>
      <c r="E88" s="37"/>
      <c r="F88" s="38">
        <f t="shared" si="1"/>
        <v>0</v>
      </c>
      <c r="G88" s="71">
        <f t="shared" si="2"/>
        <v>11.61290323</v>
      </c>
      <c r="H88" s="71"/>
      <c r="I88" s="4"/>
      <c r="J88" s="4"/>
      <c r="K88" s="4"/>
      <c r="L88" s="4"/>
      <c r="M88" s="4"/>
      <c r="N88" s="4"/>
      <c r="O88" s="4"/>
      <c r="P88" s="4"/>
      <c r="Q88" s="4"/>
    </row>
    <row r="89" ht="15.75" customHeight="1">
      <c r="A89" s="187">
        <v>7.02777019E9</v>
      </c>
      <c r="B89" s="69" t="s">
        <v>973</v>
      </c>
      <c r="C89" s="37">
        <v>300.0</v>
      </c>
      <c r="D89" s="38">
        <v>112.0</v>
      </c>
      <c r="E89" s="37"/>
      <c r="F89" s="38">
        <f t="shared" si="1"/>
        <v>0</v>
      </c>
      <c r="G89" s="71">
        <f t="shared" si="2"/>
        <v>3.214285714</v>
      </c>
      <c r="H89" s="71"/>
      <c r="I89" s="4"/>
      <c r="J89" s="4"/>
      <c r="K89" s="4"/>
      <c r="L89" s="4"/>
      <c r="M89" s="4"/>
      <c r="N89" s="4"/>
      <c r="O89" s="4"/>
      <c r="P89" s="4"/>
      <c r="Q89" s="4"/>
    </row>
    <row r="90" ht="15.75" customHeight="1">
      <c r="A90" s="187">
        <v>7.02779619E9</v>
      </c>
      <c r="B90" s="69" t="s">
        <v>974</v>
      </c>
      <c r="C90" s="37">
        <v>300.0</v>
      </c>
      <c r="D90" s="38">
        <v>112.0</v>
      </c>
      <c r="E90" s="37"/>
      <c r="F90" s="38">
        <f t="shared" si="1"/>
        <v>0</v>
      </c>
      <c r="G90" s="71">
        <f t="shared" si="2"/>
        <v>3.214285714</v>
      </c>
      <c r="H90" s="71"/>
      <c r="I90" s="4"/>
      <c r="J90" s="4"/>
      <c r="K90" s="4"/>
      <c r="L90" s="4"/>
      <c r="M90" s="4"/>
      <c r="N90" s="4"/>
      <c r="O90" s="4"/>
      <c r="P90" s="4"/>
      <c r="Q90" s="4"/>
    </row>
    <row r="91" ht="15.75" customHeight="1">
      <c r="A91" s="187">
        <v>7.02800819E9</v>
      </c>
      <c r="B91" s="69" t="s">
        <v>975</v>
      </c>
      <c r="C91" s="37">
        <v>300.0</v>
      </c>
      <c r="D91" s="38">
        <v>112.0</v>
      </c>
      <c r="E91" s="37"/>
      <c r="F91" s="38">
        <f t="shared" si="1"/>
        <v>0</v>
      </c>
      <c r="G91" s="71">
        <f t="shared" si="2"/>
        <v>3.214285714</v>
      </c>
      <c r="H91" s="71"/>
      <c r="I91" s="4"/>
      <c r="J91" s="4"/>
      <c r="K91" s="4"/>
      <c r="L91" s="4"/>
      <c r="M91" s="4"/>
      <c r="N91" s="4"/>
      <c r="O91" s="4"/>
      <c r="P91" s="4"/>
      <c r="Q91" s="4"/>
    </row>
    <row r="92" ht="15.75" customHeight="1">
      <c r="A92" s="187">
        <v>7.02797419E9</v>
      </c>
      <c r="B92" s="69" t="s">
        <v>976</v>
      </c>
      <c r="C92" s="37">
        <v>100.0</v>
      </c>
      <c r="D92" s="38">
        <v>112.0</v>
      </c>
      <c r="E92" s="37"/>
      <c r="F92" s="38">
        <f t="shared" si="1"/>
        <v>0</v>
      </c>
      <c r="G92" s="71">
        <f t="shared" si="2"/>
        <v>3.214285714</v>
      </c>
      <c r="H92" s="71"/>
      <c r="I92" s="4"/>
      <c r="J92" s="4"/>
      <c r="K92" s="4"/>
      <c r="L92" s="4"/>
      <c r="M92" s="4"/>
      <c r="N92" s="4"/>
      <c r="O92" s="4"/>
      <c r="P92" s="4"/>
      <c r="Q92" s="4"/>
    </row>
    <row r="93" ht="15.75" customHeight="1">
      <c r="A93" s="187">
        <v>7.02802419E9</v>
      </c>
      <c r="B93" s="69" t="s">
        <v>977</v>
      </c>
      <c r="C93" s="37">
        <v>300.0</v>
      </c>
      <c r="D93" s="38">
        <v>112.0</v>
      </c>
      <c r="E93" s="37"/>
      <c r="F93" s="38">
        <f t="shared" si="1"/>
        <v>0</v>
      </c>
      <c r="G93" s="71">
        <f t="shared" si="2"/>
        <v>3.214285714</v>
      </c>
      <c r="H93" s="71"/>
      <c r="I93" s="4"/>
      <c r="J93" s="4"/>
      <c r="K93" s="4"/>
      <c r="L93" s="4"/>
      <c r="M93" s="4"/>
      <c r="N93" s="4"/>
      <c r="O93" s="4"/>
      <c r="P93" s="4"/>
      <c r="Q93" s="4"/>
    </row>
    <row r="94" ht="15.75" customHeight="1">
      <c r="A94" s="187">
        <v>9.11855119E9</v>
      </c>
      <c r="B94" s="69" t="s">
        <v>978</v>
      </c>
      <c r="C94" s="37">
        <v>300.0</v>
      </c>
      <c r="D94" s="38">
        <v>112.0</v>
      </c>
      <c r="E94" s="37"/>
      <c r="F94" s="38">
        <f t="shared" si="1"/>
        <v>0</v>
      </c>
      <c r="G94" s="71">
        <f t="shared" si="2"/>
        <v>3.214285714</v>
      </c>
      <c r="H94" s="71"/>
      <c r="I94" s="4"/>
      <c r="J94" s="4"/>
      <c r="K94" s="4"/>
      <c r="L94" s="4"/>
      <c r="M94" s="4"/>
      <c r="N94" s="4"/>
      <c r="O94" s="4"/>
      <c r="P94" s="4"/>
      <c r="Q94" s="4"/>
    </row>
    <row r="95" ht="15.75" customHeight="1">
      <c r="A95" s="187">
        <v>9.34238919E9</v>
      </c>
      <c r="B95" s="69" t="s">
        <v>979</v>
      </c>
      <c r="C95" s="37">
        <v>100.0</v>
      </c>
      <c r="D95" s="38">
        <v>112.0</v>
      </c>
      <c r="E95" s="37"/>
      <c r="F95" s="38">
        <f t="shared" si="1"/>
        <v>0</v>
      </c>
      <c r="G95" s="71">
        <f t="shared" si="2"/>
        <v>3.214285714</v>
      </c>
      <c r="H95" s="71"/>
      <c r="I95" s="4"/>
      <c r="J95" s="4"/>
      <c r="K95" s="4"/>
      <c r="L95" s="4"/>
      <c r="M95" s="4"/>
      <c r="N95" s="4"/>
      <c r="O95" s="4"/>
      <c r="P95" s="4"/>
      <c r="Q95" s="4"/>
    </row>
    <row r="96" ht="15.75" customHeight="1">
      <c r="A96" s="187">
        <v>7.02713319E9</v>
      </c>
      <c r="B96" s="69" t="s">
        <v>980</v>
      </c>
      <c r="C96" s="37">
        <v>300.0</v>
      </c>
      <c r="D96" s="38">
        <v>112.0</v>
      </c>
      <c r="E96" s="37"/>
      <c r="F96" s="38">
        <f t="shared" si="1"/>
        <v>0</v>
      </c>
      <c r="G96" s="71">
        <f t="shared" si="2"/>
        <v>3.214285714</v>
      </c>
      <c r="H96" s="71"/>
      <c r="I96" s="4"/>
      <c r="J96" s="4"/>
      <c r="K96" s="4"/>
      <c r="L96" s="4"/>
      <c r="M96" s="4"/>
      <c r="N96" s="4"/>
      <c r="O96" s="4"/>
      <c r="P96" s="4"/>
      <c r="Q96" s="4"/>
    </row>
    <row r="97" ht="15.75" customHeight="1">
      <c r="A97" s="187">
        <v>8.94885219E9</v>
      </c>
      <c r="B97" s="69" t="s">
        <v>981</v>
      </c>
      <c r="C97" s="37">
        <v>100.0</v>
      </c>
      <c r="D97" s="38">
        <v>112.0</v>
      </c>
      <c r="E97" s="37"/>
      <c r="F97" s="38">
        <f t="shared" si="1"/>
        <v>0</v>
      </c>
      <c r="G97" s="71">
        <f t="shared" si="2"/>
        <v>3.214285714</v>
      </c>
      <c r="H97" s="71"/>
      <c r="I97" s="4"/>
      <c r="J97" s="4"/>
      <c r="K97" s="4"/>
      <c r="L97" s="4"/>
      <c r="M97" s="4"/>
      <c r="N97" s="4"/>
      <c r="O97" s="4"/>
      <c r="P97" s="4"/>
      <c r="Q97" s="4"/>
    </row>
    <row r="98" ht="15.75" customHeight="1">
      <c r="A98" s="187">
        <v>8.94890919E9</v>
      </c>
      <c r="B98" s="69" t="s">
        <v>982</v>
      </c>
      <c r="C98" s="37">
        <v>100.0</v>
      </c>
      <c r="D98" s="38">
        <v>112.0</v>
      </c>
      <c r="E98" s="37"/>
      <c r="F98" s="38">
        <f t="shared" si="1"/>
        <v>0</v>
      </c>
      <c r="G98" s="71">
        <f t="shared" si="2"/>
        <v>3.214285714</v>
      </c>
      <c r="H98" s="71"/>
      <c r="I98" s="4"/>
      <c r="J98" s="4"/>
      <c r="K98" s="4"/>
      <c r="L98" s="4"/>
      <c r="M98" s="4"/>
      <c r="N98" s="4"/>
      <c r="O98" s="4"/>
      <c r="P98" s="4"/>
      <c r="Q98" s="4"/>
    </row>
    <row r="99" ht="15.75" customHeight="1">
      <c r="A99" s="187">
        <v>8.35527419E9</v>
      </c>
      <c r="B99" s="69" t="s">
        <v>983</v>
      </c>
      <c r="C99" s="37">
        <v>300.0</v>
      </c>
      <c r="D99" s="38">
        <v>112.0</v>
      </c>
      <c r="E99" s="37"/>
      <c r="F99" s="38">
        <f t="shared" si="1"/>
        <v>0</v>
      </c>
      <c r="G99" s="71">
        <f t="shared" si="2"/>
        <v>3.214285714</v>
      </c>
      <c r="H99" s="71"/>
      <c r="I99" s="4"/>
      <c r="J99" s="4"/>
      <c r="K99" s="4"/>
      <c r="L99" s="4"/>
      <c r="M99" s="4"/>
      <c r="N99" s="4"/>
      <c r="O99" s="4"/>
      <c r="P99" s="4"/>
      <c r="Q99" s="4"/>
    </row>
    <row r="100" ht="15.75" customHeight="1">
      <c r="A100" s="187">
        <v>8.35535519E9</v>
      </c>
      <c r="B100" s="69" t="s">
        <v>984</v>
      </c>
      <c r="C100" s="37">
        <v>300.0</v>
      </c>
      <c r="D100" s="38">
        <v>112.0</v>
      </c>
      <c r="E100" s="37"/>
      <c r="F100" s="38">
        <f t="shared" si="1"/>
        <v>0</v>
      </c>
      <c r="G100" s="71">
        <f t="shared" si="2"/>
        <v>3.214285714</v>
      </c>
      <c r="H100" s="71"/>
      <c r="I100" s="4"/>
      <c r="J100" s="4"/>
      <c r="K100" s="4"/>
      <c r="L100" s="4"/>
      <c r="M100" s="4"/>
      <c r="N100" s="4"/>
      <c r="O100" s="4"/>
      <c r="P100" s="4"/>
      <c r="Q100" s="4"/>
    </row>
    <row r="101" ht="15.75" customHeight="1">
      <c r="A101" s="187">
        <v>8.35538019E9</v>
      </c>
      <c r="B101" s="69" t="s">
        <v>985</v>
      </c>
      <c r="C101" s="37">
        <v>300.0</v>
      </c>
      <c r="D101" s="38">
        <v>112.0</v>
      </c>
      <c r="E101" s="37"/>
      <c r="F101" s="38">
        <f t="shared" si="1"/>
        <v>0</v>
      </c>
      <c r="G101" s="71">
        <f t="shared" si="2"/>
        <v>3.214285714</v>
      </c>
      <c r="H101" s="71"/>
      <c r="I101" s="4"/>
      <c r="J101" s="4"/>
      <c r="K101" s="4"/>
      <c r="L101" s="4"/>
      <c r="M101" s="4"/>
      <c r="N101" s="4"/>
      <c r="O101" s="4"/>
      <c r="P101" s="4"/>
      <c r="Q101" s="4"/>
    </row>
    <row r="102" ht="15.75" customHeight="1">
      <c r="A102" s="187">
        <v>9.01527219E9</v>
      </c>
      <c r="B102" s="69" t="s">
        <v>986</v>
      </c>
      <c r="C102" s="37">
        <v>300.0</v>
      </c>
      <c r="D102" s="38">
        <v>112.0</v>
      </c>
      <c r="E102" s="37"/>
      <c r="F102" s="38">
        <f t="shared" si="1"/>
        <v>0</v>
      </c>
      <c r="G102" s="71">
        <f t="shared" si="2"/>
        <v>3.214285714</v>
      </c>
      <c r="H102" s="71"/>
      <c r="I102" s="4"/>
      <c r="J102" s="4"/>
      <c r="K102" s="4"/>
      <c r="L102" s="4"/>
      <c r="M102" s="4"/>
      <c r="N102" s="4"/>
      <c r="O102" s="4"/>
      <c r="P102" s="4"/>
      <c r="Q102" s="4"/>
    </row>
    <row r="103" ht="15.75" customHeight="1">
      <c r="A103" s="187">
        <v>9.01505119E9</v>
      </c>
      <c r="B103" s="69" t="s">
        <v>987</v>
      </c>
      <c r="C103" s="37">
        <v>300.0</v>
      </c>
      <c r="D103" s="38">
        <v>112.0</v>
      </c>
      <c r="E103" s="37"/>
      <c r="F103" s="38">
        <f t="shared" si="1"/>
        <v>0</v>
      </c>
      <c r="G103" s="71">
        <f t="shared" si="2"/>
        <v>3.214285714</v>
      </c>
      <c r="H103" s="71"/>
      <c r="I103" s="4"/>
      <c r="J103" s="4"/>
      <c r="K103" s="4"/>
      <c r="L103" s="4"/>
      <c r="M103" s="4"/>
      <c r="N103" s="4"/>
      <c r="O103" s="4"/>
      <c r="P103" s="4"/>
      <c r="Q103" s="4"/>
    </row>
    <row r="104" ht="15.75" customHeight="1">
      <c r="A104" s="187">
        <v>9.01558219E9</v>
      </c>
      <c r="B104" s="69" t="s">
        <v>988</v>
      </c>
      <c r="C104" s="37">
        <v>300.0</v>
      </c>
      <c r="D104" s="38">
        <v>112.0</v>
      </c>
      <c r="E104" s="37"/>
      <c r="F104" s="38">
        <f t="shared" si="1"/>
        <v>0</v>
      </c>
      <c r="G104" s="71">
        <f t="shared" si="2"/>
        <v>3.214285714</v>
      </c>
      <c r="H104" s="71"/>
      <c r="I104" s="4"/>
      <c r="J104" s="4"/>
      <c r="K104" s="4"/>
      <c r="L104" s="4"/>
      <c r="M104" s="4"/>
      <c r="N104" s="4"/>
      <c r="O104" s="4"/>
      <c r="P104" s="4"/>
      <c r="Q104" s="4"/>
    </row>
    <row r="105" ht="15.75" customHeight="1">
      <c r="A105" s="187">
        <v>9.20307919E9</v>
      </c>
      <c r="B105" s="69" t="s">
        <v>989</v>
      </c>
      <c r="C105" s="37">
        <v>300.0</v>
      </c>
      <c r="D105" s="38">
        <v>30.0</v>
      </c>
      <c r="E105" s="37"/>
      <c r="F105" s="38">
        <f t="shared" si="1"/>
        <v>0</v>
      </c>
      <c r="G105" s="71">
        <f t="shared" si="2"/>
        <v>12</v>
      </c>
      <c r="H105" s="71"/>
      <c r="I105" s="4"/>
      <c r="J105" s="4"/>
      <c r="K105" s="4"/>
      <c r="L105" s="4"/>
      <c r="M105" s="4"/>
      <c r="N105" s="4"/>
      <c r="O105" s="4"/>
      <c r="P105" s="4"/>
      <c r="Q105" s="4"/>
    </row>
    <row r="106" ht="15.75" customHeight="1">
      <c r="A106" s="187">
        <v>9.28927519E9</v>
      </c>
      <c r="B106" s="69" t="s">
        <v>990</v>
      </c>
      <c r="C106" s="37">
        <v>300.0</v>
      </c>
      <c r="D106" s="38">
        <v>112.0</v>
      </c>
      <c r="E106" s="37"/>
      <c r="F106" s="38">
        <f t="shared" si="1"/>
        <v>0</v>
      </c>
      <c r="G106" s="71">
        <f t="shared" si="2"/>
        <v>3.214285714</v>
      </c>
      <c r="H106" s="71"/>
      <c r="I106" s="4"/>
      <c r="J106" s="4"/>
      <c r="K106" s="4"/>
      <c r="L106" s="4"/>
      <c r="M106" s="4"/>
      <c r="N106" s="4"/>
      <c r="O106" s="4"/>
      <c r="P106" s="4"/>
      <c r="Q106" s="4"/>
    </row>
    <row r="107" ht="15.75" customHeight="1">
      <c r="A107" s="187">
        <v>9.34529919E9</v>
      </c>
      <c r="B107" s="69" t="s">
        <v>991</v>
      </c>
      <c r="C107" s="37">
        <v>300.0</v>
      </c>
      <c r="D107" s="38"/>
      <c r="E107" s="37"/>
      <c r="F107" s="38">
        <f t="shared" si="1"/>
        <v>0</v>
      </c>
      <c r="G107" s="71" t="str">
        <f t="shared" si="2"/>
        <v>#DIV/0!</v>
      </c>
      <c r="H107" s="71"/>
      <c r="I107" s="4"/>
      <c r="J107" s="4"/>
      <c r="K107" s="4"/>
      <c r="L107" s="4"/>
      <c r="M107" s="4"/>
      <c r="N107" s="4"/>
      <c r="O107" s="4"/>
      <c r="P107" s="4"/>
      <c r="Q107" s="4"/>
    </row>
    <row r="108" ht="15.75" customHeight="1">
      <c r="A108" s="42">
        <v>7.25124619E9</v>
      </c>
      <c r="B108" s="42" t="s">
        <v>992</v>
      </c>
      <c r="C108" s="37">
        <v>300.0</v>
      </c>
      <c r="D108" s="38"/>
      <c r="E108" s="37"/>
      <c r="F108" s="38">
        <f t="shared" si="1"/>
        <v>0</v>
      </c>
      <c r="G108" s="71" t="str">
        <f t="shared" si="2"/>
        <v>#DIV/0!</v>
      </c>
      <c r="H108" s="71"/>
      <c r="I108" s="4"/>
      <c r="J108" s="4"/>
      <c r="K108" s="4"/>
      <c r="L108" s="4"/>
      <c r="M108" s="4"/>
      <c r="N108" s="4"/>
      <c r="O108" s="4"/>
      <c r="P108" s="4"/>
      <c r="Q108" s="4"/>
    </row>
    <row r="109" ht="15.75" customHeight="1">
      <c r="A109" s="42">
        <v>7.02725719E9</v>
      </c>
      <c r="B109" s="42" t="s">
        <v>993</v>
      </c>
      <c r="C109" s="37">
        <v>100.0</v>
      </c>
      <c r="D109" s="38"/>
      <c r="E109" s="37"/>
      <c r="F109" s="38">
        <f t="shared" si="1"/>
        <v>0</v>
      </c>
      <c r="G109" s="71" t="str">
        <f t="shared" si="2"/>
        <v>#DIV/0!</v>
      </c>
      <c r="H109" s="71"/>
      <c r="I109" s="4"/>
      <c r="J109" s="4"/>
      <c r="K109" s="4"/>
      <c r="L109" s="4"/>
      <c r="M109" s="4"/>
      <c r="N109" s="4"/>
      <c r="O109" s="4"/>
      <c r="P109" s="4"/>
      <c r="Q109" s="4"/>
    </row>
    <row r="110" ht="15.75" customHeight="1">
      <c r="A110" s="42">
        <v>7.02783419E9</v>
      </c>
      <c r="B110" s="42" t="s">
        <v>994</v>
      </c>
      <c r="C110" s="37">
        <v>100.0</v>
      </c>
      <c r="D110" s="38"/>
      <c r="E110" s="37"/>
      <c r="F110" s="38">
        <f t="shared" si="1"/>
        <v>0</v>
      </c>
      <c r="G110" s="71" t="str">
        <f t="shared" si="2"/>
        <v>#DIV/0!</v>
      </c>
      <c r="H110" s="71"/>
      <c r="I110" s="4"/>
      <c r="J110" s="4"/>
      <c r="K110" s="4"/>
      <c r="L110" s="4"/>
      <c r="M110" s="4"/>
      <c r="N110" s="4"/>
      <c r="O110" s="4"/>
      <c r="P110" s="4"/>
      <c r="Q110" s="4"/>
    </row>
    <row r="111" ht="15.75" customHeight="1">
      <c r="A111" s="42">
        <v>7.25125419E9</v>
      </c>
      <c r="B111" s="42" t="s">
        <v>995</v>
      </c>
      <c r="C111" s="37">
        <v>300.0</v>
      </c>
      <c r="D111" s="38"/>
      <c r="E111" s="37"/>
      <c r="F111" s="38">
        <f t="shared" si="1"/>
        <v>0</v>
      </c>
      <c r="G111" s="71" t="str">
        <f t="shared" si="2"/>
        <v>#DIV/0!</v>
      </c>
      <c r="H111" s="71"/>
      <c r="I111" s="4"/>
      <c r="J111" s="4"/>
      <c r="K111" s="4"/>
      <c r="L111" s="4"/>
      <c r="M111" s="4"/>
      <c r="N111" s="4"/>
      <c r="O111" s="4"/>
      <c r="P111" s="4"/>
      <c r="Q111" s="4"/>
    </row>
    <row r="112" ht="15.75" customHeight="1">
      <c r="A112" s="174"/>
      <c r="B112" s="174"/>
      <c r="C112" s="175"/>
      <c r="D112" s="217" t="s">
        <v>208</v>
      </c>
      <c r="E112" s="218">
        <f>SUM(E9:E111)</f>
        <v>0</v>
      </c>
      <c r="F112" s="218"/>
      <c r="G112" s="141"/>
      <c r="H112" s="108"/>
      <c r="I112" s="4"/>
      <c r="J112" s="4"/>
      <c r="K112" s="4"/>
      <c r="L112" s="4"/>
      <c r="M112" s="4"/>
      <c r="N112" s="4"/>
      <c r="O112" s="4"/>
      <c r="P112" s="4"/>
      <c r="Q112" s="4"/>
    </row>
    <row r="113" ht="15.75" customHeight="1">
      <c r="A113" s="221" t="s">
        <v>304</v>
      </c>
      <c r="B113" s="237"/>
      <c r="C113" s="186" t="s">
        <v>996</v>
      </c>
      <c r="D113" s="207" t="s">
        <v>136</v>
      </c>
      <c r="E113" s="221"/>
      <c r="F113" s="221" t="s">
        <v>138</v>
      </c>
      <c r="G113" s="222" t="s">
        <v>139</v>
      </c>
      <c r="H113" s="222" t="s">
        <v>140</v>
      </c>
      <c r="I113" s="4"/>
      <c r="J113" s="4"/>
      <c r="K113" s="4"/>
      <c r="L113" s="4"/>
      <c r="M113" s="4"/>
      <c r="N113" s="4"/>
      <c r="O113" s="4"/>
      <c r="P113" s="4"/>
      <c r="Q113" s="4"/>
    </row>
    <row r="114" ht="15.75" customHeight="1">
      <c r="A114" s="42">
        <v>8.44345919E9</v>
      </c>
      <c r="B114" s="42" t="s">
        <v>628</v>
      </c>
      <c r="C114" s="37">
        <v>2.0</v>
      </c>
      <c r="D114" s="38">
        <v>84.0</v>
      </c>
      <c r="E114" s="38"/>
      <c r="F114" s="238"/>
      <c r="G114" s="71">
        <f t="shared" ref="G114:G185" si="3">(360/D114)</f>
        <v>4.285714286</v>
      </c>
      <c r="H114" s="71"/>
      <c r="I114" s="4"/>
      <c r="J114" s="4"/>
      <c r="K114" s="4"/>
      <c r="L114" s="4"/>
      <c r="M114" s="4"/>
      <c r="N114" s="4"/>
      <c r="O114" s="4"/>
      <c r="P114" s="4"/>
      <c r="Q114" s="4"/>
    </row>
    <row r="115" ht="15.75" customHeight="1">
      <c r="A115" s="42">
        <v>1.1731548122E10</v>
      </c>
      <c r="B115" s="42" t="s">
        <v>997</v>
      </c>
      <c r="C115" s="37">
        <v>2.0</v>
      </c>
      <c r="D115" s="38">
        <v>84.0</v>
      </c>
      <c r="E115" s="38"/>
      <c r="F115" s="38"/>
      <c r="G115" s="71">
        <f t="shared" si="3"/>
        <v>4.285714286</v>
      </c>
      <c r="H115" s="71"/>
      <c r="I115" s="4"/>
      <c r="J115" s="4"/>
      <c r="K115" s="4"/>
      <c r="L115" s="4"/>
      <c r="M115" s="4"/>
      <c r="N115" s="4"/>
      <c r="O115" s="4"/>
      <c r="P115" s="4"/>
      <c r="Q115" s="4"/>
    </row>
    <row r="116" ht="15.75" customHeight="1">
      <c r="A116" s="42">
        <v>1.2017717122E10</v>
      </c>
      <c r="B116" s="42" t="s">
        <v>998</v>
      </c>
      <c r="C116" s="37">
        <v>2.0</v>
      </c>
      <c r="D116" s="38">
        <v>84.0</v>
      </c>
      <c r="E116" s="38"/>
      <c r="F116" s="38"/>
      <c r="G116" s="71">
        <f t="shared" si="3"/>
        <v>4.285714286</v>
      </c>
      <c r="H116" s="71"/>
      <c r="I116" s="4"/>
      <c r="J116" s="4"/>
      <c r="K116" s="4"/>
      <c r="L116" s="4"/>
      <c r="M116" s="4"/>
      <c r="N116" s="4"/>
      <c r="O116" s="4"/>
      <c r="P116" s="4"/>
      <c r="Q116" s="4"/>
    </row>
    <row r="117" ht="15.75" customHeight="1">
      <c r="A117" s="42">
        <v>9.07787119E9</v>
      </c>
      <c r="B117" s="42" t="s">
        <v>999</v>
      </c>
      <c r="C117" s="37">
        <v>2.0</v>
      </c>
      <c r="D117" s="38">
        <v>56.0</v>
      </c>
      <c r="E117" s="38"/>
      <c r="F117" s="38"/>
      <c r="G117" s="71">
        <f t="shared" si="3"/>
        <v>6.428571429</v>
      </c>
      <c r="H117" s="71"/>
      <c r="I117" s="4"/>
      <c r="J117" s="4"/>
      <c r="K117" s="4"/>
      <c r="L117" s="4"/>
      <c r="M117" s="4"/>
      <c r="N117" s="4"/>
      <c r="O117" s="4"/>
      <c r="P117" s="4"/>
      <c r="Q117" s="4"/>
    </row>
    <row r="118" ht="15.75" customHeight="1">
      <c r="A118" s="42">
        <v>9.04329219E9</v>
      </c>
      <c r="B118" s="42" t="s">
        <v>1000</v>
      </c>
      <c r="C118" s="37">
        <v>2.0</v>
      </c>
      <c r="D118" s="38">
        <v>84.0</v>
      </c>
      <c r="E118" s="38"/>
      <c r="F118" s="38"/>
      <c r="G118" s="71">
        <f t="shared" si="3"/>
        <v>4.285714286</v>
      </c>
      <c r="H118" s="71"/>
      <c r="I118" s="4"/>
      <c r="J118" s="4"/>
      <c r="K118" s="4"/>
      <c r="L118" s="4"/>
      <c r="M118" s="4"/>
      <c r="N118" s="4"/>
      <c r="O118" s="4"/>
      <c r="P118" s="4"/>
      <c r="Q118" s="4"/>
    </row>
    <row r="119" ht="15.75" customHeight="1">
      <c r="A119" s="42">
        <v>8.99140519E9</v>
      </c>
      <c r="B119" s="42" t="s">
        <v>1001</v>
      </c>
      <c r="C119" s="37">
        <v>2.0</v>
      </c>
      <c r="D119" s="38">
        <v>93.0</v>
      </c>
      <c r="E119" s="38"/>
      <c r="F119" s="38"/>
      <c r="G119" s="71">
        <f t="shared" si="3"/>
        <v>3.870967742</v>
      </c>
      <c r="H119" s="71"/>
      <c r="I119" s="4"/>
      <c r="J119" s="4"/>
      <c r="K119" s="4"/>
      <c r="L119" s="4"/>
      <c r="M119" s="4"/>
      <c r="N119" s="4"/>
      <c r="O119" s="4"/>
      <c r="P119" s="4"/>
      <c r="Q119" s="4"/>
    </row>
    <row r="120" ht="15.75" customHeight="1">
      <c r="A120" s="42">
        <v>6.47293119E9</v>
      </c>
      <c r="B120" s="42" t="s">
        <v>1002</v>
      </c>
      <c r="C120" s="37">
        <v>2.0</v>
      </c>
      <c r="D120" s="38">
        <v>56.0</v>
      </c>
      <c r="E120" s="38"/>
      <c r="F120" s="38"/>
      <c r="G120" s="71">
        <f t="shared" si="3"/>
        <v>6.428571429</v>
      </c>
      <c r="H120" s="71"/>
      <c r="I120" s="4"/>
      <c r="J120" s="4"/>
      <c r="K120" s="4"/>
      <c r="L120" s="4"/>
      <c r="M120" s="4"/>
      <c r="N120" s="4"/>
      <c r="O120" s="4"/>
      <c r="P120" s="4"/>
      <c r="Q120" s="4"/>
    </row>
    <row r="121" ht="15.75" customHeight="1">
      <c r="A121" s="42">
        <v>9.00503019E9</v>
      </c>
      <c r="B121" s="42" t="s">
        <v>1003</v>
      </c>
      <c r="C121" s="37">
        <v>2.0</v>
      </c>
      <c r="D121" s="38">
        <v>42.0</v>
      </c>
      <c r="E121" s="38"/>
      <c r="F121" s="38"/>
      <c r="G121" s="71">
        <f t="shared" si="3"/>
        <v>8.571428571</v>
      </c>
      <c r="H121" s="71"/>
      <c r="I121" s="4"/>
      <c r="J121" s="4"/>
      <c r="K121" s="4"/>
      <c r="L121" s="4"/>
      <c r="M121" s="4"/>
      <c r="N121" s="4"/>
      <c r="O121" s="4"/>
      <c r="P121" s="4"/>
      <c r="Q121" s="4"/>
    </row>
    <row r="122" ht="15.75" customHeight="1">
      <c r="A122" s="42">
        <v>8.49664119E9</v>
      </c>
      <c r="B122" s="42" t="s">
        <v>1004</v>
      </c>
      <c r="C122" s="37">
        <v>2.0</v>
      </c>
      <c r="D122" s="38">
        <v>84.0</v>
      </c>
      <c r="E122" s="38"/>
      <c r="F122" s="38"/>
      <c r="G122" s="71">
        <f t="shared" si="3"/>
        <v>4.285714286</v>
      </c>
      <c r="H122" s="71"/>
      <c r="I122" s="4"/>
      <c r="J122" s="4"/>
      <c r="K122" s="4"/>
      <c r="L122" s="4"/>
      <c r="M122" s="4"/>
      <c r="N122" s="4"/>
      <c r="O122" s="4"/>
      <c r="P122" s="4"/>
      <c r="Q122" s="4"/>
    </row>
    <row r="123" ht="15.75" customHeight="1">
      <c r="A123" s="42">
        <v>9.55742319E9</v>
      </c>
      <c r="B123" s="42" t="s">
        <v>1005</v>
      </c>
      <c r="C123" s="37">
        <v>2.0</v>
      </c>
      <c r="D123" s="38">
        <v>84.0</v>
      </c>
      <c r="E123" s="38"/>
      <c r="F123" s="38"/>
      <c r="G123" s="71">
        <f t="shared" si="3"/>
        <v>4.285714286</v>
      </c>
      <c r="H123" s="71"/>
      <c r="I123" s="4"/>
      <c r="J123" s="4"/>
      <c r="K123" s="4"/>
      <c r="L123" s="4"/>
      <c r="M123" s="4"/>
      <c r="N123" s="4"/>
      <c r="O123" s="4"/>
      <c r="P123" s="4"/>
      <c r="Q123" s="4"/>
    </row>
    <row r="124" ht="15.75" customHeight="1">
      <c r="A124" s="42">
        <v>9.55744019E9</v>
      </c>
      <c r="B124" s="42" t="s">
        <v>1006</v>
      </c>
      <c r="C124" s="37">
        <v>2.0</v>
      </c>
      <c r="D124" s="38">
        <v>84.0</v>
      </c>
      <c r="E124" s="38"/>
      <c r="F124" s="38"/>
      <c r="G124" s="71">
        <f t="shared" si="3"/>
        <v>4.285714286</v>
      </c>
      <c r="H124" s="71"/>
      <c r="I124" s="4"/>
      <c r="J124" s="4"/>
      <c r="K124" s="4"/>
      <c r="L124" s="4"/>
      <c r="M124" s="4"/>
      <c r="N124" s="4"/>
      <c r="O124" s="4"/>
      <c r="P124" s="4"/>
      <c r="Q124" s="4"/>
    </row>
    <row r="125" ht="15.75" customHeight="1">
      <c r="A125" s="42">
        <v>6.65604819E9</v>
      </c>
      <c r="B125" s="42" t="s">
        <v>1007</v>
      </c>
      <c r="C125" s="37">
        <v>2.0</v>
      </c>
      <c r="D125" s="38">
        <v>31.0</v>
      </c>
      <c r="E125" s="38"/>
      <c r="F125" s="38"/>
      <c r="G125" s="71">
        <f t="shared" si="3"/>
        <v>11.61290323</v>
      </c>
      <c r="H125" s="71"/>
      <c r="I125" s="4"/>
      <c r="J125" s="4"/>
      <c r="K125" s="4"/>
      <c r="L125" s="4"/>
      <c r="M125" s="4"/>
      <c r="N125" s="4"/>
      <c r="O125" s="4"/>
      <c r="P125" s="4"/>
      <c r="Q125" s="4"/>
    </row>
    <row r="126" ht="15.75" customHeight="1">
      <c r="A126" s="42">
        <v>7.09254719E9</v>
      </c>
      <c r="B126" s="42" t="s">
        <v>1008</v>
      </c>
      <c r="C126" s="37">
        <v>2.0</v>
      </c>
      <c r="D126" s="38">
        <v>31.0</v>
      </c>
      <c r="E126" s="38"/>
      <c r="F126" s="38"/>
      <c r="G126" s="71">
        <f t="shared" si="3"/>
        <v>11.61290323</v>
      </c>
      <c r="H126" s="71"/>
      <c r="I126" s="4"/>
      <c r="J126" s="4"/>
      <c r="K126" s="4"/>
      <c r="L126" s="4"/>
      <c r="M126" s="4"/>
      <c r="N126" s="4"/>
      <c r="O126" s="4"/>
      <c r="P126" s="4"/>
      <c r="Q126" s="4"/>
    </row>
    <row r="127" ht="15.75" customHeight="1">
      <c r="A127" s="42">
        <v>3.27735619E9</v>
      </c>
      <c r="B127" s="42" t="s">
        <v>1009</v>
      </c>
      <c r="C127" s="37">
        <v>2.0</v>
      </c>
      <c r="D127" s="38">
        <v>84.0</v>
      </c>
      <c r="E127" s="38"/>
      <c r="F127" s="38"/>
      <c r="G127" s="71">
        <f t="shared" si="3"/>
        <v>4.285714286</v>
      </c>
      <c r="H127" s="71"/>
      <c r="I127" s="4"/>
      <c r="J127" s="4"/>
      <c r="K127" s="4"/>
      <c r="L127" s="4"/>
      <c r="M127" s="4"/>
      <c r="N127" s="4"/>
      <c r="O127" s="4"/>
      <c r="P127" s="4"/>
      <c r="Q127" s="4"/>
    </row>
    <row r="128" ht="15.75" customHeight="1">
      <c r="A128" s="42">
        <v>5.20223019E9</v>
      </c>
      <c r="B128" s="42" t="s">
        <v>1010</v>
      </c>
      <c r="C128" s="37">
        <v>2.0</v>
      </c>
      <c r="D128" s="38">
        <v>84.0</v>
      </c>
      <c r="E128" s="38"/>
      <c r="F128" s="38"/>
      <c r="G128" s="71">
        <f t="shared" si="3"/>
        <v>4.285714286</v>
      </c>
      <c r="H128" s="71"/>
      <c r="I128" s="4"/>
      <c r="J128" s="4"/>
      <c r="K128" s="4"/>
      <c r="L128" s="4"/>
      <c r="M128" s="4"/>
      <c r="N128" s="4"/>
      <c r="O128" s="4"/>
      <c r="P128" s="4"/>
      <c r="Q128" s="4"/>
    </row>
    <row r="129" ht="15.75" customHeight="1">
      <c r="A129" s="42">
        <v>3.05202819E9</v>
      </c>
      <c r="B129" s="42" t="s">
        <v>1011</v>
      </c>
      <c r="C129" s="37">
        <v>2.0</v>
      </c>
      <c r="D129" s="38">
        <v>56.0</v>
      </c>
      <c r="E129" s="38"/>
      <c r="F129" s="38"/>
      <c r="G129" s="71">
        <f t="shared" si="3"/>
        <v>6.428571429</v>
      </c>
      <c r="H129" s="71"/>
      <c r="I129" s="4"/>
      <c r="J129" s="4"/>
      <c r="K129" s="4"/>
      <c r="L129" s="4"/>
      <c r="M129" s="4"/>
      <c r="N129" s="4"/>
      <c r="O129" s="4"/>
      <c r="P129" s="4"/>
      <c r="Q129" s="4"/>
    </row>
    <row r="130" ht="15.75" customHeight="1">
      <c r="A130" s="42">
        <v>3.000095122E9</v>
      </c>
      <c r="B130" s="42" t="s">
        <v>1012</v>
      </c>
      <c r="C130" s="37">
        <v>2.0</v>
      </c>
      <c r="D130" s="38">
        <v>84.0</v>
      </c>
      <c r="E130" s="38"/>
      <c r="F130" s="38"/>
      <c r="G130" s="71">
        <f t="shared" si="3"/>
        <v>4.285714286</v>
      </c>
      <c r="H130" s="71"/>
      <c r="I130" s="4"/>
      <c r="J130" s="4"/>
      <c r="K130" s="4"/>
      <c r="L130" s="4"/>
      <c r="M130" s="4"/>
      <c r="N130" s="4"/>
      <c r="O130" s="4"/>
      <c r="P130" s="4"/>
      <c r="Q130" s="4"/>
    </row>
    <row r="131" ht="15.75" customHeight="1">
      <c r="A131" s="42">
        <v>3.30265219E9</v>
      </c>
      <c r="B131" s="42" t="s">
        <v>1013</v>
      </c>
      <c r="C131" s="37">
        <v>2.0</v>
      </c>
      <c r="D131" s="38">
        <v>84.0</v>
      </c>
      <c r="E131" s="38"/>
      <c r="F131" s="38"/>
      <c r="G131" s="71">
        <f t="shared" si="3"/>
        <v>4.285714286</v>
      </c>
      <c r="H131" s="71"/>
      <c r="I131" s="4"/>
      <c r="J131" s="4"/>
      <c r="K131" s="4"/>
      <c r="L131" s="4"/>
      <c r="M131" s="4"/>
      <c r="N131" s="4"/>
      <c r="O131" s="4"/>
      <c r="P131" s="4"/>
      <c r="Q131" s="4"/>
    </row>
    <row r="132" ht="15.75" customHeight="1">
      <c r="A132" s="42">
        <v>9.01329619E9</v>
      </c>
      <c r="B132" s="42" t="s">
        <v>1014</v>
      </c>
      <c r="C132" s="37">
        <v>2.0</v>
      </c>
      <c r="D132" s="38">
        <v>84.0</v>
      </c>
      <c r="E132" s="38"/>
      <c r="F132" s="38"/>
      <c r="G132" s="71">
        <f t="shared" si="3"/>
        <v>4.285714286</v>
      </c>
      <c r="H132" s="71"/>
      <c r="I132" s="4"/>
      <c r="J132" s="4"/>
      <c r="K132" s="4"/>
      <c r="L132" s="4"/>
      <c r="M132" s="4"/>
      <c r="N132" s="4"/>
      <c r="O132" s="4"/>
      <c r="P132" s="4"/>
      <c r="Q132" s="4"/>
    </row>
    <row r="133" ht="15.75" customHeight="1">
      <c r="A133" s="42">
        <v>4.8540802E9</v>
      </c>
      <c r="B133" s="158" t="s">
        <v>1015</v>
      </c>
      <c r="C133" s="37">
        <v>2.0</v>
      </c>
      <c r="D133" s="38">
        <v>84.0</v>
      </c>
      <c r="E133" s="38"/>
      <c r="F133" s="38"/>
      <c r="G133" s="71">
        <f t="shared" si="3"/>
        <v>4.285714286</v>
      </c>
      <c r="H133" s="71"/>
      <c r="I133" s="4"/>
      <c r="J133" s="4"/>
      <c r="K133" s="4"/>
      <c r="L133" s="4"/>
      <c r="M133" s="4"/>
      <c r="N133" s="4"/>
      <c r="O133" s="4"/>
      <c r="P133" s="4"/>
      <c r="Q133" s="4"/>
    </row>
    <row r="134" ht="15.75" customHeight="1">
      <c r="A134" s="42">
        <v>4.8541012E9</v>
      </c>
      <c r="B134" s="158" t="s">
        <v>1016</v>
      </c>
      <c r="C134" s="37">
        <v>2.0</v>
      </c>
      <c r="D134" s="38">
        <v>84.0</v>
      </c>
      <c r="E134" s="38"/>
      <c r="F134" s="38"/>
      <c r="G134" s="71">
        <f t="shared" si="3"/>
        <v>4.285714286</v>
      </c>
      <c r="H134" s="71"/>
      <c r="I134" s="4"/>
      <c r="J134" s="4"/>
      <c r="K134" s="4"/>
      <c r="L134" s="4"/>
      <c r="M134" s="4"/>
      <c r="N134" s="4"/>
      <c r="O134" s="4"/>
      <c r="P134" s="4"/>
      <c r="Q134" s="4"/>
    </row>
    <row r="135" ht="15.75" customHeight="1">
      <c r="A135" s="42">
        <v>5.14470119E9</v>
      </c>
      <c r="B135" s="42" t="s">
        <v>1017</v>
      </c>
      <c r="C135" s="37">
        <v>2.0</v>
      </c>
      <c r="D135" s="38">
        <v>28.0</v>
      </c>
      <c r="E135" s="38"/>
      <c r="F135" s="38"/>
      <c r="G135" s="71">
        <f t="shared" si="3"/>
        <v>12.85714286</v>
      </c>
      <c r="H135" s="71"/>
      <c r="I135" s="4"/>
      <c r="J135" s="4"/>
      <c r="K135" s="4"/>
      <c r="L135" s="4"/>
      <c r="M135" s="4"/>
      <c r="N135" s="4"/>
      <c r="O135" s="4"/>
      <c r="P135" s="4"/>
      <c r="Q135" s="4"/>
    </row>
    <row r="136" ht="15.75" customHeight="1">
      <c r="A136" s="42">
        <v>5.10953119E9</v>
      </c>
      <c r="B136" s="42" t="s">
        <v>1018</v>
      </c>
      <c r="C136" s="37">
        <v>2.0</v>
      </c>
      <c r="D136" s="38">
        <v>28.0</v>
      </c>
      <c r="E136" s="38"/>
      <c r="F136" s="38"/>
      <c r="G136" s="71">
        <f t="shared" si="3"/>
        <v>12.85714286</v>
      </c>
      <c r="H136" s="71"/>
      <c r="I136" s="4"/>
      <c r="J136" s="4"/>
      <c r="K136" s="4"/>
      <c r="L136" s="4"/>
      <c r="M136" s="4"/>
      <c r="N136" s="4"/>
      <c r="O136" s="4"/>
      <c r="P136" s="4"/>
      <c r="Q136" s="4"/>
    </row>
    <row r="137" ht="15.75" customHeight="1">
      <c r="A137" s="42">
        <v>3.18491919E9</v>
      </c>
      <c r="B137" s="42" t="s">
        <v>1019</v>
      </c>
      <c r="C137" s="37">
        <v>2.0</v>
      </c>
      <c r="D137" s="38">
        <v>28.0</v>
      </c>
      <c r="E137" s="38"/>
      <c r="F137" s="38"/>
      <c r="G137" s="71">
        <f t="shared" si="3"/>
        <v>12.85714286</v>
      </c>
      <c r="H137" s="71"/>
      <c r="I137" s="4"/>
      <c r="J137" s="4"/>
      <c r="K137" s="4"/>
      <c r="L137" s="4"/>
      <c r="M137" s="4"/>
      <c r="N137" s="4"/>
      <c r="O137" s="4"/>
      <c r="P137" s="4"/>
      <c r="Q137" s="4"/>
    </row>
    <row r="138" ht="15.75" customHeight="1">
      <c r="A138" s="42">
        <v>1.2017504122E10</v>
      </c>
      <c r="B138" s="42" t="s">
        <v>1020</v>
      </c>
      <c r="C138" s="37">
        <v>2.0</v>
      </c>
      <c r="D138" s="38">
        <v>84.0</v>
      </c>
      <c r="E138" s="38"/>
      <c r="F138" s="38"/>
      <c r="G138" s="71">
        <f t="shared" si="3"/>
        <v>4.285714286</v>
      </c>
      <c r="H138" s="71"/>
      <c r="I138" s="4"/>
      <c r="J138" s="4"/>
      <c r="K138" s="4"/>
      <c r="L138" s="4"/>
      <c r="M138" s="4"/>
      <c r="N138" s="4"/>
      <c r="O138" s="4"/>
      <c r="P138" s="4"/>
      <c r="Q138" s="4"/>
    </row>
    <row r="139" ht="15.75" customHeight="1">
      <c r="A139" s="42">
        <v>6.68775019E9</v>
      </c>
      <c r="B139" s="42" t="s">
        <v>1021</v>
      </c>
      <c r="C139" s="37">
        <v>2.0</v>
      </c>
      <c r="D139" s="38">
        <v>84.0</v>
      </c>
      <c r="E139" s="38"/>
      <c r="F139" s="38"/>
      <c r="G139" s="71">
        <f t="shared" si="3"/>
        <v>4.285714286</v>
      </c>
      <c r="H139" s="71"/>
      <c r="I139" s="4"/>
      <c r="J139" s="4"/>
      <c r="K139" s="4"/>
      <c r="L139" s="4"/>
      <c r="M139" s="4"/>
      <c r="N139" s="4"/>
      <c r="O139" s="4"/>
      <c r="P139" s="4"/>
      <c r="Q139" s="4"/>
    </row>
    <row r="140" ht="15.75" customHeight="1">
      <c r="A140" s="42">
        <v>9.29094019E9</v>
      </c>
      <c r="B140" s="42" t="s">
        <v>1022</v>
      </c>
      <c r="C140" s="37">
        <v>2.0</v>
      </c>
      <c r="D140" s="38">
        <v>1.0</v>
      </c>
      <c r="E140" s="38"/>
      <c r="F140" s="38"/>
      <c r="G140" s="71">
        <f t="shared" si="3"/>
        <v>360</v>
      </c>
      <c r="H140" s="71"/>
      <c r="I140" s="4"/>
      <c r="J140" s="4"/>
      <c r="K140" s="4"/>
      <c r="L140" s="4"/>
      <c r="M140" s="4"/>
      <c r="N140" s="4"/>
      <c r="O140" s="4"/>
      <c r="P140" s="4"/>
      <c r="Q140" s="4"/>
    </row>
    <row r="141" ht="15.75" customHeight="1">
      <c r="A141" s="42">
        <v>8.95982019E9</v>
      </c>
      <c r="B141" s="42" t="s">
        <v>1023</v>
      </c>
      <c r="C141" s="37">
        <v>2.0</v>
      </c>
      <c r="D141" s="38">
        <v>28.0</v>
      </c>
      <c r="E141" s="38"/>
      <c r="F141" s="38"/>
      <c r="G141" s="71">
        <f t="shared" si="3"/>
        <v>12.85714286</v>
      </c>
      <c r="H141" s="71"/>
      <c r="I141" s="4"/>
      <c r="J141" s="4"/>
      <c r="K141" s="4"/>
      <c r="L141" s="4"/>
      <c r="M141" s="4"/>
      <c r="N141" s="4"/>
      <c r="O141" s="4"/>
      <c r="P141" s="4"/>
      <c r="Q141" s="4"/>
    </row>
    <row r="142" ht="15.75" customHeight="1">
      <c r="A142" s="42">
        <v>5.39013319E9</v>
      </c>
      <c r="B142" s="42" t="s">
        <v>1024</v>
      </c>
      <c r="C142" s="37">
        <v>2.0</v>
      </c>
      <c r="D142" s="38">
        <v>28.0</v>
      </c>
      <c r="E142" s="38"/>
      <c r="F142" s="38"/>
      <c r="G142" s="71">
        <f t="shared" si="3"/>
        <v>12.85714286</v>
      </c>
      <c r="H142" s="71"/>
      <c r="I142" s="4"/>
      <c r="J142" s="4"/>
      <c r="K142" s="4"/>
      <c r="L142" s="4"/>
      <c r="M142" s="4"/>
      <c r="N142" s="4"/>
      <c r="O142" s="4"/>
      <c r="P142" s="4"/>
      <c r="Q142" s="4"/>
    </row>
    <row r="143" ht="15.75" customHeight="1">
      <c r="A143" s="42">
        <v>7.95720319E9</v>
      </c>
      <c r="B143" s="42" t="s">
        <v>1025</v>
      </c>
      <c r="C143" s="37">
        <v>2.0</v>
      </c>
      <c r="D143" s="38">
        <v>28.0</v>
      </c>
      <c r="E143" s="38"/>
      <c r="F143" s="38"/>
      <c r="G143" s="71">
        <f t="shared" si="3"/>
        <v>12.85714286</v>
      </c>
      <c r="H143" s="71"/>
      <c r="I143" s="4"/>
      <c r="J143" s="4"/>
      <c r="K143" s="4"/>
      <c r="L143" s="4"/>
      <c r="M143" s="4"/>
      <c r="N143" s="4"/>
      <c r="O143" s="4"/>
      <c r="P143" s="4"/>
      <c r="Q143" s="4"/>
    </row>
    <row r="144" ht="15.75" customHeight="1">
      <c r="A144" s="42">
        <v>8.83853419E9</v>
      </c>
      <c r="B144" s="42" t="s">
        <v>1026</v>
      </c>
      <c r="C144" s="37">
        <v>2.0</v>
      </c>
      <c r="D144" s="38">
        <v>84.0</v>
      </c>
      <c r="E144" s="38"/>
      <c r="F144" s="38"/>
      <c r="G144" s="71">
        <f t="shared" si="3"/>
        <v>4.285714286</v>
      </c>
      <c r="H144" s="71"/>
      <c r="I144" s="4"/>
      <c r="J144" s="4"/>
      <c r="K144" s="4"/>
      <c r="L144" s="4"/>
      <c r="M144" s="4"/>
      <c r="N144" s="4"/>
      <c r="O144" s="4"/>
      <c r="P144" s="4"/>
      <c r="Q144" s="4"/>
    </row>
    <row r="145" ht="15.75" customHeight="1">
      <c r="A145" s="42">
        <v>8.85196419E9</v>
      </c>
      <c r="B145" s="42" t="s">
        <v>1027</v>
      </c>
      <c r="C145" s="37">
        <v>2.0</v>
      </c>
      <c r="D145" s="38">
        <v>84.0</v>
      </c>
      <c r="E145" s="38"/>
      <c r="F145" s="38"/>
      <c r="G145" s="71">
        <f t="shared" si="3"/>
        <v>4.285714286</v>
      </c>
      <c r="H145" s="71"/>
      <c r="I145" s="4"/>
      <c r="J145" s="4"/>
      <c r="K145" s="4"/>
      <c r="L145" s="4"/>
      <c r="M145" s="4"/>
      <c r="N145" s="4"/>
      <c r="O145" s="4"/>
      <c r="P145" s="4"/>
      <c r="Q145" s="4"/>
    </row>
    <row r="146" ht="15.75" customHeight="1">
      <c r="A146" s="42">
        <v>9.22726119E9</v>
      </c>
      <c r="B146" s="42" t="s">
        <v>1028</v>
      </c>
      <c r="C146" s="37">
        <v>2.0</v>
      </c>
      <c r="D146" s="38">
        <v>84.0</v>
      </c>
      <c r="E146" s="38"/>
      <c r="F146" s="38"/>
      <c r="G146" s="71">
        <f t="shared" si="3"/>
        <v>4.285714286</v>
      </c>
      <c r="H146" s="71"/>
      <c r="I146" s="4"/>
      <c r="J146" s="4"/>
      <c r="K146" s="4"/>
      <c r="L146" s="4"/>
      <c r="M146" s="4"/>
      <c r="N146" s="4"/>
      <c r="O146" s="4"/>
      <c r="P146" s="4"/>
      <c r="Q146" s="4"/>
    </row>
    <row r="147" ht="15.75" customHeight="1">
      <c r="A147" s="42">
        <v>1.1731645322E10</v>
      </c>
      <c r="B147" s="42" t="s">
        <v>1029</v>
      </c>
      <c r="C147" s="37">
        <v>2.0</v>
      </c>
      <c r="D147" s="38">
        <v>84.0</v>
      </c>
      <c r="E147" s="38"/>
      <c r="F147" s="38"/>
      <c r="G147" s="71">
        <f t="shared" si="3"/>
        <v>4.285714286</v>
      </c>
      <c r="H147" s="71"/>
      <c r="I147" s="4"/>
      <c r="J147" s="4"/>
      <c r="K147" s="4"/>
      <c r="L147" s="4"/>
      <c r="M147" s="4"/>
      <c r="N147" s="4"/>
      <c r="O147" s="4"/>
      <c r="P147" s="4"/>
      <c r="Q147" s="4"/>
    </row>
    <row r="148" ht="15.75" customHeight="1">
      <c r="A148" s="42">
        <v>7.03020719E9</v>
      </c>
      <c r="B148" s="42" t="s">
        <v>1030</v>
      </c>
      <c r="C148" s="37">
        <v>2.0</v>
      </c>
      <c r="D148" s="38">
        <v>140.0</v>
      </c>
      <c r="E148" s="38"/>
      <c r="F148" s="38"/>
      <c r="G148" s="71">
        <f t="shared" si="3"/>
        <v>2.571428571</v>
      </c>
      <c r="H148" s="71"/>
      <c r="I148" s="4"/>
      <c r="J148" s="4"/>
      <c r="K148" s="4"/>
      <c r="L148" s="4"/>
      <c r="M148" s="4"/>
      <c r="N148" s="4"/>
      <c r="O148" s="4"/>
      <c r="P148" s="4"/>
      <c r="Q148" s="4"/>
    </row>
    <row r="149" ht="15.75" customHeight="1">
      <c r="A149" s="42">
        <v>3.045846122E9</v>
      </c>
      <c r="B149" s="42" t="s">
        <v>1031</v>
      </c>
      <c r="C149" s="37">
        <v>2.0</v>
      </c>
      <c r="D149" s="38">
        <v>84.0</v>
      </c>
      <c r="E149" s="38"/>
      <c r="F149" s="38"/>
      <c r="G149" s="71">
        <f t="shared" si="3"/>
        <v>4.285714286</v>
      </c>
      <c r="H149" s="71"/>
      <c r="I149" s="4"/>
      <c r="J149" s="4"/>
      <c r="K149" s="4"/>
      <c r="L149" s="4"/>
      <c r="M149" s="4"/>
      <c r="N149" s="4"/>
      <c r="O149" s="4"/>
      <c r="P149" s="4"/>
      <c r="Q149" s="4"/>
    </row>
    <row r="150" ht="15.75" customHeight="1">
      <c r="A150" s="42">
        <v>1.1776215122E10</v>
      </c>
      <c r="B150" s="42" t="s">
        <v>1032</v>
      </c>
      <c r="C150" s="37">
        <v>2.0</v>
      </c>
      <c r="D150" s="38">
        <v>56.0</v>
      </c>
      <c r="E150" s="38"/>
      <c r="F150" s="38"/>
      <c r="G150" s="71">
        <f t="shared" si="3"/>
        <v>6.428571429</v>
      </c>
      <c r="H150" s="71"/>
      <c r="I150" s="4"/>
      <c r="J150" s="4"/>
      <c r="K150" s="4"/>
      <c r="L150" s="4"/>
      <c r="M150" s="4"/>
      <c r="N150" s="4"/>
      <c r="O150" s="4"/>
      <c r="P150" s="4"/>
      <c r="Q150" s="4"/>
    </row>
    <row r="151" ht="15.75" customHeight="1">
      <c r="A151" s="42">
        <v>1.1820974322E10</v>
      </c>
      <c r="B151" s="42" t="s">
        <v>1033</v>
      </c>
      <c r="C151" s="37">
        <v>2.0</v>
      </c>
      <c r="D151" s="38">
        <v>56.0</v>
      </c>
      <c r="E151" s="38"/>
      <c r="F151" s="38"/>
      <c r="G151" s="71">
        <f t="shared" si="3"/>
        <v>6.428571429</v>
      </c>
      <c r="H151" s="71"/>
      <c r="I151" s="4"/>
      <c r="J151" s="4"/>
      <c r="K151" s="4"/>
      <c r="L151" s="4"/>
      <c r="M151" s="4"/>
      <c r="N151" s="4"/>
      <c r="O151" s="4"/>
      <c r="P151" s="4"/>
      <c r="Q151" s="4"/>
    </row>
    <row r="152" ht="15.75" customHeight="1">
      <c r="A152" s="42">
        <v>9.17513019E9</v>
      </c>
      <c r="B152" s="42" t="s">
        <v>1034</v>
      </c>
      <c r="C152" s="37">
        <v>2.0</v>
      </c>
      <c r="D152" s="38">
        <v>42.0</v>
      </c>
      <c r="E152" s="38"/>
      <c r="F152" s="38"/>
      <c r="G152" s="71">
        <f t="shared" si="3"/>
        <v>8.571428571</v>
      </c>
      <c r="H152" s="71"/>
      <c r="I152" s="4"/>
      <c r="J152" s="4"/>
      <c r="K152" s="4"/>
      <c r="L152" s="4"/>
      <c r="M152" s="4"/>
      <c r="N152" s="4"/>
      <c r="O152" s="4"/>
      <c r="P152" s="4"/>
      <c r="Q152" s="4"/>
    </row>
    <row r="153" ht="15.75" customHeight="1">
      <c r="A153" s="42">
        <v>1.2133121122E10</v>
      </c>
      <c r="B153" s="42" t="s">
        <v>1035</v>
      </c>
      <c r="C153" s="37">
        <v>2.0</v>
      </c>
      <c r="D153" s="38">
        <v>42.0</v>
      </c>
      <c r="E153" s="38"/>
      <c r="F153" s="38"/>
      <c r="G153" s="71">
        <f t="shared" si="3"/>
        <v>8.571428571</v>
      </c>
      <c r="H153" s="71"/>
      <c r="I153" s="4"/>
      <c r="J153" s="4"/>
      <c r="K153" s="4"/>
      <c r="L153" s="4"/>
      <c r="M153" s="4"/>
      <c r="N153" s="4"/>
      <c r="O153" s="4"/>
      <c r="P153" s="4"/>
      <c r="Q153" s="4"/>
    </row>
    <row r="154" ht="15.75" customHeight="1">
      <c r="A154" s="42">
        <v>3.28983419E9</v>
      </c>
      <c r="B154" s="42" t="s">
        <v>1036</v>
      </c>
      <c r="C154" s="37">
        <v>2.0</v>
      </c>
      <c r="D154" s="38">
        <v>84.0</v>
      </c>
      <c r="E154" s="38"/>
      <c r="F154" s="38"/>
      <c r="G154" s="71">
        <f t="shared" si="3"/>
        <v>4.285714286</v>
      </c>
      <c r="H154" s="71"/>
      <c r="I154" s="4"/>
      <c r="J154" s="4"/>
      <c r="K154" s="4"/>
      <c r="L154" s="4"/>
      <c r="M154" s="4"/>
      <c r="N154" s="4"/>
      <c r="O154" s="4"/>
      <c r="P154" s="4"/>
      <c r="Q154" s="4"/>
    </row>
    <row r="155" ht="15.75" customHeight="1">
      <c r="A155" s="42">
        <v>5.95094519E9</v>
      </c>
      <c r="B155" s="42" t="s">
        <v>1037</v>
      </c>
      <c r="C155" s="37">
        <v>2.0</v>
      </c>
      <c r="D155" s="38">
        <v>56.0</v>
      </c>
      <c r="E155" s="38"/>
      <c r="F155" s="38"/>
      <c r="G155" s="71">
        <f t="shared" si="3"/>
        <v>6.428571429</v>
      </c>
      <c r="H155" s="71"/>
      <c r="I155" s="4"/>
      <c r="J155" s="4"/>
      <c r="K155" s="4"/>
      <c r="L155" s="4"/>
      <c r="M155" s="4"/>
      <c r="N155" s="4"/>
      <c r="O155" s="4"/>
      <c r="P155" s="4"/>
      <c r="Q155" s="4"/>
    </row>
    <row r="156" ht="15.75" customHeight="1">
      <c r="A156" s="42">
        <v>8.33363719E9</v>
      </c>
      <c r="B156" s="42" t="s">
        <v>1038</v>
      </c>
      <c r="C156" s="37">
        <v>2.0</v>
      </c>
      <c r="D156" s="38">
        <v>28.0</v>
      </c>
      <c r="E156" s="38"/>
      <c r="F156" s="38"/>
      <c r="G156" s="71">
        <f t="shared" si="3"/>
        <v>12.85714286</v>
      </c>
      <c r="H156" s="71"/>
      <c r="I156" s="4"/>
      <c r="J156" s="4"/>
      <c r="K156" s="4"/>
      <c r="L156" s="4"/>
      <c r="M156" s="4"/>
      <c r="N156" s="4"/>
      <c r="O156" s="4"/>
      <c r="P156" s="4"/>
      <c r="Q156" s="4"/>
    </row>
    <row r="157" ht="15.75" customHeight="1">
      <c r="A157" s="42">
        <v>6.50597019E9</v>
      </c>
      <c r="B157" s="42" t="s">
        <v>1039</v>
      </c>
      <c r="C157" s="37">
        <v>2.0</v>
      </c>
      <c r="D157" s="38">
        <v>56.0</v>
      </c>
      <c r="E157" s="38"/>
      <c r="F157" s="38"/>
      <c r="G157" s="71">
        <f t="shared" si="3"/>
        <v>6.428571429</v>
      </c>
      <c r="H157" s="71"/>
      <c r="I157" s="4"/>
      <c r="J157" s="4"/>
      <c r="K157" s="4"/>
      <c r="L157" s="4"/>
      <c r="M157" s="4"/>
      <c r="N157" s="4"/>
      <c r="O157" s="4"/>
      <c r="P157" s="4"/>
      <c r="Q157" s="4"/>
    </row>
    <row r="158" ht="15.75" customHeight="1">
      <c r="A158" s="42">
        <v>7.12699919E9</v>
      </c>
      <c r="B158" s="42" t="s">
        <v>1040</v>
      </c>
      <c r="C158" s="37">
        <v>2.0</v>
      </c>
      <c r="D158" s="38">
        <v>28.0</v>
      </c>
      <c r="E158" s="38"/>
      <c r="F158" s="38"/>
      <c r="G158" s="71">
        <f t="shared" si="3"/>
        <v>12.85714286</v>
      </c>
      <c r="H158" s="71"/>
      <c r="I158" s="4"/>
      <c r="J158" s="4"/>
      <c r="K158" s="4"/>
      <c r="L158" s="4"/>
      <c r="M158" s="4"/>
      <c r="N158" s="4"/>
      <c r="O158" s="4"/>
      <c r="P158" s="4"/>
      <c r="Q158" s="4"/>
    </row>
    <row r="159" ht="15.75" customHeight="1">
      <c r="A159" s="42">
        <v>1.1820907322E10</v>
      </c>
      <c r="B159" s="42" t="s">
        <v>1041</v>
      </c>
      <c r="C159" s="37">
        <v>2.0</v>
      </c>
      <c r="D159" s="38">
        <v>56.0</v>
      </c>
      <c r="E159" s="38"/>
      <c r="F159" s="38"/>
      <c r="G159" s="71">
        <f t="shared" si="3"/>
        <v>6.428571429</v>
      </c>
      <c r="H159" s="71"/>
      <c r="I159" s="4"/>
      <c r="J159" s="4"/>
      <c r="K159" s="4"/>
      <c r="L159" s="4"/>
      <c r="M159" s="4"/>
      <c r="N159" s="4"/>
      <c r="O159" s="4"/>
      <c r="P159" s="4"/>
      <c r="Q159" s="4"/>
    </row>
    <row r="160" ht="15.75" customHeight="1">
      <c r="A160" s="42">
        <v>7.39466719E9</v>
      </c>
      <c r="B160" s="42" t="s">
        <v>1042</v>
      </c>
      <c r="C160" s="37">
        <v>2.0</v>
      </c>
      <c r="D160" s="38">
        <v>84.0</v>
      </c>
      <c r="E160" s="38"/>
      <c r="F160" s="38"/>
      <c r="G160" s="71">
        <f t="shared" si="3"/>
        <v>4.285714286</v>
      </c>
      <c r="H160" s="71"/>
      <c r="I160" s="4"/>
      <c r="J160" s="4"/>
      <c r="K160" s="4"/>
      <c r="L160" s="4"/>
      <c r="M160" s="4"/>
      <c r="N160" s="4"/>
      <c r="O160" s="4"/>
      <c r="P160" s="4"/>
      <c r="Q160" s="4"/>
    </row>
    <row r="161" ht="15.75" customHeight="1">
      <c r="A161" s="42">
        <v>7.39467519E9</v>
      </c>
      <c r="B161" s="42" t="s">
        <v>1043</v>
      </c>
      <c r="C161" s="37">
        <v>2.0</v>
      </c>
      <c r="D161" s="38">
        <v>84.0</v>
      </c>
      <c r="E161" s="38"/>
      <c r="F161" s="38"/>
      <c r="G161" s="71">
        <f t="shared" si="3"/>
        <v>4.285714286</v>
      </c>
      <c r="H161" s="71"/>
      <c r="I161" s="4"/>
      <c r="J161" s="4"/>
      <c r="K161" s="4"/>
      <c r="L161" s="4"/>
      <c r="M161" s="4"/>
      <c r="N161" s="4"/>
      <c r="O161" s="4"/>
      <c r="P161" s="4"/>
      <c r="Q161" s="4"/>
    </row>
    <row r="162" ht="15.75" customHeight="1">
      <c r="A162" s="42">
        <v>7.12594119E9</v>
      </c>
      <c r="B162" s="42" t="s">
        <v>1044</v>
      </c>
      <c r="C162" s="37">
        <v>2.0</v>
      </c>
      <c r="D162" s="38">
        <v>56.0</v>
      </c>
      <c r="E162" s="38"/>
      <c r="F162" s="38"/>
      <c r="G162" s="71">
        <f t="shared" si="3"/>
        <v>6.428571429</v>
      </c>
      <c r="H162" s="71"/>
      <c r="I162" s="4"/>
      <c r="J162" s="4"/>
      <c r="K162" s="4"/>
      <c r="L162" s="4"/>
      <c r="M162" s="4"/>
      <c r="N162" s="4"/>
      <c r="O162" s="4"/>
      <c r="P162" s="4"/>
      <c r="Q162" s="4"/>
    </row>
    <row r="163" ht="15.75" customHeight="1">
      <c r="A163" s="42">
        <v>9.31537319E9</v>
      </c>
      <c r="B163" s="42" t="s">
        <v>1045</v>
      </c>
      <c r="C163" s="37">
        <v>2.0</v>
      </c>
      <c r="D163" s="38">
        <v>84.0</v>
      </c>
      <c r="E163" s="38"/>
      <c r="F163" s="38"/>
      <c r="G163" s="71">
        <f t="shared" si="3"/>
        <v>4.285714286</v>
      </c>
      <c r="H163" s="71"/>
      <c r="I163" s="4"/>
      <c r="J163" s="4"/>
      <c r="K163" s="4"/>
      <c r="L163" s="4"/>
      <c r="M163" s="4"/>
      <c r="N163" s="4"/>
      <c r="O163" s="4"/>
      <c r="P163" s="4"/>
      <c r="Q163" s="4"/>
    </row>
    <row r="164" ht="15.75" customHeight="1">
      <c r="A164" s="42">
        <v>7.43954719E9</v>
      </c>
      <c r="B164" s="42" t="s">
        <v>1046</v>
      </c>
      <c r="C164" s="37">
        <v>2.0</v>
      </c>
      <c r="D164" s="38">
        <v>84.0</v>
      </c>
      <c r="E164" s="38"/>
      <c r="F164" s="38"/>
      <c r="G164" s="71">
        <f t="shared" si="3"/>
        <v>4.285714286</v>
      </c>
      <c r="H164" s="71"/>
      <c r="I164" s="4"/>
      <c r="J164" s="4"/>
      <c r="K164" s="4"/>
      <c r="L164" s="4"/>
      <c r="M164" s="4"/>
      <c r="N164" s="4"/>
      <c r="O164" s="4"/>
      <c r="P164" s="4"/>
      <c r="Q164" s="4"/>
    </row>
    <row r="165" ht="15.75" customHeight="1">
      <c r="A165" s="214" t="s">
        <v>1047</v>
      </c>
      <c r="B165" s="215" t="s">
        <v>1048</v>
      </c>
      <c r="C165" s="37">
        <v>2.0</v>
      </c>
      <c r="D165" s="38">
        <v>84.0</v>
      </c>
      <c r="E165" s="38"/>
      <c r="F165" s="38"/>
      <c r="G165" s="71">
        <f t="shared" si="3"/>
        <v>4.285714286</v>
      </c>
      <c r="H165" s="71"/>
      <c r="I165" s="4"/>
      <c r="J165" s="4"/>
      <c r="K165" s="4"/>
      <c r="L165" s="4"/>
      <c r="M165" s="4"/>
      <c r="N165" s="4"/>
      <c r="O165" s="4"/>
      <c r="P165" s="4"/>
      <c r="Q165" s="4"/>
    </row>
    <row r="166" ht="15.75" customHeight="1">
      <c r="A166" s="42">
        <v>9.00568419E9</v>
      </c>
      <c r="B166" s="42" t="s">
        <v>1049</v>
      </c>
      <c r="C166" s="37">
        <v>2.0</v>
      </c>
      <c r="D166" s="38">
        <v>84.0</v>
      </c>
      <c r="E166" s="38"/>
      <c r="F166" s="38"/>
      <c r="G166" s="71">
        <f t="shared" si="3"/>
        <v>4.285714286</v>
      </c>
      <c r="H166" s="71"/>
      <c r="I166" s="4"/>
      <c r="J166" s="4"/>
      <c r="K166" s="4"/>
      <c r="L166" s="4"/>
      <c r="M166" s="4"/>
      <c r="N166" s="4"/>
      <c r="O166" s="4"/>
      <c r="P166" s="4"/>
      <c r="Q166" s="4"/>
    </row>
    <row r="167" ht="15.75" customHeight="1">
      <c r="A167" s="42">
        <v>5.10946919E9</v>
      </c>
      <c r="B167" s="42" t="s">
        <v>1050</v>
      </c>
      <c r="C167" s="37">
        <v>2.0</v>
      </c>
      <c r="D167" s="38">
        <v>84.0</v>
      </c>
      <c r="E167" s="38"/>
      <c r="F167" s="38"/>
      <c r="G167" s="71">
        <f t="shared" si="3"/>
        <v>4.285714286</v>
      </c>
      <c r="H167" s="71"/>
      <c r="I167" s="4"/>
      <c r="J167" s="4"/>
      <c r="K167" s="4"/>
      <c r="L167" s="4"/>
      <c r="M167" s="4"/>
      <c r="N167" s="4"/>
      <c r="O167" s="4"/>
      <c r="P167" s="4"/>
      <c r="Q167" s="4"/>
    </row>
    <row r="168" ht="15.75" customHeight="1">
      <c r="A168" s="42">
        <v>3.73758619E9</v>
      </c>
      <c r="B168" s="42" t="s">
        <v>1051</v>
      </c>
      <c r="C168" s="37">
        <v>2.0</v>
      </c>
      <c r="D168" s="38">
        <v>84.0</v>
      </c>
      <c r="E168" s="38"/>
      <c r="F168" s="38"/>
      <c r="G168" s="71">
        <f t="shared" si="3"/>
        <v>4.285714286</v>
      </c>
      <c r="H168" s="71"/>
      <c r="I168" s="4"/>
      <c r="J168" s="4"/>
      <c r="K168" s="4"/>
      <c r="L168" s="4"/>
      <c r="M168" s="4"/>
      <c r="N168" s="4"/>
      <c r="O168" s="4"/>
      <c r="P168" s="4"/>
      <c r="Q168" s="4"/>
    </row>
    <row r="169" ht="15.75" customHeight="1">
      <c r="A169" s="42">
        <v>7.39647319E9</v>
      </c>
      <c r="B169" s="42" t="s">
        <v>1052</v>
      </c>
      <c r="C169" s="37">
        <v>2.0</v>
      </c>
      <c r="D169" s="38">
        <v>84.0</v>
      </c>
      <c r="E169" s="38"/>
      <c r="F169" s="38"/>
      <c r="G169" s="71">
        <f t="shared" si="3"/>
        <v>4.285714286</v>
      </c>
      <c r="H169" s="71"/>
      <c r="I169" s="4"/>
      <c r="J169" s="4"/>
      <c r="K169" s="4"/>
      <c r="L169" s="4"/>
      <c r="M169" s="4"/>
      <c r="N169" s="4"/>
      <c r="O169" s="4"/>
      <c r="P169" s="4"/>
      <c r="Q169" s="4"/>
    </row>
    <row r="170" ht="15.75" customHeight="1">
      <c r="A170" s="42">
        <v>7.21278019E9</v>
      </c>
      <c r="B170" s="42" t="s">
        <v>1053</v>
      </c>
      <c r="C170" s="37">
        <v>2.0</v>
      </c>
      <c r="D170" s="38">
        <v>84.0</v>
      </c>
      <c r="E170" s="38"/>
      <c r="F170" s="38"/>
      <c r="G170" s="71">
        <f t="shared" si="3"/>
        <v>4.285714286</v>
      </c>
      <c r="H170" s="71"/>
      <c r="I170" s="4"/>
      <c r="J170" s="4"/>
      <c r="K170" s="4"/>
      <c r="L170" s="4"/>
      <c r="M170" s="4"/>
      <c r="N170" s="4"/>
      <c r="O170" s="4"/>
      <c r="P170" s="4"/>
      <c r="Q170" s="4"/>
    </row>
    <row r="171" ht="15.75" customHeight="1">
      <c r="A171" s="42">
        <v>7.72635019E9</v>
      </c>
      <c r="B171" s="42" t="s">
        <v>1054</v>
      </c>
      <c r="C171" s="37">
        <v>2.0</v>
      </c>
      <c r="D171" s="38">
        <v>31.0</v>
      </c>
      <c r="E171" s="38"/>
      <c r="F171" s="38"/>
      <c r="G171" s="71">
        <f t="shared" si="3"/>
        <v>11.61290323</v>
      </c>
      <c r="H171" s="71"/>
      <c r="I171" s="4"/>
      <c r="J171" s="4"/>
      <c r="K171" s="4"/>
      <c r="L171" s="4"/>
      <c r="M171" s="4"/>
      <c r="N171" s="4"/>
      <c r="O171" s="4"/>
      <c r="P171" s="4"/>
      <c r="Q171" s="4"/>
    </row>
    <row r="172" ht="15.75" customHeight="1">
      <c r="A172" s="42">
        <v>1.1930427122E10</v>
      </c>
      <c r="B172" s="42" t="s">
        <v>1055</v>
      </c>
      <c r="C172" s="37">
        <v>2.0</v>
      </c>
      <c r="D172" s="38">
        <v>84.0</v>
      </c>
      <c r="E172" s="38"/>
      <c r="F172" s="38"/>
      <c r="G172" s="71">
        <f t="shared" si="3"/>
        <v>4.285714286</v>
      </c>
      <c r="H172" s="71"/>
      <c r="I172" s="4"/>
      <c r="J172" s="4"/>
      <c r="K172" s="4"/>
      <c r="L172" s="4"/>
      <c r="M172" s="4"/>
      <c r="N172" s="4"/>
      <c r="O172" s="4"/>
      <c r="P172" s="4"/>
      <c r="Q172" s="4"/>
    </row>
    <row r="173" ht="15.75" customHeight="1">
      <c r="A173" s="42">
        <v>8.24389119E9</v>
      </c>
      <c r="B173" s="42" t="s">
        <v>1056</v>
      </c>
      <c r="C173" s="37">
        <v>2.0</v>
      </c>
      <c r="D173" s="38">
        <v>84.0</v>
      </c>
      <c r="E173" s="38"/>
      <c r="F173" s="38"/>
      <c r="G173" s="71">
        <f t="shared" si="3"/>
        <v>4.285714286</v>
      </c>
      <c r="H173" s="71"/>
      <c r="I173" s="4"/>
      <c r="J173" s="4"/>
      <c r="K173" s="4"/>
      <c r="L173" s="4"/>
      <c r="M173" s="4"/>
      <c r="N173" s="4"/>
      <c r="O173" s="4"/>
      <c r="P173" s="4"/>
      <c r="Q173" s="4"/>
    </row>
    <row r="174" ht="15.75" customHeight="1">
      <c r="A174" s="42">
        <v>5.60855419E9</v>
      </c>
      <c r="B174" s="42" t="s">
        <v>1057</v>
      </c>
      <c r="C174" s="37">
        <v>2.0</v>
      </c>
      <c r="D174" s="38">
        <v>90.0</v>
      </c>
      <c r="E174" s="38"/>
      <c r="F174" s="38"/>
      <c r="G174" s="71">
        <f t="shared" si="3"/>
        <v>4</v>
      </c>
      <c r="H174" s="71"/>
      <c r="I174" s="4"/>
      <c r="J174" s="4"/>
      <c r="K174" s="4"/>
      <c r="L174" s="4"/>
      <c r="M174" s="4"/>
      <c r="N174" s="4"/>
      <c r="O174" s="4"/>
      <c r="P174" s="4"/>
      <c r="Q174" s="4"/>
    </row>
    <row r="175" ht="15.75" customHeight="1">
      <c r="A175" s="42">
        <v>3.14108019E9</v>
      </c>
      <c r="B175" s="42" t="s">
        <v>1058</v>
      </c>
      <c r="C175" s="37">
        <v>2.0</v>
      </c>
      <c r="D175" s="38">
        <v>84.0</v>
      </c>
      <c r="E175" s="38"/>
      <c r="F175" s="38"/>
      <c r="G175" s="71">
        <f t="shared" si="3"/>
        <v>4.285714286</v>
      </c>
      <c r="H175" s="71"/>
      <c r="I175" s="4"/>
      <c r="J175" s="4"/>
      <c r="K175" s="4"/>
      <c r="L175" s="4"/>
      <c r="M175" s="4"/>
      <c r="N175" s="4"/>
      <c r="O175" s="4"/>
      <c r="P175" s="4"/>
      <c r="Q175" s="4"/>
    </row>
    <row r="176" ht="15.75" customHeight="1">
      <c r="A176" s="42">
        <v>1.1972316122E10</v>
      </c>
      <c r="B176" s="42" t="s">
        <v>1059</v>
      </c>
      <c r="C176" s="37">
        <v>2.0</v>
      </c>
      <c r="D176" s="38">
        <v>84.0</v>
      </c>
      <c r="E176" s="38"/>
      <c r="F176" s="38"/>
      <c r="G176" s="71">
        <f t="shared" si="3"/>
        <v>4.285714286</v>
      </c>
      <c r="H176" s="71"/>
      <c r="I176" s="4"/>
      <c r="J176" s="4"/>
      <c r="K176" s="4"/>
      <c r="L176" s="4"/>
      <c r="M176" s="4"/>
      <c r="N176" s="4"/>
      <c r="O176" s="4"/>
      <c r="P176" s="4"/>
      <c r="Q176" s="4"/>
    </row>
    <row r="177" ht="15.75" customHeight="1">
      <c r="A177" s="42">
        <v>1.1972111122E10</v>
      </c>
      <c r="B177" s="42" t="s">
        <v>1060</v>
      </c>
      <c r="C177" s="37">
        <v>2.0</v>
      </c>
      <c r="D177" s="38">
        <v>84.0</v>
      </c>
      <c r="E177" s="38"/>
      <c r="F177" s="38"/>
      <c r="G177" s="71">
        <f t="shared" si="3"/>
        <v>4.285714286</v>
      </c>
      <c r="H177" s="71"/>
      <c r="I177" s="4"/>
      <c r="J177" s="4"/>
      <c r="K177" s="4"/>
      <c r="L177" s="4"/>
      <c r="M177" s="4"/>
      <c r="N177" s="4"/>
      <c r="O177" s="4"/>
      <c r="P177" s="4"/>
      <c r="Q177" s="4"/>
    </row>
    <row r="178" ht="15.75" customHeight="1">
      <c r="A178" s="42">
        <v>9.03811619E9</v>
      </c>
      <c r="B178" s="42" t="s">
        <v>1061</v>
      </c>
      <c r="C178" s="37">
        <v>2.0</v>
      </c>
      <c r="D178" s="38">
        <v>84.0</v>
      </c>
      <c r="E178" s="38"/>
      <c r="F178" s="38"/>
      <c r="G178" s="71">
        <f t="shared" si="3"/>
        <v>4.285714286</v>
      </c>
      <c r="H178" s="71"/>
      <c r="I178" s="4"/>
      <c r="J178" s="4"/>
      <c r="K178" s="4"/>
      <c r="L178" s="4"/>
      <c r="M178" s="4"/>
      <c r="N178" s="4"/>
      <c r="O178" s="4"/>
      <c r="P178" s="4"/>
      <c r="Q178" s="4"/>
    </row>
    <row r="179" ht="15.75" customHeight="1">
      <c r="A179" s="42">
        <v>7.47596919E9</v>
      </c>
      <c r="B179" s="42" t="s">
        <v>1062</v>
      </c>
      <c r="C179" s="37">
        <v>2.0</v>
      </c>
      <c r="D179" s="38">
        <v>31.0</v>
      </c>
      <c r="E179" s="38"/>
      <c r="F179" s="38"/>
      <c r="G179" s="71">
        <f t="shared" si="3"/>
        <v>11.61290323</v>
      </c>
      <c r="H179" s="71"/>
      <c r="I179" s="4"/>
      <c r="J179" s="4"/>
      <c r="K179" s="4"/>
      <c r="L179" s="4"/>
      <c r="M179" s="4"/>
      <c r="N179" s="4"/>
      <c r="O179" s="4"/>
      <c r="P179" s="4"/>
      <c r="Q179" s="4"/>
    </row>
    <row r="180" ht="15.75" customHeight="1">
      <c r="A180" s="42">
        <v>7.57476219E9</v>
      </c>
      <c r="B180" s="42" t="s">
        <v>1063</v>
      </c>
      <c r="C180" s="37">
        <v>2.0</v>
      </c>
      <c r="D180" s="38">
        <v>84.0</v>
      </c>
      <c r="E180" s="38"/>
      <c r="F180" s="38"/>
      <c r="G180" s="71">
        <f t="shared" si="3"/>
        <v>4.285714286</v>
      </c>
      <c r="H180" s="71"/>
      <c r="I180" s="4"/>
      <c r="J180" s="4"/>
      <c r="K180" s="4"/>
      <c r="L180" s="4"/>
      <c r="M180" s="4"/>
      <c r="N180" s="4"/>
      <c r="O180" s="4"/>
      <c r="P180" s="4"/>
      <c r="Q180" s="4"/>
    </row>
    <row r="181" ht="15.75" customHeight="1">
      <c r="A181" s="42">
        <v>9.28929119E9</v>
      </c>
      <c r="B181" s="42" t="s">
        <v>1064</v>
      </c>
      <c r="C181" s="37">
        <v>2.0</v>
      </c>
      <c r="D181" s="38">
        <v>84.0</v>
      </c>
      <c r="E181" s="38"/>
      <c r="F181" s="38"/>
      <c r="G181" s="71">
        <f t="shared" si="3"/>
        <v>4.285714286</v>
      </c>
      <c r="H181" s="71"/>
      <c r="I181" s="4"/>
      <c r="J181" s="4"/>
      <c r="K181" s="4"/>
      <c r="L181" s="4"/>
      <c r="M181" s="4"/>
      <c r="N181" s="4"/>
      <c r="O181" s="4"/>
      <c r="P181" s="4"/>
      <c r="Q181" s="4"/>
    </row>
    <row r="182" ht="15.75" customHeight="1">
      <c r="A182" s="42">
        <v>5.88902219E9</v>
      </c>
      <c r="B182" s="42" t="s">
        <v>1065</v>
      </c>
      <c r="C182" s="37">
        <v>3.0</v>
      </c>
      <c r="D182" s="38">
        <v>28.0</v>
      </c>
      <c r="E182" s="38"/>
      <c r="F182" s="38"/>
      <c r="G182" s="71">
        <f t="shared" si="3"/>
        <v>12.85714286</v>
      </c>
      <c r="H182" s="71"/>
      <c r="I182" s="4"/>
      <c r="J182" s="4"/>
      <c r="K182" s="4"/>
      <c r="L182" s="4"/>
      <c r="M182" s="4"/>
      <c r="N182" s="4"/>
      <c r="O182" s="4"/>
      <c r="P182" s="4"/>
      <c r="Q182" s="4"/>
    </row>
    <row r="183" ht="15.75" customHeight="1">
      <c r="A183" s="42">
        <v>6.63319619E9</v>
      </c>
      <c r="B183" s="42" t="s">
        <v>1066</v>
      </c>
      <c r="C183" s="37">
        <v>3.0</v>
      </c>
      <c r="D183" s="38">
        <v>28.0</v>
      </c>
      <c r="E183" s="38"/>
      <c r="F183" s="38"/>
      <c r="G183" s="71">
        <f t="shared" si="3"/>
        <v>12.85714286</v>
      </c>
      <c r="H183" s="71"/>
      <c r="I183" s="4"/>
      <c r="J183" s="4"/>
      <c r="K183" s="4"/>
      <c r="L183" s="4"/>
      <c r="M183" s="4"/>
      <c r="N183" s="4"/>
      <c r="O183" s="4"/>
      <c r="P183" s="4"/>
      <c r="Q183" s="4"/>
    </row>
    <row r="184" ht="15.75" customHeight="1">
      <c r="A184" s="42">
        <v>6.32798219E9</v>
      </c>
      <c r="B184" s="42" t="s">
        <v>1067</v>
      </c>
      <c r="C184" s="37">
        <v>3.0</v>
      </c>
      <c r="D184" s="38">
        <v>28.0</v>
      </c>
      <c r="E184" s="38"/>
      <c r="F184" s="38"/>
      <c r="G184" s="71">
        <f t="shared" si="3"/>
        <v>12.85714286</v>
      </c>
      <c r="H184" s="71"/>
      <c r="I184" s="4"/>
      <c r="J184" s="4"/>
      <c r="K184" s="4"/>
      <c r="L184" s="4"/>
      <c r="M184" s="4"/>
      <c r="N184" s="4"/>
      <c r="O184" s="4"/>
      <c r="P184" s="4"/>
      <c r="Q184" s="4"/>
    </row>
    <row r="185" ht="15.75" customHeight="1">
      <c r="A185" s="42">
        <v>5.88906519E9</v>
      </c>
      <c r="B185" s="42" t="s">
        <v>1068</v>
      </c>
      <c r="C185" s="37">
        <v>3.0</v>
      </c>
      <c r="D185" s="38">
        <v>28.0</v>
      </c>
      <c r="E185" s="38"/>
      <c r="F185" s="38"/>
      <c r="G185" s="71">
        <f t="shared" si="3"/>
        <v>12.85714286</v>
      </c>
      <c r="H185" s="71"/>
      <c r="I185" s="4"/>
      <c r="J185" s="4"/>
      <c r="K185" s="4"/>
      <c r="L185" s="4"/>
      <c r="M185" s="4"/>
      <c r="N185" s="4"/>
      <c r="O185" s="4"/>
      <c r="P185" s="4"/>
      <c r="Q185" s="4"/>
    </row>
    <row r="186" ht="15.75" customHeight="1">
      <c r="A186" s="221" t="s">
        <v>323</v>
      </c>
      <c r="B186" s="237"/>
      <c r="C186" s="186" t="s">
        <v>996</v>
      </c>
      <c r="D186" s="207" t="s">
        <v>136</v>
      </c>
      <c r="E186" s="221"/>
      <c r="F186" s="221" t="s">
        <v>138</v>
      </c>
      <c r="G186" s="222" t="s">
        <v>139</v>
      </c>
      <c r="H186" s="222" t="s">
        <v>140</v>
      </c>
      <c r="I186" s="4"/>
      <c r="J186" s="4"/>
      <c r="K186" s="4"/>
      <c r="L186" s="4"/>
      <c r="M186" s="4"/>
      <c r="N186" s="4"/>
      <c r="O186" s="4"/>
      <c r="P186" s="4"/>
      <c r="Q186" s="4"/>
    </row>
    <row r="187" ht="15.75" customHeight="1">
      <c r="A187" s="42">
        <v>1.173141619E10</v>
      </c>
      <c r="B187" s="42" t="s">
        <v>677</v>
      </c>
      <c r="C187" s="37">
        <v>2.0</v>
      </c>
      <c r="D187" s="38">
        <v>28.0</v>
      </c>
      <c r="E187" s="38"/>
      <c r="F187" s="38"/>
      <c r="G187" s="71">
        <f t="shared" ref="G187:G234" si="4">(360/D187)</f>
        <v>12.85714286</v>
      </c>
      <c r="H187" s="71"/>
      <c r="I187" s="4"/>
      <c r="J187" s="4"/>
      <c r="K187" s="4"/>
      <c r="L187" s="4"/>
      <c r="M187" s="4"/>
      <c r="N187" s="4"/>
      <c r="O187" s="4"/>
      <c r="P187" s="4"/>
      <c r="Q187" s="4"/>
    </row>
    <row r="188" ht="15.75" customHeight="1">
      <c r="A188" s="42">
        <v>8.74006219E9</v>
      </c>
      <c r="B188" s="42" t="s">
        <v>635</v>
      </c>
      <c r="C188" s="37">
        <v>2.0</v>
      </c>
      <c r="D188" s="38">
        <v>84.0</v>
      </c>
      <c r="E188" s="38"/>
      <c r="F188" s="38"/>
      <c r="G188" s="71">
        <f t="shared" si="4"/>
        <v>4.285714286</v>
      </c>
      <c r="H188" s="71"/>
      <c r="I188" s="4"/>
      <c r="J188" s="4"/>
      <c r="K188" s="4"/>
      <c r="L188" s="4"/>
      <c r="M188" s="4"/>
      <c r="N188" s="4"/>
      <c r="O188" s="4"/>
      <c r="P188" s="4"/>
      <c r="Q188" s="4"/>
    </row>
    <row r="189" ht="15.75" customHeight="1">
      <c r="A189" s="42">
        <v>5.34178719E9</v>
      </c>
      <c r="B189" s="42" t="s">
        <v>665</v>
      </c>
      <c r="C189" s="37">
        <v>3.0</v>
      </c>
      <c r="D189" s="38">
        <v>31.0</v>
      </c>
      <c r="E189" s="38"/>
      <c r="F189" s="38"/>
      <c r="G189" s="71">
        <f t="shared" si="4"/>
        <v>11.61290323</v>
      </c>
      <c r="H189" s="71"/>
      <c r="I189" s="4"/>
      <c r="J189" s="4"/>
      <c r="K189" s="4"/>
      <c r="L189" s="4"/>
      <c r="M189" s="4"/>
      <c r="N189" s="4"/>
      <c r="O189" s="4"/>
      <c r="P189" s="4"/>
      <c r="Q189" s="4"/>
    </row>
    <row r="190" ht="15.75" customHeight="1">
      <c r="A190" s="42">
        <v>6.68777619E9</v>
      </c>
      <c r="B190" s="42" t="s">
        <v>1069</v>
      </c>
      <c r="C190" s="37">
        <v>2.0</v>
      </c>
      <c r="D190" s="38">
        <v>28.0</v>
      </c>
      <c r="E190" s="38"/>
      <c r="F190" s="38"/>
      <c r="G190" s="71">
        <f t="shared" si="4"/>
        <v>12.85714286</v>
      </c>
      <c r="H190" s="71"/>
      <c r="I190" s="4"/>
      <c r="J190" s="4"/>
      <c r="K190" s="4"/>
      <c r="L190" s="4"/>
      <c r="M190" s="4"/>
      <c r="N190" s="4"/>
      <c r="O190" s="4"/>
      <c r="P190" s="4"/>
      <c r="Q190" s="4"/>
    </row>
    <row r="191" ht="15.75" customHeight="1">
      <c r="A191" s="42">
        <v>1.1776452122E10</v>
      </c>
      <c r="B191" s="42" t="s">
        <v>676</v>
      </c>
      <c r="C191" s="37">
        <v>2.0</v>
      </c>
      <c r="D191" s="38">
        <v>28.0</v>
      </c>
      <c r="E191" s="38"/>
      <c r="F191" s="38"/>
      <c r="G191" s="71">
        <f t="shared" si="4"/>
        <v>12.85714286</v>
      </c>
      <c r="H191" s="71"/>
      <c r="I191" s="4"/>
      <c r="J191" s="4"/>
      <c r="K191" s="4"/>
      <c r="L191" s="4"/>
      <c r="M191" s="4"/>
      <c r="N191" s="4"/>
      <c r="O191" s="4"/>
      <c r="P191" s="4"/>
      <c r="Q191" s="4"/>
    </row>
    <row r="192" ht="15.75" customHeight="1">
      <c r="A192" s="42">
        <v>7.71322319E9</v>
      </c>
      <c r="B192" s="42" t="s">
        <v>1070</v>
      </c>
      <c r="C192" s="37">
        <v>2.0</v>
      </c>
      <c r="D192" s="38">
        <v>31.0</v>
      </c>
      <c r="E192" s="38"/>
      <c r="F192" s="38"/>
      <c r="G192" s="71">
        <f t="shared" si="4"/>
        <v>11.61290323</v>
      </c>
      <c r="H192" s="71"/>
      <c r="I192" s="4"/>
      <c r="J192" s="4"/>
      <c r="K192" s="4"/>
      <c r="L192" s="4"/>
      <c r="M192" s="4"/>
      <c r="N192" s="4"/>
      <c r="O192" s="4"/>
      <c r="P192" s="4"/>
      <c r="Q192" s="4"/>
    </row>
    <row r="193" ht="15.75" customHeight="1">
      <c r="A193" s="13">
        <v>4.91704919E9</v>
      </c>
      <c r="B193" s="13" t="s">
        <v>647</v>
      </c>
      <c r="C193" s="37">
        <v>2.0</v>
      </c>
      <c r="D193" s="38">
        <v>84.0</v>
      </c>
      <c r="E193" s="38"/>
      <c r="F193" s="38"/>
      <c r="G193" s="71">
        <f t="shared" si="4"/>
        <v>4.285714286</v>
      </c>
      <c r="H193" s="71"/>
      <c r="I193" s="4"/>
      <c r="J193" s="4"/>
      <c r="K193" s="4"/>
      <c r="L193" s="4"/>
      <c r="M193" s="4"/>
      <c r="N193" s="4"/>
      <c r="O193" s="4"/>
      <c r="P193" s="4"/>
      <c r="Q193" s="4"/>
    </row>
    <row r="194" ht="15.75" customHeight="1">
      <c r="A194" s="13">
        <v>5.09510719E9</v>
      </c>
      <c r="B194" s="42" t="s">
        <v>675</v>
      </c>
      <c r="C194" s="37">
        <v>2.0</v>
      </c>
      <c r="D194" s="38">
        <v>84.0</v>
      </c>
      <c r="E194" s="38"/>
      <c r="F194" s="38"/>
      <c r="G194" s="71">
        <f t="shared" si="4"/>
        <v>4.285714286</v>
      </c>
      <c r="H194" s="71"/>
      <c r="I194" s="4"/>
      <c r="J194" s="4"/>
      <c r="K194" s="4"/>
      <c r="L194" s="4"/>
      <c r="M194" s="4"/>
      <c r="N194" s="4"/>
      <c r="O194" s="4"/>
      <c r="P194" s="4"/>
      <c r="Q194" s="4"/>
    </row>
    <row r="195" ht="15.75" customHeight="1">
      <c r="A195" s="13">
        <v>5.042666191E9</v>
      </c>
      <c r="B195" s="42" t="s">
        <v>671</v>
      </c>
      <c r="C195" s="37">
        <v>2.0</v>
      </c>
      <c r="D195" s="38">
        <v>28.0</v>
      </c>
      <c r="E195" s="38"/>
      <c r="F195" s="38"/>
      <c r="G195" s="71">
        <f t="shared" si="4"/>
        <v>12.85714286</v>
      </c>
      <c r="H195" s="71"/>
      <c r="I195" s="4"/>
      <c r="J195" s="4"/>
      <c r="K195" s="4"/>
      <c r="L195" s="4"/>
      <c r="M195" s="4"/>
      <c r="N195" s="4"/>
      <c r="O195" s="4"/>
      <c r="P195" s="4"/>
      <c r="Q195" s="4"/>
    </row>
    <row r="196" ht="15.75" customHeight="1">
      <c r="A196" s="13">
        <v>7.95721119E9</v>
      </c>
      <c r="B196" s="42" t="s">
        <v>637</v>
      </c>
      <c r="C196" s="37">
        <v>2.0</v>
      </c>
      <c r="D196" s="38">
        <v>28.0</v>
      </c>
      <c r="E196" s="38"/>
      <c r="F196" s="38"/>
      <c r="G196" s="71">
        <f t="shared" si="4"/>
        <v>12.85714286</v>
      </c>
      <c r="H196" s="71"/>
      <c r="I196" s="4"/>
      <c r="J196" s="4"/>
      <c r="K196" s="4"/>
      <c r="L196" s="4"/>
      <c r="M196" s="4"/>
      <c r="N196" s="4"/>
      <c r="O196" s="4"/>
      <c r="P196" s="4"/>
      <c r="Q196" s="4"/>
    </row>
    <row r="197" ht="15.75" customHeight="1">
      <c r="A197" s="13">
        <v>5.95095319E9</v>
      </c>
      <c r="B197" s="42" t="s">
        <v>658</v>
      </c>
      <c r="C197" s="37">
        <v>2.0</v>
      </c>
      <c r="D197" s="38">
        <v>28.0</v>
      </c>
      <c r="E197" s="38"/>
      <c r="F197" s="38"/>
      <c r="G197" s="71">
        <f t="shared" si="4"/>
        <v>12.85714286</v>
      </c>
      <c r="H197" s="71"/>
      <c r="I197" s="4"/>
      <c r="J197" s="4"/>
      <c r="K197" s="4"/>
      <c r="L197" s="4"/>
      <c r="M197" s="4"/>
      <c r="N197" s="4"/>
      <c r="O197" s="4"/>
      <c r="P197" s="4"/>
      <c r="Q197" s="4"/>
    </row>
    <row r="198" ht="15.75" customHeight="1">
      <c r="A198" s="13">
        <v>8.33364519E9</v>
      </c>
      <c r="B198" s="42" t="s">
        <v>1071</v>
      </c>
      <c r="C198" s="37">
        <v>2.0</v>
      </c>
      <c r="D198" s="38">
        <v>28.0</v>
      </c>
      <c r="E198" s="38"/>
      <c r="F198" s="38"/>
      <c r="G198" s="71">
        <f t="shared" si="4"/>
        <v>12.85714286</v>
      </c>
      <c r="H198" s="71"/>
      <c r="I198" s="4"/>
      <c r="J198" s="4"/>
      <c r="K198" s="4"/>
      <c r="L198" s="4"/>
      <c r="M198" s="4"/>
      <c r="N198" s="4"/>
      <c r="O198" s="4"/>
      <c r="P198" s="4"/>
      <c r="Q198" s="4"/>
    </row>
    <row r="199" ht="15.75" customHeight="1">
      <c r="A199" s="13">
        <v>6.50598819E9</v>
      </c>
      <c r="B199" s="42" t="s">
        <v>666</v>
      </c>
      <c r="C199" s="37">
        <v>2.0</v>
      </c>
      <c r="D199" s="38">
        <v>28.0</v>
      </c>
      <c r="E199" s="38"/>
      <c r="F199" s="38"/>
      <c r="G199" s="71">
        <f t="shared" si="4"/>
        <v>12.85714286</v>
      </c>
      <c r="H199" s="71"/>
      <c r="I199" s="4"/>
      <c r="J199" s="4"/>
      <c r="K199" s="4"/>
      <c r="L199" s="4"/>
      <c r="M199" s="4"/>
      <c r="N199" s="4"/>
      <c r="O199" s="4"/>
      <c r="P199" s="4"/>
      <c r="Q199" s="4"/>
    </row>
    <row r="200" ht="15.75" customHeight="1">
      <c r="A200" s="13">
        <v>7.36007019E9</v>
      </c>
      <c r="B200" s="42" t="s">
        <v>663</v>
      </c>
      <c r="C200" s="37">
        <v>2.0</v>
      </c>
      <c r="D200" s="38">
        <v>28.0</v>
      </c>
      <c r="E200" s="38"/>
      <c r="F200" s="38"/>
      <c r="G200" s="71">
        <f t="shared" si="4"/>
        <v>12.85714286</v>
      </c>
      <c r="H200" s="71"/>
      <c r="I200" s="4"/>
      <c r="J200" s="4"/>
      <c r="K200" s="4"/>
      <c r="L200" s="4"/>
      <c r="M200" s="4"/>
      <c r="N200" s="4"/>
      <c r="O200" s="4"/>
      <c r="P200" s="4"/>
      <c r="Q200" s="4"/>
    </row>
    <row r="201" ht="15.75" customHeight="1">
      <c r="A201" s="14">
        <v>5.61886019E9</v>
      </c>
      <c r="B201" s="42" t="s">
        <v>678</v>
      </c>
      <c r="C201" s="37">
        <v>2.0</v>
      </c>
      <c r="D201" s="38">
        <v>31.0</v>
      </c>
      <c r="E201" s="38"/>
      <c r="F201" s="38"/>
      <c r="G201" s="71">
        <f t="shared" si="4"/>
        <v>11.61290323</v>
      </c>
      <c r="H201" s="71"/>
      <c r="I201" s="4"/>
      <c r="J201" s="4"/>
      <c r="K201" s="4"/>
      <c r="L201" s="4"/>
      <c r="M201" s="4"/>
      <c r="N201" s="4"/>
      <c r="O201" s="4"/>
      <c r="P201" s="4"/>
      <c r="Q201" s="4"/>
    </row>
    <row r="202" ht="15.75" customHeight="1">
      <c r="A202" s="13">
        <v>5.03166419E9</v>
      </c>
      <c r="B202" s="42" t="s">
        <v>638</v>
      </c>
      <c r="C202" s="37">
        <v>2.0</v>
      </c>
      <c r="D202" s="38">
        <v>28.0</v>
      </c>
      <c r="E202" s="38"/>
      <c r="F202" s="38"/>
      <c r="G202" s="71">
        <f t="shared" si="4"/>
        <v>12.85714286</v>
      </c>
      <c r="H202" s="71"/>
      <c r="I202" s="4"/>
      <c r="J202" s="4"/>
      <c r="K202" s="4"/>
      <c r="L202" s="4"/>
      <c r="M202" s="4"/>
      <c r="N202" s="4"/>
      <c r="O202" s="4"/>
      <c r="P202" s="4"/>
      <c r="Q202" s="4"/>
    </row>
    <row r="203" ht="15.75" customHeight="1">
      <c r="A203" s="13">
        <v>9.03812419E9</v>
      </c>
      <c r="B203" s="42" t="s">
        <v>679</v>
      </c>
      <c r="C203" s="37">
        <v>3.0</v>
      </c>
      <c r="D203" s="38">
        <v>31.0</v>
      </c>
      <c r="E203" s="38"/>
      <c r="F203" s="38"/>
      <c r="G203" s="71">
        <f t="shared" si="4"/>
        <v>11.61290323</v>
      </c>
      <c r="H203" s="71"/>
      <c r="I203" s="4"/>
      <c r="J203" s="4"/>
      <c r="K203" s="4"/>
      <c r="L203" s="4"/>
      <c r="M203" s="4"/>
      <c r="N203" s="4"/>
      <c r="O203" s="4"/>
      <c r="P203" s="4"/>
      <c r="Q203" s="4"/>
    </row>
    <row r="204" ht="15.75" customHeight="1">
      <c r="A204" s="13">
        <v>7.47610819E9</v>
      </c>
      <c r="B204" s="42" t="s">
        <v>654</v>
      </c>
      <c r="C204" s="37">
        <v>2.0</v>
      </c>
      <c r="D204" s="38">
        <v>31.0</v>
      </c>
      <c r="E204" s="38"/>
      <c r="F204" s="38"/>
      <c r="G204" s="71">
        <f t="shared" si="4"/>
        <v>11.61290323</v>
      </c>
      <c r="H204" s="71"/>
      <c r="I204" s="4"/>
      <c r="J204" s="4"/>
      <c r="K204" s="4"/>
      <c r="L204" s="4"/>
      <c r="M204" s="4"/>
      <c r="N204" s="4"/>
      <c r="O204" s="4"/>
      <c r="P204" s="4"/>
      <c r="Q204" s="4"/>
    </row>
    <row r="205" ht="15.75" customHeight="1">
      <c r="A205" s="14">
        <v>6.92410719E9</v>
      </c>
      <c r="B205" s="14" t="s">
        <v>659</v>
      </c>
      <c r="C205" s="37">
        <v>2.0</v>
      </c>
      <c r="D205" s="38">
        <v>84.0</v>
      </c>
      <c r="E205" s="38"/>
      <c r="F205" s="38"/>
      <c r="G205" s="71">
        <f t="shared" si="4"/>
        <v>4.285714286</v>
      </c>
      <c r="H205" s="71"/>
      <c r="I205" s="4"/>
      <c r="J205" s="4"/>
      <c r="K205" s="4"/>
      <c r="L205" s="4"/>
      <c r="M205" s="4"/>
      <c r="N205" s="4"/>
      <c r="O205" s="4"/>
      <c r="P205" s="4"/>
      <c r="Q205" s="4"/>
    </row>
    <row r="206" ht="15.75" customHeight="1">
      <c r="A206" s="14">
        <v>8.33592319E9</v>
      </c>
      <c r="B206" s="14" t="s">
        <v>634</v>
      </c>
      <c r="C206" s="37">
        <v>5.0</v>
      </c>
      <c r="D206" s="38">
        <v>56.0</v>
      </c>
      <c r="E206" s="38"/>
      <c r="F206" s="38"/>
      <c r="G206" s="71">
        <f t="shared" si="4"/>
        <v>6.428571429</v>
      </c>
      <c r="H206" s="71"/>
      <c r="I206" s="4"/>
      <c r="J206" s="4"/>
      <c r="K206" s="4"/>
      <c r="L206" s="4"/>
      <c r="M206" s="4"/>
      <c r="N206" s="4"/>
      <c r="O206" s="4"/>
      <c r="P206" s="4"/>
      <c r="Q206" s="4"/>
    </row>
    <row r="207" ht="15.75" customHeight="1">
      <c r="A207" s="14">
        <v>8.08667219E9</v>
      </c>
      <c r="B207" s="14" t="s">
        <v>640</v>
      </c>
      <c r="C207" s="37">
        <v>8.0</v>
      </c>
      <c r="D207" s="38">
        <v>56.0</v>
      </c>
      <c r="E207" s="38"/>
      <c r="F207" s="38"/>
      <c r="G207" s="71">
        <f t="shared" si="4"/>
        <v>6.428571429</v>
      </c>
      <c r="H207" s="71"/>
      <c r="I207" s="4"/>
      <c r="J207" s="4"/>
      <c r="K207" s="4"/>
      <c r="L207" s="4"/>
      <c r="M207" s="4"/>
      <c r="N207" s="4"/>
      <c r="O207" s="4"/>
      <c r="P207" s="4"/>
      <c r="Q207" s="4"/>
    </row>
    <row r="208" ht="15.75" customHeight="1">
      <c r="A208" s="14">
        <v>1.1876368122E10</v>
      </c>
      <c r="B208" s="14" t="s">
        <v>639</v>
      </c>
      <c r="C208" s="37">
        <v>8.0</v>
      </c>
      <c r="D208" s="38">
        <v>56.0</v>
      </c>
      <c r="E208" s="38"/>
      <c r="F208" s="38"/>
      <c r="G208" s="71">
        <f t="shared" si="4"/>
        <v>6.428571429</v>
      </c>
      <c r="H208" s="71"/>
      <c r="I208" s="4"/>
      <c r="J208" s="4"/>
      <c r="K208" s="4"/>
      <c r="L208" s="4"/>
      <c r="M208" s="4"/>
      <c r="N208" s="4"/>
      <c r="O208" s="4"/>
      <c r="P208" s="4"/>
      <c r="Q208" s="4"/>
    </row>
    <row r="209" ht="15.75" customHeight="1">
      <c r="A209" s="14">
        <v>4.68787619E9</v>
      </c>
      <c r="B209" s="14" t="s">
        <v>656</v>
      </c>
      <c r="C209" s="37">
        <v>8.0</v>
      </c>
      <c r="D209" s="38">
        <v>56.0</v>
      </c>
      <c r="E209" s="38"/>
      <c r="F209" s="38"/>
      <c r="G209" s="71">
        <f t="shared" si="4"/>
        <v>6.428571429</v>
      </c>
      <c r="H209" s="71"/>
      <c r="I209" s="4"/>
      <c r="J209" s="4"/>
      <c r="K209" s="4"/>
      <c r="L209" s="4"/>
      <c r="M209" s="4"/>
      <c r="N209" s="4"/>
      <c r="O209" s="4"/>
      <c r="P209" s="4"/>
      <c r="Q209" s="4"/>
    </row>
    <row r="210" ht="15.75" customHeight="1">
      <c r="A210" s="14">
        <v>1.1876317122E10</v>
      </c>
      <c r="B210" s="14" t="s">
        <v>644</v>
      </c>
      <c r="C210" s="37">
        <v>8.0</v>
      </c>
      <c r="D210" s="38">
        <v>56.0</v>
      </c>
      <c r="E210" s="38"/>
      <c r="F210" s="38"/>
      <c r="G210" s="71">
        <f t="shared" si="4"/>
        <v>6.428571429</v>
      </c>
      <c r="H210" s="71"/>
      <c r="I210" s="4"/>
      <c r="J210" s="4"/>
      <c r="K210" s="4"/>
      <c r="L210" s="4"/>
      <c r="M210" s="4"/>
      <c r="N210" s="4"/>
      <c r="O210" s="4"/>
      <c r="P210" s="4"/>
      <c r="Q210" s="4"/>
    </row>
    <row r="211" ht="15.75" customHeight="1">
      <c r="A211" s="14">
        <v>1.1876376122E10</v>
      </c>
      <c r="B211" s="14" t="s">
        <v>655</v>
      </c>
      <c r="C211" s="37">
        <v>8.0</v>
      </c>
      <c r="D211" s="38">
        <v>56.0</v>
      </c>
      <c r="E211" s="38"/>
      <c r="F211" s="38"/>
      <c r="G211" s="71">
        <f t="shared" si="4"/>
        <v>6.428571429</v>
      </c>
      <c r="H211" s="71"/>
      <c r="I211" s="4"/>
      <c r="J211" s="4"/>
      <c r="K211" s="4"/>
      <c r="L211" s="4"/>
      <c r="M211" s="4"/>
      <c r="N211" s="4"/>
      <c r="O211" s="4"/>
      <c r="P211" s="4"/>
      <c r="Q211" s="4"/>
    </row>
    <row r="212" ht="15.75" customHeight="1">
      <c r="A212" s="14">
        <v>1.1876384122E10</v>
      </c>
      <c r="B212" s="14" t="s">
        <v>643</v>
      </c>
      <c r="C212" s="37">
        <v>8.0</v>
      </c>
      <c r="D212" s="38">
        <v>56.0</v>
      </c>
      <c r="E212" s="38"/>
      <c r="F212" s="38"/>
      <c r="G212" s="71">
        <f t="shared" si="4"/>
        <v>6.428571429</v>
      </c>
      <c r="H212" s="71"/>
      <c r="I212" s="4"/>
      <c r="J212" s="4"/>
      <c r="K212" s="4"/>
      <c r="L212" s="4"/>
      <c r="M212" s="4"/>
      <c r="N212" s="4"/>
      <c r="O212" s="4"/>
      <c r="P212" s="4"/>
      <c r="Q212" s="4"/>
    </row>
    <row r="213" ht="15.75" customHeight="1">
      <c r="A213" s="14">
        <v>4.92793119E9</v>
      </c>
      <c r="B213" s="14" t="s">
        <v>642</v>
      </c>
      <c r="C213" s="37">
        <v>8.0</v>
      </c>
      <c r="D213" s="38">
        <v>56.0</v>
      </c>
      <c r="E213" s="38"/>
      <c r="F213" s="38"/>
      <c r="G213" s="71">
        <f t="shared" si="4"/>
        <v>6.428571429</v>
      </c>
      <c r="H213" s="71"/>
      <c r="I213" s="4"/>
      <c r="J213" s="4"/>
      <c r="K213" s="4"/>
      <c r="L213" s="4"/>
      <c r="M213" s="4"/>
      <c r="N213" s="4"/>
      <c r="O213" s="4"/>
      <c r="P213" s="4"/>
      <c r="Q213" s="4"/>
    </row>
    <row r="214" ht="15.75" customHeight="1">
      <c r="A214" s="14">
        <v>1.1876333122E10</v>
      </c>
      <c r="B214" s="14" t="s">
        <v>641</v>
      </c>
      <c r="C214" s="37">
        <v>8.0</v>
      </c>
      <c r="D214" s="38">
        <v>56.0</v>
      </c>
      <c r="E214" s="38"/>
      <c r="F214" s="38"/>
      <c r="G214" s="71">
        <f t="shared" si="4"/>
        <v>6.428571429</v>
      </c>
      <c r="H214" s="71"/>
      <c r="I214" s="4"/>
      <c r="J214" s="4"/>
      <c r="K214" s="4"/>
      <c r="L214" s="4"/>
      <c r="M214" s="4"/>
      <c r="N214" s="4"/>
      <c r="O214" s="4"/>
      <c r="P214" s="4"/>
      <c r="Q214" s="4"/>
    </row>
    <row r="215" ht="15.75" customHeight="1">
      <c r="A215" s="14">
        <v>3.29037919E9</v>
      </c>
      <c r="B215" s="14" t="s">
        <v>645</v>
      </c>
      <c r="C215" s="37">
        <v>8.0</v>
      </c>
      <c r="D215" s="38">
        <v>56.0</v>
      </c>
      <c r="E215" s="38"/>
      <c r="F215" s="38"/>
      <c r="G215" s="71">
        <f t="shared" si="4"/>
        <v>6.428571429</v>
      </c>
      <c r="H215" s="71"/>
      <c r="I215" s="4"/>
      <c r="J215" s="4"/>
      <c r="K215" s="4"/>
      <c r="L215" s="4"/>
      <c r="M215" s="4"/>
      <c r="N215" s="4"/>
      <c r="O215" s="4"/>
      <c r="P215" s="4"/>
      <c r="Q215" s="4"/>
    </row>
    <row r="216" ht="15.75" customHeight="1">
      <c r="A216" s="187">
        <v>4.61880719E9</v>
      </c>
      <c r="B216" s="69" t="s">
        <v>667</v>
      </c>
      <c r="C216" s="37">
        <v>8.0</v>
      </c>
      <c r="D216" s="38">
        <v>56.0</v>
      </c>
      <c r="E216" s="38"/>
      <c r="F216" s="38"/>
      <c r="G216" s="71">
        <f t="shared" si="4"/>
        <v>6.428571429</v>
      </c>
      <c r="H216" s="71"/>
      <c r="I216" s="4"/>
      <c r="J216" s="4"/>
      <c r="K216" s="4"/>
      <c r="L216" s="4"/>
      <c r="M216" s="4"/>
      <c r="N216" s="4"/>
      <c r="O216" s="4"/>
      <c r="P216" s="4"/>
      <c r="Q216" s="4"/>
    </row>
    <row r="217" ht="15.75" customHeight="1">
      <c r="A217" s="187">
        <v>4.61884019E9</v>
      </c>
      <c r="B217" s="69" t="s">
        <v>668</v>
      </c>
      <c r="C217" s="37">
        <v>4.0</v>
      </c>
      <c r="D217" s="38">
        <v>56.0</v>
      </c>
      <c r="E217" s="38"/>
      <c r="F217" s="38"/>
      <c r="G217" s="71">
        <f t="shared" si="4"/>
        <v>6.428571429</v>
      </c>
      <c r="H217" s="71"/>
      <c r="I217" s="4"/>
      <c r="J217" s="4"/>
      <c r="K217" s="4"/>
      <c r="L217" s="4"/>
      <c r="M217" s="4"/>
      <c r="N217" s="4"/>
      <c r="O217" s="4"/>
      <c r="P217" s="4"/>
      <c r="Q217" s="4"/>
    </row>
    <row r="218" ht="15.75" customHeight="1">
      <c r="A218" s="187">
        <v>4.61882319E9</v>
      </c>
      <c r="B218" s="69" t="s">
        <v>672</v>
      </c>
      <c r="C218" s="37">
        <v>8.0</v>
      </c>
      <c r="D218" s="38">
        <v>56.0</v>
      </c>
      <c r="E218" s="38"/>
      <c r="F218" s="38"/>
      <c r="G218" s="71">
        <f t="shared" si="4"/>
        <v>6.428571429</v>
      </c>
      <c r="H218" s="71"/>
      <c r="I218" s="4"/>
      <c r="J218" s="4"/>
      <c r="K218" s="4"/>
      <c r="L218" s="4"/>
      <c r="M218" s="4"/>
      <c r="N218" s="4"/>
      <c r="O218" s="4"/>
      <c r="P218" s="4"/>
      <c r="Q218" s="4"/>
    </row>
    <row r="219" ht="15.75" customHeight="1">
      <c r="A219" s="187">
        <v>5.80258019E9</v>
      </c>
      <c r="B219" s="69" t="s">
        <v>673</v>
      </c>
      <c r="C219" s="37">
        <v>3.0</v>
      </c>
      <c r="D219" s="38">
        <v>56.0</v>
      </c>
      <c r="E219" s="38"/>
      <c r="F219" s="38"/>
      <c r="G219" s="71">
        <f t="shared" si="4"/>
        <v>6.428571429</v>
      </c>
      <c r="H219" s="71"/>
      <c r="I219" s="4"/>
      <c r="J219" s="4"/>
      <c r="K219" s="4"/>
      <c r="L219" s="4"/>
      <c r="M219" s="4"/>
      <c r="N219" s="4"/>
      <c r="O219" s="4"/>
      <c r="P219" s="4"/>
      <c r="Q219" s="4"/>
    </row>
    <row r="220" ht="15.75" customHeight="1">
      <c r="A220" s="187">
        <v>4.61886619E9</v>
      </c>
      <c r="B220" s="69" t="s">
        <v>674</v>
      </c>
      <c r="C220" s="37">
        <v>8.0</v>
      </c>
      <c r="D220" s="38">
        <v>56.0</v>
      </c>
      <c r="E220" s="38"/>
      <c r="F220" s="38"/>
      <c r="G220" s="71">
        <f t="shared" si="4"/>
        <v>6.428571429</v>
      </c>
      <c r="H220" s="71"/>
      <c r="I220" s="4"/>
      <c r="J220" s="4"/>
      <c r="K220" s="4"/>
      <c r="L220" s="4"/>
      <c r="M220" s="4"/>
      <c r="N220" s="4"/>
      <c r="O220" s="4"/>
      <c r="P220" s="4"/>
      <c r="Q220" s="4"/>
    </row>
    <row r="221" ht="15.75" customHeight="1">
      <c r="A221" s="187">
        <v>4.78460019E9</v>
      </c>
      <c r="B221" s="69" t="s">
        <v>649</v>
      </c>
      <c r="C221" s="37">
        <v>8.0</v>
      </c>
      <c r="D221" s="38">
        <v>56.0</v>
      </c>
      <c r="E221" s="38"/>
      <c r="F221" s="38"/>
      <c r="G221" s="71">
        <f t="shared" si="4"/>
        <v>6.428571429</v>
      </c>
      <c r="H221" s="71"/>
      <c r="I221" s="4"/>
      <c r="J221" s="4"/>
      <c r="K221" s="4"/>
      <c r="L221" s="4"/>
      <c r="M221" s="4"/>
      <c r="N221" s="4"/>
      <c r="O221" s="4"/>
      <c r="P221" s="4"/>
      <c r="Q221" s="4"/>
    </row>
    <row r="222" ht="15.75" customHeight="1">
      <c r="A222" s="187">
        <v>5.94232219E9</v>
      </c>
      <c r="B222" s="69" t="s">
        <v>633</v>
      </c>
      <c r="C222" s="37">
        <v>3.0</v>
      </c>
      <c r="D222" s="38">
        <v>84.0</v>
      </c>
      <c r="E222" s="38"/>
      <c r="F222" s="38"/>
      <c r="G222" s="71">
        <f t="shared" si="4"/>
        <v>4.285714286</v>
      </c>
      <c r="H222" s="71"/>
      <c r="I222" s="4"/>
      <c r="J222" s="4"/>
      <c r="K222" s="4"/>
      <c r="L222" s="4"/>
      <c r="M222" s="4"/>
      <c r="N222" s="4"/>
      <c r="O222" s="4"/>
      <c r="P222" s="4"/>
      <c r="Q222" s="4"/>
    </row>
    <row r="223" ht="15.75" customHeight="1">
      <c r="A223" s="187">
        <v>4.78462619E9</v>
      </c>
      <c r="B223" s="69" t="s">
        <v>650</v>
      </c>
      <c r="C223" s="37">
        <v>8.0</v>
      </c>
      <c r="D223" s="38">
        <v>56.0</v>
      </c>
      <c r="E223" s="38"/>
      <c r="F223" s="38"/>
      <c r="G223" s="71">
        <f t="shared" si="4"/>
        <v>6.428571429</v>
      </c>
      <c r="H223" s="71"/>
      <c r="I223" s="4"/>
      <c r="J223" s="4"/>
      <c r="K223" s="4"/>
      <c r="L223" s="4"/>
      <c r="M223" s="4"/>
      <c r="N223" s="4"/>
      <c r="O223" s="4"/>
      <c r="P223" s="4"/>
      <c r="Q223" s="4"/>
    </row>
    <row r="224" ht="15.75" customHeight="1">
      <c r="A224" s="187">
        <v>5.57220719E9</v>
      </c>
      <c r="B224" s="69" t="s">
        <v>660</v>
      </c>
      <c r="C224" s="37">
        <v>2.0</v>
      </c>
      <c r="D224" s="38">
        <v>28.0</v>
      </c>
      <c r="E224" s="38"/>
      <c r="F224" s="38"/>
      <c r="G224" s="71">
        <f t="shared" si="4"/>
        <v>12.85714286</v>
      </c>
      <c r="H224" s="71"/>
      <c r="I224" s="4"/>
      <c r="J224" s="4"/>
      <c r="K224" s="4"/>
      <c r="L224" s="4"/>
      <c r="M224" s="4"/>
      <c r="N224" s="4"/>
      <c r="O224" s="4"/>
      <c r="P224" s="4"/>
      <c r="Q224" s="4"/>
    </row>
    <row r="225" ht="15.75" customHeight="1">
      <c r="A225" s="187">
        <v>8.35542819E9</v>
      </c>
      <c r="B225" s="69" t="s">
        <v>652</v>
      </c>
      <c r="C225" s="37">
        <v>2.0</v>
      </c>
      <c r="D225" s="38">
        <v>112.0</v>
      </c>
      <c r="E225" s="38"/>
      <c r="F225" s="38"/>
      <c r="G225" s="71">
        <f t="shared" si="4"/>
        <v>3.214285714</v>
      </c>
      <c r="H225" s="71"/>
      <c r="I225" s="4"/>
      <c r="J225" s="4"/>
      <c r="K225" s="4"/>
      <c r="L225" s="4"/>
      <c r="M225" s="4"/>
      <c r="N225" s="4"/>
      <c r="O225" s="4"/>
      <c r="P225" s="4"/>
      <c r="Q225" s="4"/>
    </row>
    <row r="226" ht="15.75" customHeight="1">
      <c r="A226" s="187">
        <v>8.35543619E9</v>
      </c>
      <c r="B226" s="69" t="s">
        <v>651</v>
      </c>
      <c r="C226" s="37">
        <v>4.0</v>
      </c>
      <c r="D226" s="38">
        <v>112.0</v>
      </c>
      <c r="E226" s="38"/>
      <c r="F226" s="38"/>
      <c r="G226" s="71">
        <f t="shared" si="4"/>
        <v>3.214285714</v>
      </c>
      <c r="H226" s="71"/>
      <c r="I226" s="4"/>
      <c r="J226" s="4"/>
      <c r="K226" s="4"/>
      <c r="L226" s="4"/>
      <c r="M226" s="4"/>
      <c r="N226" s="4"/>
      <c r="O226" s="4"/>
      <c r="P226" s="4"/>
      <c r="Q226" s="4"/>
    </row>
    <row r="227" ht="15.75" customHeight="1">
      <c r="A227" s="187">
        <v>7.10813319E9</v>
      </c>
      <c r="B227" s="69" t="s">
        <v>661</v>
      </c>
      <c r="C227" s="37">
        <v>2.0</v>
      </c>
      <c r="D227" s="38">
        <v>84.0</v>
      </c>
      <c r="E227" s="38"/>
      <c r="F227" s="38"/>
      <c r="G227" s="71">
        <f t="shared" si="4"/>
        <v>4.285714286</v>
      </c>
      <c r="H227" s="71"/>
      <c r="I227" s="4"/>
      <c r="J227" s="4"/>
      <c r="K227" s="4"/>
      <c r="L227" s="4"/>
      <c r="M227" s="4"/>
      <c r="N227" s="4"/>
      <c r="O227" s="4"/>
      <c r="P227" s="4"/>
      <c r="Q227" s="4"/>
    </row>
    <row r="228" ht="15.75" customHeight="1">
      <c r="A228" s="187">
        <v>6.92336419E9</v>
      </c>
      <c r="B228" s="69" t="s">
        <v>670</v>
      </c>
      <c r="C228" s="37">
        <v>2.0</v>
      </c>
      <c r="D228" s="38">
        <v>168.0</v>
      </c>
      <c r="E228" s="38"/>
      <c r="F228" s="38"/>
      <c r="G228" s="71">
        <f t="shared" si="4"/>
        <v>2.142857143</v>
      </c>
      <c r="H228" s="71"/>
      <c r="I228" s="4"/>
      <c r="J228" s="4"/>
      <c r="K228" s="4"/>
      <c r="L228" s="4"/>
      <c r="M228" s="4"/>
      <c r="N228" s="4"/>
      <c r="O228" s="4"/>
      <c r="P228" s="4"/>
      <c r="Q228" s="4"/>
    </row>
    <row r="229" ht="15.75" customHeight="1">
      <c r="A229" s="187">
        <v>7.09257119E9</v>
      </c>
      <c r="B229" s="69" t="s">
        <v>648</v>
      </c>
      <c r="C229" s="37">
        <v>8.0</v>
      </c>
      <c r="D229" s="38">
        <v>28.0</v>
      </c>
      <c r="E229" s="38"/>
      <c r="F229" s="38"/>
      <c r="G229" s="71">
        <f t="shared" si="4"/>
        <v>12.85714286</v>
      </c>
      <c r="H229" s="71"/>
      <c r="I229" s="4"/>
      <c r="J229" s="4"/>
      <c r="K229" s="4"/>
      <c r="L229" s="4"/>
      <c r="M229" s="4"/>
      <c r="N229" s="4"/>
      <c r="O229" s="4"/>
      <c r="P229" s="4"/>
      <c r="Q229" s="4"/>
    </row>
    <row r="230" ht="15.75" customHeight="1">
      <c r="A230" s="187">
        <v>9.21692819E9</v>
      </c>
      <c r="B230" s="69" t="s">
        <v>646</v>
      </c>
      <c r="C230" s="37">
        <v>2.0</v>
      </c>
      <c r="D230" s="38">
        <v>28.0</v>
      </c>
      <c r="E230" s="38"/>
      <c r="F230" s="38"/>
      <c r="G230" s="71">
        <f t="shared" si="4"/>
        <v>12.85714286</v>
      </c>
      <c r="H230" s="71"/>
      <c r="I230" s="4"/>
      <c r="J230" s="4"/>
      <c r="K230" s="4"/>
      <c r="L230" s="4"/>
      <c r="M230" s="4"/>
      <c r="N230" s="4"/>
      <c r="O230" s="4"/>
      <c r="P230" s="4"/>
      <c r="Q230" s="4"/>
    </row>
    <row r="231" ht="15.75" customHeight="1">
      <c r="A231" s="187">
        <v>9.28931319E9</v>
      </c>
      <c r="B231" s="69" t="s">
        <v>646</v>
      </c>
      <c r="C231" s="37">
        <v>2.0</v>
      </c>
      <c r="D231" s="38">
        <v>84.0</v>
      </c>
      <c r="E231" s="38"/>
      <c r="F231" s="38"/>
      <c r="G231" s="71">
        <f t="shared" si="4"/>
        <v>4.285714286</v>
      </c>
      <c r="H231" s="71"/>
      <c r="I231" s="4"/>
      <c r="J231" s="4"/>
      <c r="K231" s="4"/>
      <c r="L231" s="4"/>
      <c r="M231" s="4"/>
      <c r="N231" s="4"/>
      <c r="O231" s="4"/>
      <c r="P231" s="4"/>
      <c r="Q231" s="4"/>
    </row>
    <row r="232" ht="15.75" customHeight="1">
      <c r="A232" s="187">
        <v>9.34530219E9</v>
      </c>
      <c r="B232" s="69" t="s">
        <v>669</v>
      </c>
      <c r="C232" s="37">
        <v>3.0</v>
      </c>
      <c r="D232" s="38">
        <v>21.0</v>
      </c>
      <c r="E232" s="38"/>
      <c r="F232" s="38"/>
      <c r="G232" s="71">
        <f t="shared" si="4"/>
        <v>17.14285714</v>
      </c>
      <c r="H232" s="71"/>
      <c r="I232" s="4"/>
      <c r="J232" s="4"/>
      <c r="K232" s="4"/>
      <c r="L232" s="4"/>
      <c r="M232" s="4"/>
      <c r="N232" s="4"/>
      <c r="O232" s="4"/>
      <c r="P232" s="4"/>
      <c r="Q232" s="4"/>
    </row>
    <row r="233" ht="15.75" customHeight="1">
      <c r="A233" s="187">
        <v>5.88908119E9</v>
      </c>
      <c r="B233" s="69" t="s">
        <v>662</v>
      </c>
      <c r="C233" s="37">
        <v>1.0</v>
      </c>
      <c r="D233" s="38">
        <v>28.0</v>
      </c>
      <c r="E233" s="38"/>
      <c r="F233" s="38"/>
      <c r="G233" s="71">
        <f t="shared" si="4"/>
        <v>12.85714286</v>
      </c>
      <c r="H233" s="71"/>
      <c r="I233" s="4"/>
      <c r="J233" s="4"/>
      <c r="K233" s="4"/>
      <c r="L233" s="4"/>
      <c r="M233" s="4"/>
      <c r="N233" s="4"/>
      <c r="O233" s="4"/>
      <c r="P233" s="4"/>
      <c r="Q233" s="4"/>
    </row>
    <row r="234" ht="15.75" customHeight="1">
      <c r="A234" s="187">
        <v>7.29413119E9</v>
      </c>
      <c r="B234" s="69" t="s">
        <v>653</v>
      </c>
      <c r="C234" s="37">
        <v>1.0</v>
      </c>
      <c r="D234" s="38">
        <v>28.0</v>
      </c>
      <c r="E234" s="38"/>
      <c r="F234" s="38"/>
      <c r="G234" s="71">
        <f t="shared" si="4"/>
        <v>12.85714286</v>
      </c>
      <c r="H234" s="71"/>
      <c r="I234" s="4"/>
      <c r="J234" s="4"/>
      <c r="K234" s="4"/>
      <c r="L234" s="4"/>
      <c r="M234" s="4"/>
      <c r="N234" s="4"/>
      <c r="O234" s="4"/>
      <c r="P234" s="4"/>
      <c r="Q234" s="4"/>
    </row>
    <row r="235" ht="15.75" customHeight="1">
      <c r="A235" s="221" t="s">
        <v>224</v>
      </c>
      <c r="B235" s="237"/>
      <c r="C235" s="186" t="s">
        <v>996</v>
      </c>
      <c r="D235" s="207" t="s">
        <v>136</v>
      </c>
      <c r="E235" s="221"/>
      <c r="F235" s="221" t="s">
        <v>138</v>
      </c>
      <c r="G235" s="222" t="s">
        <v>139</v>
      </c>
      <c r="H235" s="222" t="s">
        <v>140</v>
      </c>
      <c r="I235" s="4"/>
      <c r="J235" s="4"/>
      <c r="K235" s="4"/>
      <c r="L235" s="4"/>
      <c r="M235" s="4"/>
      <c r="N235" s="4"/>
      <c r="O235" s="4"/>
      <c r="P235" s="4"/>
      <c r="Q235" s="4"/>
    </row>
    <row r="236" ht="15.75" customHeight="1">
      <c r="A236" s="42">
        <v>5.694302001E9</v>
      </c>
      <c r="B236" s="42" t="s">
        <v>1072</v>
      </c>
      <c r="C236" s="38">
        <v>1.0</v>
      </c>
      <c r="D236" s="38">
        <v>365.0</v>
      </c>
      <c r="E236" s="38"/>
      <c r="F236" s="38"/>
      <c r="G236" s="71">
        <f t="shared" ref="G236:G261" si="5">(360/D236)</f>
        <v>0.9863013699</v>
      </c>
      <c r="H236" s="71">
        <f t="shared" ref="H236:H261" si="6">IF(G236&gt;F236,G236,F236)</f>
        <v>0.9863013699</v>
      </c>
      <c r="I236" s="4"/>
      <c r="J236" s="4"/>
      <c r="K236" s="4"/>
      <c r="L236" s="4"/>
      <c r="M236" s="4"/>
      <c r="N236" s="4"/>
      <c r="O236" s="4"/>
      <c r="P236" s="4"/>
      <c r="Q236" s="4"/>
    </row>
    <row r="237" ht="15.75" customHeight="1">
      <c r="A237" s="42">
        <v>7.29901019E9</v>
      </c>
      <c r="B237" s="42" t="s">
        <v>1073</v>
      </c>
      <c r="C237" s="37">
        <v>1.0</v>
      </c>
      <c r="D237" s="38">
        <v>112.0</v>
      </c>
      <c r="E237" s="38"/>
      <c r="F237" s="38"/>
      <c r="G237" s="71">
        <f t="shared" si="5"/>
        <v>3.214285714</v>
      </c>
      <c r="H237" s="71">
        <f t="shared" si="6"/>
        <v>3.214285714</v>
      </c>
      <c r="I237" s="4"/>
      <c r="J237" s="4"/>
      <c r="K237" s="4"/>
      <c r="L237" s="4"/>
      <c r="M237" s="4"/>
      <c r="N237" s="4"/>
      <c r="O237" s="4"/>
      <c r="P237" s="4"/>
      <c r="Q237" s="4"/>
    </row>
    <row r="238" ht="15.75" customHeight="1">
      <c r="A238" s="42">
        <v>7.29900119E9</v>
      </c>
      <c r="B238" s="42" t="s">
        <v>1074</v>
      </c>
      <c r="C238" s="37">
        <v>1.0</v>
      </c>
      <c r="D238" s="38">
        <v>112.0</v>
      </c>
      <c r="E238" s="38"/>
      <c r="F238" s="38"/>
      <c r="G238" s="71">
        <f t="shared" si="5"/>
        <v>3.214285714</v>
      </c>
      <c r="H238" s="71">
        <f t="shared" si="6"/>
        <v>3.214285714</v>
      </c>
      <c r="I238" s="4"/>
      <c r="J238" s="4"/>
      <c r="K238" s="4"/>
      <c r="L238" s="4"/>
      <c r="M238" s="4"/>
      <c r="N238" s="4"/>
      <c r="O238" s="4"/>
      <c r="P238" s="4"/>
      <c r="Q238" s="4"/>
    </row>
    <row r="239" ht="15.75" customHeight="1">
      <c r="A239" s="14">
        <v>9.76258219E9</v>
      </c>
      <c r="B239" s="42" t="s">
        <v>1075</v>
      </c>
      <c r="C239" s="37">
        <v>1.0</v>
      </c>
      <c r="D239" s="38">
        <v>28.0</v>
      </c>
      <c r="E239" s="38"/>
      <c r="F239" s="38"/>
      <c r="G239" s="71">
        <f t="shared" si="5"/>
        <v>12.85714286</v>
      </c>
      <c r="H239" s="71">
        <f t="shared" si="6"/>
        <v>12.85714286</v>
      </c>
      <c r="I239" s="4"/>
      <c r="J239" s="4"/>
      <c r="K239" s="4"/>
      <c r="L239" s="4"/>
      <c r="M239" s="4"/>
      <c r="N239" s="4"/>
      <c r="O239" s="4"/>
      <c r="P239" s="4"/>
      <c r="Q239" s="4"/>
    </row>
    <row r="240" ht="15.75" customHeight="1">
      <c r="A240" s="42">
        <v>6.90885319E9</v>
      </c>
      <c r="B240" s="42" t="s">
        <v>1076</v>
      </c>
      <c r="C240" s="37">
        <v>2.0</v>
      </c>
      <c r="D240" s="38">
        <v>28.0</v>
      </c>
      <c r="E240" s="38"/>
      <c r="F240" s="38"/>
      <c r="G240" s="71">
        <f t="shared" si="5"/>
        <v>12.85714286</v>
      </c>
      <c r="H240" s="71">
        <f t="shared" si="6"/>
        <v>12.85714286</v>
      </c>
      <c r="I240" s="4"/>
      <c r="J240" s="4"/>
      <c r="K240" s="4"/>
      <c r="L240" s="4"/>
      <c r="M240" s="4"/>
      <c r="N240" s="4"/>
      <c r="O240" s="4"/>
      <c r="P240" s="4"/>
      <c r="Q240" s="4"/>
    </row>
    <row r="241" ht="15.75" customHeight="1">
      <c r="A241" s="42">
        <v>6.90885319E9</v>
      </c>
      <c r="B241" s="42" t="s">
        <v>1077</v>
      </c>
      <c r="C241" s="37">
        <v>2.0</v>
      </c>
      <c r="D241" s="38">
        <v>28.0</v>
      </c>
      <c r="E241" s="38"/>
      <c r="F241" s="38"/>
      <c r="G241" s="71">
        <f t="shared" si="5"/>
        <v>12.85714286</v>
      </c>
      <c r="H241" s="71">
        <f t="shared" si="6"/>
        <v>12.85714286</v>
      </c>
      <c r="I241" s="4"/>
      <c r="J241" s="4"/>
      <c r="K241" s="4"/>
      <c r="L241" s="4"/>
      <c r="M241" s="4"/>
      <c r="N241" s="4"/>
      <c r="O241" s="4"/>
      <c r="P241" s="4"/>
      <c r="Q241" s="4"/>
    </row>
    <row r="242" ht="15.75" customHeight="1">
      <c r="A242" s="42">
        <v>4.88029319E9</v>
      </c>
      <c r="B242" s="42" t="s">
        <v>1078</v>
      </c>
      <c r="C242" s="37">
        <v>2.0</v>
      </c>
      <c r="D242" s="38">
        <v>21.0</v>
      </c>
      <c r="E242" s="38"/>
      <c r="F242" s="38"/>
      <c r="G242" s="71">
        <f t="shared" si="5"/>
        <v>17.14285714</v>
      </c>
      <c r="H242" s="71">
        <f t="shared" si="6"/>
        <v>17.14285714</v>
      </c>
      <c r="I242" s="4"/>
      <c r="J242" s="4"/>
      <c r="K242" s="4"/>
      <c r="L242" s="4"/>
      <c r="M242" s="4"/>
      <c r="N242" s="4"/>
      <c r="O242" s="4"/>
      <c r="P242" s="4"/>
      <c r="Q242" s="4"/>
    </row>
    <row r="243" ht="15.75" customHeight="1">
      <c r="A243" s="42">
        <v>4.88029319E9</v>
      </c>
      <c r="B243" s="42" t="s">
        <v>1079</v>
      </c>
      <c r="C243" s="37">
        <v>2.0</v>
      </c>
      <c r="D243" s="38">
        <v>21.0</v>
      </c>
      <c r="E243" s="38"/>
      <c r="F243" s="38"/>
      <c r="G243" s="71">
        <f t="shared" si="5"/>
        <v>17.14285714</v>
      </c>
      <c r="H243" s="71">
        <f t="shared" si="6"/>
        <v>17.14285714</v>
      </c>
      <c r="I243" s="4"/>
      <c r="J243" s="4"/>
      <c r="K243" s="4"/>
      <c r="L243" s="4"/>
      <c r="M243" s="4"/>
      <c r="N243" s="4"/>
      <c r="O243" s="4"/>
      <c r="P243" s="4"/>
      <c r="Q243" s="4"/>
    </row>
    <row r="244" ht="15.75" customHeight="1">
      <c r="A244" s="42">
        <v>6.90879919E9</v>
      </c>
      <c r="B244" s="42" t="s">
        <v>1080</v>
      </c>
      <c r="C244" s="37">
        <v>2.0</v>
      </c>
      <c r="D244" s="38">
        <v>21.0</v>
      </c>
      <c r="E244" s="38"/>
      <c r="F244" s="38"/>
      <c r="G244" s="71">
        <f t="shared" si="5"/>
        <v>17.14285714</v>
      </c>
      <c r="H244" s="71">
        <f t="shared" si="6"/>
        <v>17.14285714</v>
      </c>
      <c r="I244" s="4"/>
      <c r="J244" s="4"/>
      <c r="K244" s="4"/>
      <c r="L244" s="4"/>
      <c r="M244" s="4"/>
      <c r="N244" s="4"/>
      <c r="O244" s="4"/>
      <c r="P244" s="4"/>
      <c r="Q244" s="4"/>
    </row>
    <row r="245" ht="15.75" customHeight="1">
      <c r="A245" s="42">
        <v>6.90879919E9</v>
      </c>
      <c r="B245" s="42" t="s">
        <v>1081</v>
      </c>
      <c r="C245" s="37">
        <v>2.0</v>
      </c>
      <c r="D245" s="38">
        <v>21.0</v>
      </c>
      <c r="E245" s="38"/>
      <c r="F245" s="38"/>
      <c r="G245" s="71">
        <f t="shared" si="5"/>
        <v>17.14285714</v>
      </c>
      <c r="H245" s="71">
        <f t="shared" si="6"/>
        <v>17.14285714</v>
      </c>
      <c r="I245" s="4"/>
      <c r="J245" s="4"/>
      <c r="K245" s="4"/>
      <c r="L245" s="4"/>
      <c r="M245" s="4"/>
      <c r="N245" s="4"/>
      <c r="O245" s="4"/>
      <c r="P245" s="4"/>
      <c r="Q245" s="4"/>
    </row>
    <row r="246" ht="15.75" customHeight="1">
      <c r="A246" s="42">
        <v>7.37306619E9</v>
      </c>
      <c r="B246" s="42" t="s">
        <v>1082</v>
      </c>
      <c r="C246" s="37">
        <v>1.0</v>
      </c>
      <c r="D246" s="38">
        <v>112.0</v>
      </c>
      <c r="E246" s="38"/>
      <c r="F246" s="38"/>
      <c r="G246" s="71">
        <f t="shared" si="5"/>
        <v>3.214285714</v>
      </c>
      <c r="H246" s="71">
        <f t="shared" si="6"/>
        <v>3.214285714</v>
      </c>
      <c r="I246" s="4"/>
      <c r="J246" s="4"/>
      <c r="K246" s="4"/>
      <c r="L246" s="4"/>
      <c r="M246" s="4"/>
      <c r="N246" s="4"/>
      <c r="O246" s="4"/>
      <c r="P246" s="4"/>
      <c r="Q246" s="4"/>
    </row>
    <row r="247" ht="15.75" customHeight="1">
      <c r="A247" s="42">
        <v>7.37299019E9</v>
      </c>
      <c r="B247" s="42" t="s">
        <v>1083</v>
      </c>
      <c r="C247" s="37">
        <v>1.0</v>
      </c>
      <c r="D247" s="38">
        <v>112.0</v>
      </c>
      <c r="E247" s="38"/>
      <c r="F247" s="38"/>
      <c r="G247" s="71">
        <f t="shared" si="5"/>
        <v>3.214285714</v>
      </c>
      <c r="H247" s="71">
        <f t="shared" si="6"/>
        <v>3.214285714</v>
      </c>
      <c r="I247" s="4"/>
      <c r="J247" s="4"/>
      <c r="K247" s="4"/>
      <c r="L247" s="4"/>
      <c r="M247" s="4"/>
      <c r="N247" s="4"/>
      <c r="O247" s="4"/>
      <c r="P247" s="4"/>
      <c r="Q247" s="4"/>
    </row>
    <row r="248" ht="15.75" customHeight="1">
      <c r="A248" s="42">
        <v>5.11850619E9</v>
      </c>
      <c r="B248" s="42" t="s">
        <v>1084</v>
      </c>
      <c r="C248" s="37">
        <v>2.0</v>
      </c>
      <c r="D248" s="38">
        <v>5.0</v>
      </c>
      <c r="E248" s="38"/>
      <c r="F248" s="38"/>
      <c r="G248" s="71">
        <f t="shared" si="5"/>
        <v>72</v>
      </c>
      <c r="H248" s="71">
        <f t="shared" si="6"/>
        <v>72</v>
      </c>
      <c r="I248" s="4"/>
      <c r="J248" s="4"/>
      <c r="K248" s="4"/>
      <c r="L248" s="4"/>
      <c r="M248" s="4"/>
      <c r="N248" s="4"/>
      <c r="O248" s="4"/>
      <c r="P248" s="4"/>
      <c r="Q248" s="4"/>
    </row>
    <row r="249" ht="15.75" customHeight="1">
      <c r="A249" s="42">
        <v>4.444191001E9</v>
      </c>
      <c r="B249" s="42" t="s">
        <v>682</v>
      </c>
      <c r="C249" s="38">
        <v>1.0</v>
      </c>
      <c r="D249" s="38">
        <v>365.0</v>
      </c>
      <c r="E249" s="38"/>
      <c r="F249" s="38"/>
      <c r="G249" s="71">
        <f t="shared" si="5"/>
        <v>0.9863013699</v>
      </c>
      <c r="H249" s="71">
        <f t="shared" si="6"/>
        <v>0.9863013699</v>
      </c>
      <c r="I249" s="4"/>
      <c r="J249" s="4"/>
      <c r="K249" s="4"/>
      <c r="L249" s="4"/>
      <c r="M249" s="4"/>
      <c r="N249" s="4"/>
      <c r="O249" s="4"/>
      <c r="P249" s="4"/>
      <c r="Q249" s="4"/>
    </row>
    <row r="250" ht="15.75" customHeight="1">
      <c r="A250" s="42">
        <v>1.0394246001E10</v>
      </c>
      <c r="B250" s="42" t="s">
        <v>1085</v>
      </c>
      <c r="C250" s="38">
        <v>20.0</v>
      </c>
      <c r="D250" s="38">
        <v>365.0</v>
      </c>
      <c r="E250" s="38"/>
      <c r="F250" s="38"/>
      <c r="G250" s="71">
        <f t="shared" si="5"/>
        <v>0.9863013699</v>
      </c>
      <c r="H250" s="71">
        <f t="shared" si="6"/>
        <v>0.9863013699</v>
      </c>
      <c r="I250" s="4"/>
      <c r="J250" s="4"/>
      <c r="K250" s="4"/>
      <c r="L250" s="4"/>
      <c r="M250" s="4"/>
      <c r="N250" s="4"/>
      <c r="O250" s="4"/>
      <c r="P250" s="4"/>
      <c r="Q250" s="4"/>
    </row>
    <row r="251" ht="15.75" customHeight="1">
      <c r="A251" s="187">
        <v>3.142949122E9</v>
      </c>
      <c r="B251" s="69" t="s">
        <v>1086</v>
      </c>
      <c r="C251" s="37">
        <v>365.0</v>
      </c>
      <c r="D251" s="38">
        <v>1.0</v>
      </c>
      <c r="E251" s="38"/>
      <c r="F251" s="38"/>
      <c r="G251" s="71">
        <f t="shared" si="5"/>
        <v>360</v>
      </c>
      <c r="H251" s="71">
        <f t="shared" si="6"/>
        <v>360</v>
      </c>
      <c r="I251" s="4"/>
      <c r="J251" s="4"/>
      <c r="K251" s="4"/>
      <c r="L251" s="4"/>
      <c r="M251" s="4"/>
      <c r="N251" s="4"/>
      <c r="O251" s="4"/>
      <c r="P251" s="4"/>
      <c r="Q251" s="4"/>
    </row>
    <row r="252" ht="15.75" customHeight="1">
      <c r="A252" s="187">
        <v>5.88907319E9</v>
      </c>
      <c r="B252" s="69" t="s">
        <v>1087</v>
      </c>
      <c r="C252" s="37">
        <v>100.0</v>
      </c>
      <c r="D252" s="38">
        <v>84.0</v>
      </c>
      <c r="E252" s="38"/>
      <c r="F252" s="38"/>
      <c r="G252" s="71">
        <f t="shared" si="5"/>
        <v>4.285714286</v>
      </c>
      <c r="H252" s="71">
        <f t="shared" si="6"/>
        <v>4.285714286</v>
      </c>
      <c r="I252" s="4"/>
      <c r="J252" s="4"/>
      <c r="K252" s="4"/>
      <c r="L252" s="4"/>
      <c r="M252" s="4"/>
      <c r="N252" s="4"/>
      <c r="O252" s="4"/>
      <c r="P252" s="4"/>
      <c r="Q252" s="4"/>
    </row>
    <row r="253" ht="15.75" customHeight="1">
      <c r="A253" s="187">
        <v>5.94431719E9</v>
      </c>
      <c r="B253" s="69" t="s">
        <v>1088</v>
      </c>
      <c r="C253" s="37">
        <v>4.0</v>
      </c>
      <c r="D253" s="38">
        <v>14.0</v>
      </c>
      <c r="E253" s="38"/>
      <c r="F253" s="38"/>
      <c r="G253" s="71">
        <f t="shared" si="5"/>
        <v>25.71428571</v>
      </c>
      <c r="H253" s="71">
        <f t="shared" si="6"/>
        <v>25.71428571</v>
      </c>
      <c r="I253" s="4"/>
      <c r="J253" s="4"/>
      <c r="K253" s="4"/>
      <c r="L253" s="4"/>
      <c r="M253" s="4"/>
      <c r="N253" s="4"/>
      <c r="O253" s="4"/>
      <c r="P253" s="4"/>
      <c r="Q253" s="4"/>
    </row>
    <row r="254" ht="15.75" customHeight="1">
      <c r="A254" s="187">
        <v>9.37006419E9</v>
      </c>
      <c r="B254" s="69" t="s">
        <v>1089</v>
      </c>
      <c r="C254" s="37">
        <v>1.0</v>
      </c>
      <c r="D254" s="38">
        <v>28.0</v>
      </c>
      <c r="E254" s="38"/>
      <c r="F254" s="38"/>
      <c r="G254" s="71">
        <f t="shared" si="5"/>
        <v>12.85714286</v>
      </c>
      <c r="H254" s="71">
        <f t="shared" si="6"/>
        <v>12.85714286</v>
      </c>
      <c r="I254" s="4"/>
      <c r="J254" s="4"/>
      <c r="K254" s="4"/>
      <c r="L254" s="4"/>
      <c r="M254" s="4"/>
      <c r="N254" s="4"/>
      <c r="O254" s="4"/>
      <c r="P254" s="4"/>
      <c r="Q254" s="4"/>
    </row>
    <row r="255" ht="15.75" customHeight="1">
      <c r="A255" s="187">
        <v>9.37009919E9</v>
      </c>
      <c r="B255" s="69" t="s">
        <v>1090</v>
      </c>
      <c r="C255" s="37">
        <v>1.0</v>
      </c>
      <c r="D255" s="38">
        <v>28.0</v>
      </c>
      <c r="E255" s="38"/>
      <c r="F255" s="38"/>
      <c r="G255" s="71">
        <f t="shared" si="5"/>
        <v>12.85714286</v>
      </c>
      <c r="H255" s="71">
        <f t="shared" si="6"/>
        <v>12.85714286</v>
      </c>
      <c r="I255" s="4"/>
      <c r="J255" s="4"/>
      <c r="K255" s="4"/>
      <c r="L255" s="4"/>
      <c r="M255" s="4"/>
      <c r="N255" s="4"/>
      <c r="O255" s="4"/>
      <c r="P255" s="4"/>
      <c r="Q255" s="4"/>
    </row>
    <row r="256" ht="15.75" customHeight="1">
      <c r="A256" s="187">
        <v>9.12712719E9</v>
      </c>
      <c r="B256" s="69" t="s">
        <v>1091</v>
      </c>
      <c r="C256" s="37">
        <v>2.0</v>
      </c>
      <c r="D256" s="38">
        <v>56.0</v>
      </c>
      <c r="E256" s="38"/>
      <c r="F256" s="38"/>
      <c r="G256" s="71">
        <f t="shared" si="5"/>
        <v>6.428571429</v>
      </c>
      <c r="H256" s="71">
        <f t="shared" si="6"/>
        <v>6.428571429</v>
      </c>
      <c r="I256" s="4"/>
      <c r="J256" s="4"/>
      <c r="K256" s="4"/>
      <c r="L256" s="4"/>
      <c r="M256" s="4"/>
      <c r="N256" s="4"/>
      <c r="O256" s="4"/>
      <c r="P256" s="4"/>
      <c r="Q256" s="4"/>
    </row>
    <row r="257" ht="15.75" customHeight="1">
      <c r="A257" s="42">
        <v>5.870020001E9</v>
      </c>
      <c r="B257" s="42" t="s">
        <v>876</v>
      </c>
      <c r="C257" s="38">
        <v>1.0</v>
      </c>
      <c r="D257" s="38">
        <v>365.0</v>
      </c>
      <c r="E257" s="38"/>
      <c r="F257" s="38"/>
      <c r="G257" s="71">
        <f t="shared" si="5"/>
        <v>0.9863013699</v>
      </c>
      <c r="H257" s="71">
        <f t="shared" si="6"/>
        <v>0.9863013699</v>
      </c>
      <c r="I257" s="4"/>
      <c r="J257" s="4"/>
      <c r="K257" s="4"/>
      <c r="L257" s="4"/>
      <c r="M257" s="4"/>
      <c r="N257" s="4"/>
      <c r="O257" s="4"/>
      <c r="P257" s="4"/>
      <c r="Q257" s="4"/>
    </row>
    <row r="258" ht="15.75" customHeight="1">
      <c r="A258" s="42">
        <v>4.419987001E9</v>
      </c>
      <c r="B258" s="42" t="s">
        <v>878</v>
      </c>
      <c r="C258" s="38">
        <v>1.0</v>
      </c>
      <c r="D258" s="38">
        <v>365.0</v>
      </c>
      <c r="E258" s="38"/>
      <c r="F258" s="38"/>
      <c r="G258" s="71">
        <f t="shared" si="5"/>
        <v>0.9863013699</v>
      </c>
      <c r="H258" s="71">
        <f t="shared" si="6"/>
        <v>0.9863013699</v>
      </c>
      <c r="I258" s="4"/>
      <c r="J258" s="4"/>
      <c r="K258" s="4"/>
      <c r="L258" s="4"/>
      <c r="M258" s="4"/>
      <c r="N258" s="4"/>
      <c r="O258" s="4"/>
      <c r="P258" s="4"/>
      <c r="Q258" s="4"/>
    </row>
    <row r="259" ht="15.75" customHeight="1">
      <c r="A259" s="42">
        <v>7.485409001E9</v>
      </c>
      <c r="B259" s="42" t="s">
        <v>1092</v>
      </c>
      <c r="C259" s="38">
        <v>1.0</v>
      </c>
      <c r="D259" s="38">
        <v>365.0</v>
      </c>
      <c r="E259" s="38"/>
      <c r="F259" s="38"/>
      <c r="G259" s="71">
        <f t="shared" si="5"/>
        <v>0.9863013699</v>
      </c>
      <c r="H259" s="71">
        <f t="shared" si="6"/>
        <v>0.9863013699</v>
      </c>
      <c r="I259" s="4"/>
      <c r="J259" s="4"/>
      <c r="K259" s="4"/>
      <c r="L259" s="4"/>
      <c r="M259" s="4"/>
      <c r="N259" s="4"/>
      <c r="O259" s="4"/>
      <c r="P259" s="4"/>
      <c r="Q259" s="4"/>
    </row>
    <row r="260" ht="15.75" customHeight="1">
      <c r="A260" s="42">
        <v>7.485433001E9</v>
      </c>
      <c r="B260" s="42" t="s">
        <v>1093</v>
      </c>
      <c r="C260" s="38">
        <v>1.0</v>
      </c>
      <c r="D260" s="38">
        <v>365.0</v>
      </c>
      <c r="E260" s="38"/>
      <c r="F260" s="38"/>
      <c r="G260" s="71">
        <f t="shared" si="5"/>
        <v>0.9863013699</v>
      </c>
      <c r="H260" s="71">
        <f t="shared" si="6"/>
        <v>0.9863013699</v>
      </c>
      <c r="I260" s="4"/>
      <c r="J260" s="4"/>
      <c r="K260" s="4"/>
      <c r="L260" s="4"/>
      <c r="M260" s="4"/>
      <c r="N260" s="4"/>
      <c r="O260" s="4"/>
      <c r="P260" s="4"/>
      <c r="Q260" s="4"/>
    </row>
    <row r="261" ht="15.75" customHeight="1">
      <c r="A261" s="42">
        <v>1.1298500316E10</v>
      </c>
      <c r="B261" s="42" t="s">
        <v>1094</v>
      </c>
      <c r="C261" s="38">
        <v>5.0</v>
      </c>
      <c r="D261" s="38">
        <v>73.0</v>
      </c>
      <c r="E261" s="38"/>
      <c r="F261" s="38"/>
      <c r="G261" s="71">
        <f t="shared" si="5"/>
        <v>4.931506849</v>
      </c>
      <c r="H261" s="71">
        <f t="shared" si="6"/>
        <v>4.931506849</v>
      </c>
      <c r="I261" s="4"/>
      <c r="J261" s="4"/>
      <c r="K261" s="4"/>
      <c r="L261" s="4"/>
      <c r="M261" s="4"/>
      <c r="N261" s="4"/>
      <c r="O261" s="4"/>
      <c r="P261" s="4"/>
      <c r="Q261" s="4"/>
    </row>
    <row r="262" ht="15.75" customHeight="1">
      <c r="A262" s="4"/>
      <c r="B262" s="4"/>
      <c r="C262" s="239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</row>
    <row r="263" ht="15.75" customHeight="1">
      <c r="A263" s="4"/>
      <c r="B263" s="4"/>
      <c r="C263" s="239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</row>
    <row r="264" ht="15.75" customHeight="1">
      <c r="A264" s="4"/>
      <c r="B264" s="4"/>
      <c r="C264" s="239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</row>
    <row r="265" ht="15.75" customHeight="1">
      <c r="A265" s="4"/>
      <c r="B265" s="4"/>
      <c r="C265" s="239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</row>
    <row r="266" ht="15.75" customHeight="1">
      <c r="A266" s="4"/>
      <c r="B266" s="4"/>
      <c r="C266" s="239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</row>
    <row r="267" ht="15.75" customHeight="1">
      <c r="A267" s="4"/>
      <c r="B267" s="4"/>
      <c r="C267" s="239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</row>
    <row r="268" ht="15.75" customHeight="1">
      <c r="A268" s="4"/>
      <c r="B268" s="4"/>
      <c r="C268" s="239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</row>
    <row r="269" ht="15.75" customHeight="1">
      <c r="A269" s="4"/>
      <c r="B269" s="4"/>
      <c r="C269" s="239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</row>
    <row r="270" ht="15.75" customHeight="1">
      <c r="A270" s="4"/>
      <c r="B270" s="4"/>
      <c r="C270" s="239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</row>
    <row r="271" ht="15.75" customHeight="1">
      <c r="A271" s="4"/>
      <c r="B271" s="4"/>
      <c r="C271" s="239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</row>
    <row r="272" ht="15.75" customHeight="1">
      <c r="A272" s="4"/>
      <c r="B272" s="4"/>
      <c r="C272" s="239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</row>
    <row r="273" ht="15.75" customHeight="1">
      <c r="A273" s="4"/>
      <c r="B273" s="4"/>
      <c r="C273" s="239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</row>
    <row r="274" ht="15.75" customHeight="1">
      <c r="A274" s="4"/>
      <c r="B274" s="4"/>
      <c r="C274" s="239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</row>
    <row r="275" ht="15.75" customHeight="1">
      <c r="A275" s="4"/>
      <c r="B275" s="4"/>
      <c r="C275" s="239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</row>
    <row r="276" ht="15.75" customHeight="1">
      <c r="A276" s="4"/>
      <c r="B276" s="4"/>
      <c r="C276" s="239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</row>
    <row r="277" ht="15.75" customHeight="1">
      <c r="A277" s="4"/>
      <c r="B277" s="4"/>
      <c r="C277" s="239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</row>
    <row r="278" ht="15.75" customHeight="1">
      <c r="A278" s="4"/>
      <c r="B278" s="4"/>
      <c r="C278" s="239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</row>
    <row r="279" ht="15.75" customHeight="1">
      <c r="A279" s="4"/>
      <c r="B279" s="4"/>
      <c r="C279" s="239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</row>
    <row r="280" ht="15.75" customHeight="1">
      <c r="A280" s="4"/>
      <c r="B280" s="4"/>
      <c r="C280" s="239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</row>
    <row r="281" ht="15.75" customHeight="1">
      <c r="A281" s="4"/>
      <c r="B281" s="4"/>
      <c r="C281" s="239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</row>
    <row r="282" ht="15.75" customHeight="1">
      <c r="A282" s="4"/>
      <c r="B282" s="4"/>
      <c r="C282" s="239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</row>
    <row r="283" ht="15.75" customHeight="1">
      <c r="A283" s="4"/>
      <c r="B283" s="4"/>
      <c r="C283" s="239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</row>
    <row r="284" ht="15.75" customHeight="1">
      <c r="A284" s="4"/>
      <c r="B284" s="4"/>
      <c r="C284" s="239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</row>
    <row r="285" ht="15.75" customHeight="1">
      <c r="A285" s="4"/>
      <c r="B285" s="4"/>
      <c r="C285" s="239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</row>
    <row r="286" ht="15.75" customHeight="1">
      <c r="A286" s="4"/>
      <c r="B286" s="4"/>
      <c r="C286" s="239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</row>
    <row r="287" ht="15.75" customHeight="1">
      <c r="A287" s="4"/>
      <c r="B287" s="4"/>
      <c r="C287" s="239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</row>
    <row r="288" ht="15.75" customHeight="1">
      <c r="A288" s="4"/>
      <c r="B288" s="4"/>
      <c r="C288" s="239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</row>
    <row r="289" ht="15.75" customHeight="1">
      <c r="A289" s="4"/>
      <c r="B289" s="4"/>
      <c r="C289" s="239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</row>
    <row r="290" ht="15.75" customHeight="1">
      <c r="A290" s="4"/>
      <c r="B290" s="4"/>
      <c r="C290" s="239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</row>
    <row r="291" ht="15.75" customHeight="1">
      <c r="A291" s="4"/>
      <c r="B291" s="4"/>
      <c r="C291" s="239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</row>
    <row r="292" ht="15.75" customHeight="1">
      <c r="A292" s="4"/>
      <c r="B292" s="4"/>
      <c r="C292" s="239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</row>
    <row r="293" ht="15.75" customHeight="1">
      <c r="A293" s="4"/>
      <c r="B293" s="4"/>
      <c r="C293" s="239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</row>
    <row r="294" ht="15.75" customHeight="1">
      <c r="A294" s="4"/>
      <c r="B294" s="4"/>
      <c r="C294" s="239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</row>
    <row r="295" ht="15.75" customHeight="1">
      <c r="A295" s="4"/>
      <c r="B295" s="4"/>
      <c r="C295" s="239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</row>
    <row r="296" ht="15.75" customHeight="1">
      <c r="A296" s="4"/>
      <c r="B296" s="4"/>
      <c r="C296" s="239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</row>
    <row r="297" ht="15.75" customHeight="1">
      <c r="A297" s="4"/>
      <c r="B297" s="4"/>
      <c r="C297" s="239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</row>
    <row r="298" ht="15.75" customHeight="1">
      <c r="A298" s="4"/>
      <c r="B298" s="4"/>
      <c r="C298" s="239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</row>
    <row r="299" ht="15.75" customHeight="1">
      <c r="A299" s="4"/>
      <c r="B299" s="4"/>
      <c r="C299" s="239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</row>
    <row r="300" ht="15.75" customHeight="1">
      <c r="A300" s="4"/>
      <c r="B300" s="4"/>
      <c r="C300" s="239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</row>
    <row r="301" ht="15.75" customHeight="1">
      <c r="A301" s="4"/>
      <c r="B301" s="4"/>
      <c r="C301" s="239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</row>
    <row r="302" ht="15.75" customHeight="1">
      <c r="A302" s="4"/>
      <c r="B302" s="4"/>
      <c r="C302" s="239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</row>
    <row r="303" ht="15.75" customHeight="1">
      <c r="A303" s="4"/>
      <c r="B303" s="4"/>
      <c r="C303" s="239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</row>
    <row r="304" ht="15.75" customHeight="1">
      <c r="A304" s="4"/>
      <c r="B304" s="4"/>
      <c r="C304" s="239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</row>
    <row r="305" ht="15.75" customHeight="1">
      <c r="A305" s="4"/>
      <c r="B305" s="4"/>
      <c r="C305" s="239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</row>
    <row r="306" ht="15.75" customHeight="1">
      <c r="A306" s="4"/>
      <c r="B306" s="4"/>
      <c r="C306" s="239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</row>
    <row r="307" ht="15.75" customHeight="1">
      <c r="A307" s="4"/>
      <c r="B307" s="4"/>
      <c r="C307" s="239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</row>
    <row r="308" ht="15.75" customHeight="1">
      <c r="A308" s="4"/>
      <c r="B308" s="4"/>
      <c r="C308" s="239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</row>
    <row r="309" ht="15.75" customHeight="1">
      <c r="A309" s="4"/>
      <c r="B309" s="4"/>
      <c r="C309" s="239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</row>
    <row r="310" ht="15.75" customHeight="1">
      <c r="A310" s="4"/>
      <c r="B310" s="4"/>
      <c r="C310" s="239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</row>
    <row r="311" ht="15.75" customHeight="1">
      <c r="A311" s="4"/>
      <c r="B311" s="4"/>
      <c r="C311" s="239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</row>
    <row r="312" ht="15.75" customHeight="1">
      <c r="A312" s="4"/>
      <c r="B312" s="4"/>
      <c r="C312" s="239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</row>
    <row r="313" ht="15.75" customHeight="1">
      <c r="A313" s="4"/>
      <c r="B313" s="4"/>
      <c r="C313" s="239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</row>
    <row r="314" ht="15.75" customHeight="1">
      <c r="A314" s="4"/>
      <c r="B314" s="4"/>
      <c r="C314" s="239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</row>
    <row r="315" ht="15.75" customHeight="1">
      <c r="A315" s="4"/>
      <c r="B315" s="4"/>
      <c r="C315" s="239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</row>
    <row r="316" ht="15.75" customHeight="1">
      <c r="A316" s="4"/>
      <c r="B316" s="4"/>
      <c r="C316" s="239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</row>
    <row r="317" ht="15.75" customHeight="1">
      <c r="A317" s="4"/>
      <c r="B317" s="4"/>
      <c r="C317" s="239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</row>
    <row r="318" ht="15.75" customHeight="1">
      <c r="A318" s="4"/>
      <c r="B318" s="4"/>
      <c r="C318" s="239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</row>
    <row r="319" ht="15.75" customHeight="1">
      <c r="A319" s="4"/>
      <c r="B319" s="4"/>
      <c r="C319" s="239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</row>
    <row r="320" ht="15.75" customHeight="1">
      <c r="A320" s="4"/>
      <c r="B320" s="4"/>
      <c r="C320" s="239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</row>
    <row r="321" ht="15.75" customHeight="1">
      <c r="A321" s="4"/>
      <c r="B321" s="4"/>
      <c r="C321" s="239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</row>
    <row r="322" ht="15.75" customHeight="1">
      <c r="A322" s="4"/>
      <c r="B322" s="4"/>
      <c r="C322" s="239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</row>
    <row r="323" ht="15.75" customHeight="1">
      <c r="A323" s="4"/>
      <c r="B323" s="4"/>
      <c r="C323" s="239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</row>
    <row r="324" ht="15.75" customHeight="1">
      <c r="A324" s="4"/>
      <c r="B324" s="4"/>
      <c r="C324" s="239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</row>
    <row r="325" ht="15.75" customHeight="1">
      <c r="A325" s="4"/>
      <c r="B325" s="4"/>
      <c r="C325" s="239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</row>
    <row r="326" ht="15.75" customHeight="1">
      <c r="A326" s="4"/>
      <c r="B326" s="4"/>
      <c r="C326" s="239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</row>
    <row r="327" ht="15.75" customHeight="1">
      <c r="A327" s="4"/>
      <c r="B327" s="4"/>
      <c r="C327" s="239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</row>
    <row r="328" ht="15.75" customHeight="1">
      <c r="A328" s="4"/>
      <c r="B328" s="4"/>
      <c r="C328" s="239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</row>
    <row r="329" ht="15.75" customHeight="1">
      <c r="A329" s="4"/>
      <c r="B329" s="4"/>
      <c r="C329" s="239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</row>
    <row r="330" ht="15.75" customHeight="1">
      <c r="A330" s="4"/>
      <c r="B330" s="4"/>
      <c r="C330" s="239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</row>
    <row r="331" ht="15.75" customHeight="1">
      <c r="A331" s="4"/>
      <c r="B331" s="4"/>
      <c r="C331" s="239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</row>
    <row r="332" ht="15.75" customHeight="1">
      <c r="A332" s="4"/>
      <c r="B332" s="4"/>
      <c r="C332" s="239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</row>
    <row r="333" ht="15.75" customHeight="1">
      <c r="A333" s="4"/>
      <c r="B333" s="4"/>
      <c r="C333" s="239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</row>
    <row r="334" ht="15.75" customHeight="1">
      <c r="A334" s="4"/>
      <c r="B334" s="4"/>
      <c r="C334" s="239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</row>
    <row r="335" ht="15.75" customHeight="1">
      <c r="A335" s="4"/>
      <c r="B335" s="4"/>
      <c r="C335" s="239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</row>
    <row r="336" ht="15.75" customHeight="1">
      <c r="A336" s="4"/>
      <c r="B336" s="4"/>
      <c r="C336" s="239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</row>
    <row r="337" ht="15.75" customHeight="1">
      <c r="A337" s="4"/>
      <c r="B337" s="4"/>
      <c r="C337" s="239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</row>
    <row r="338" ht="15.75" customHeight="1">
      <c r="A338" s="4"/>
      <c r="B338" s="4"/>
      <c r="C338" s="239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</row>
    <row r="339" ht="15.75" customHeight="1">
      <c r="A339" s="4"/>
      <c r="B339" s="4"/>
      <c r="C339" s="239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</row>
    <row r="340" ht="15.75" customHeight="1">
      <c r="A340" s="4"/>
      <c r="B340" s="4"/>
      <c r="C340" s="239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</row>
    <row r="341" ht="15.75" customHeight="1">
      <c r="A341" s="4"/>
      <c r="B341" s="4"/>
      <c r="C341" s="239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</row>
    <row r="342" ht="15.75" customHeight="1">
      <c r="A342" s="4"/>
      <c r="B342" s="4"/>
      <c r="C342" s="239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</row>
    <row r="343" ht="15.75" customHeight="1">
      <c r="A343" s="4"/>
      <c r="B343" s="4"/>
      <c r="C343" s="239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</row>
    <row r="344" ht="15.75" customHeight="1">
      <c r="A344" s="4"/>
      <c r="B344" s="4"/>
      <c r="C344" s="239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</row>
    <row r="345" ht="15.75" customHeight="1">
      <c r="A345" s="4"/>
      <c r="B345" s="4"/>
      <c r="C345" s="239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</row>
    <row r="346" ht="15.75" customHeight="1">
      <c r="A346" s="4"/>
      <c r="B346" s="4"/>
      <c r="C346" s="239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</row>
    <row r="347" ht="15.75" customHeight="1">
      <c r="A347" s="4"/>
      <c r="B347" s="4"/>
      <c r="C347" s="239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</row>
    <row r="348" ht="15.75" customHeight="1">
      <c r="A348" s="4"/>
      <c r="B348" s="4"/>
      <c r="C348" s="239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</row>
    <row r="349" ht="15.75" customHeight="1">
      <c r="A349" s="4"/>
      <c r="B349" s="4"/>
      <c r="C349" s="239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</row>
    <row r="350" ht="15.75" customHeight="1">
      <c r="A350" s="4"/>
      <c r="B350" s="4"/>
      <c r="C350" s="239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</row>
    <row r="351" ht="15.75" customHeight="1">
      <c r="A351" s="4"/>
      <c r="B351" s="4"/>
      <c r="C351" s="239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</row>
    <row r="352" ht="15.75" customHeight="1">
      <c r="A352" s="4"/>
      <c r="B352" s="4"/>
      <c r="C352" s="239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</row>
    <row r="353" ht="15.75" customHeight="1">
      <c r="A353" s="4"/>
      <c r="B353" s="4"/>
      <c r="C353" s="239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</row>
    <row r="354" ht="15.75" customHeight="1">
      <c r="A354" s="4"/>
      <c r="B354" s="4"/>
      <c r="C354" s="239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</row>
    <row r="355" ht="15.75" customHeight="1">
      <c r="A355" s="4"/>
      <c r="B355" s="4"/>
      <c r="C355" s="239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</row>
    <row r="356" ht="15.75" customHeight="1">
      <c r="A356" s="4"/>
      <c r="B356" s="4"/>
      <c r="C356" s="239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</row>
    <row r="357" ht="15.75" customHeight="1">
      <c r="A357" s="4"/>
      <c r="B357" s="4"/>
      <c r="C357" s="239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</row>
    <row r="358" ht="15.75" customHeight="1">
      <c r="A358" s="4"/>
      <c r="B358" s="4"/>
      <c r="C358" s="239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</row>
    <row r="359" ht="15.75" customHeight="1">
      <c r="A359" s="4"/>
      <c r="B359" s="4"/>
      <c r="C359" s="239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</row>
    <row r="360" ht="15.75" customHeight="1">
      <c r="A360" s="4"/>
      <c r="B360" s="4"/>
      <c r="C360" s="239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</row>
    <row r="361" ht="15.75" customHeight="1">
      <c r="A361" s="4"/>
      <c r="B361" s="4"/>
      <c r="C361" s="239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</row>
    <row r="362" ht="15.75" customHeight="1">
      <c r="A362" s="4"/>
      <c r="B362" s="4"/>
      <c r="C362" s="239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</row>
    <row r="363" ht="15.75" customHeight="1">
      <c r="A363" s="4"/>
      <c r="B363" s="4"/>
      <c r="C363" s="239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</row>
    <row r="364" ht="15.75" customHeight="1">
      <c r="A364" s="4"/>
      <c r="B364" s="4"/>
      <c r="C364" s="239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</row>
    <row r="365" ht="15.75" customHeight="1">
      <c r="A365" s="4"/>
      <c r="B365" s="4"/>
      <c r="C365" s="239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</row>
    <row r="366" ht="15.75" customHeight="1">
      <c r="A366" s="4"/>
      <c r="B366" s="4"/>
      <c r="C366" s="239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</row>
    <row r="367" ht="15.75" customHeight="1">
      <c r="A367" s="4"/>
      <c r="B367" s="4"/>
      <c r="C367" s="239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</row>
    <row r="368" ht="15.75" customHeight="1">
      <c r="A368" s="4"/>
      <c r="B368" s="4"/>
      <c r="C368" s="239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</row>
    <row r="369" ht="15.75" customHeight="1">
      <c r="A369" s="4"/>
      <c r="B369" s="4"/>
      <c r="C369" s="239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</row>
    <row r="370" ht="15.75" customHeight="1">
      <c r="A370" s="4"/>
      <c r="B370" s="4"/>
      <c r="C370" s="239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</row>
    <row r="371" ht="15.75" customHeight="1">
      <c r="A371" s="4"/>
      <c r="B371" s="4"/>
      <c r="C371" s="239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</row>
    <row r="372" ht="15.75" customHeight="1">
      <c r="A372" s="4"/>
      <c r="B372" s="4"/>
      <c r="C372" s="239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</row>
    <row r="373" ht="15.75" customHeight="1">
      <c r="A373" s="4"/>
      <c r="B373" s="4"/>
      <c r="C373" s="239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</row>
    <row r="374" ht="15.75" customHeight="1">
      <c r="A374" s="4"/>
      <c r="B374" s="4"/>
      <c r="C374" s="239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</row>
    <row r="375" ht="15.75" customHeight="1">
      <c r="A375" s="4"/>
      <c r="B375" s="4"/>
      <c r="C375" s="239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</row>
    <row r="376" ht="15.75" customHeight="1">
      <c r="A376" s="4"/>
      <c r="B376" s="4"/>
      <c r="C376" s="239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</row>
    <row r="377" ht="15.75" customHeight="1">
      <c r="A377" s="4"/>
      <c r="B377" s="4"/>
      <c r="C377" s="239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</row>
    <row r="378" ht="15.75" customHeight="1">
      <c r="A378" s="4"/>
      <c r="B378" s="4"/>
      <c r="C378" s="239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</row>
    <row r="379" ht="15.75" customHeight="1">
      <c r="A379" s="4"/>
      <c r="B379" s="4"/>
      <c r="C379" s="239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</row>
    <row r="380" ht="15.75" customHeight="1">
      <c r="A380" s="4"/>
      <c r="B380" s="4"/>
      <c r="C380" s="239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</row>
    <row r="381" ht="15.75" customHeight="1">
      <c r="A381" s="4"/>
      <c r="B381" s="4"/>
      <c r="C381" s="239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</row>
    <row r="382" ht="15.75" customHeight="1">
      <c r="A382" s="4"/>
      <c r="B382" s="4"/>
      <c r="C382" s="239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</row>
    <row r="383" ht="15.75" customHeight="1">
      <c r="A383" s="4"/>
      <c r="B383" s="4"/>
      <c r="C383" s="239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</row>
    <row r="384" ht="15.75" customHeight="1">
      <c r="A384" s="4"/>
      <c r="B384" s="4"/>
      <c r="C384" s="239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</row>
    <row r="385" ht="15.75" customHeight="1">
      <c r="A385" s="4"/>
      <c r="B385" s="4"/>
      <c r="C385" s="239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</row>
    <row r="386" ht="15.75" customHeight="1">
      <c r="A386" s="4"/>
      <c r="B386" s="4"/>
      <c r="C386" s="239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</row>
    <row r="387" ht="15.75" customHeight="1">
      <c r="A387" s="4"/>
      <c r="B387" s="4"/>
      <c r="C387" s="239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</row>
    <row r="388" ht="15.75" customHeight="1">
      <c r="A388" s="4"/>
      <c r="B388" s="4"/>
      <c r="C388" s="239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</row>
    <row r="389" ht="15.75" customHeight="1">
      <c r="A389" s="4"/>
      <c r="B389" s="4"/>
      <c r="C389" s="239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</row>
    <row r="390" ht="15.75" customHeight="1">
      <c r="A390" s="4"/>
      <c r="B390" s="4"/>
      <c r="C390" s="239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</row>
    <row r="391" ht="15.75" customHeight="1">
      <c r="A391" s="4"/>
      <c r="B391" s="4"/>
      <c r="C391" s="239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</row>
    <row r="392" ht="15.75" customHeight="1">
      <c r="A392" s="4"/>
      <c r="B392" s="4"/>
      <c r="C392" s="239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</row>
    <row r="393" ht="15.75" customHeight="1">
      <c r="A393" s="4"/>
      <c r="B393" s="4"/>
      <c r="C393" s="239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</row>
    <row r="394" ht="15.75" customHeight="1">
      <c r="A394" s="4"/>
      <c r="B394" s="4"/>
      <c r="C394" s="239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</row>
    <row r="395" ht="15.75" customHeight="1">
      <c r="A395" s="4"/>
      <c r="B395" s="4"/>
      <c r="C395" s="239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</row>
    <row r="396" ht="15.75" customHeight="1">
      <c r="A396" s="4"/>
      <c r="B396" s="4"/>
      <c r="C396" s="239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</row>
    <row r="397" ht="15.75" customHeight="1">
      <c r="A397" s="4"/>
      <c r="B397" s="4"/>
      <c r="C397" s="239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</row>
    <row r="398" ht="15.75" customHeight="1">
      <c r="A398" s="4"/>
      <c r="B398" s="4"/>
      <c r="C398" s="239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</row>
    <row r="399" ht="15.75" customHeight="1">
      <c r="A399" s="4"/>
      <c r="B399" s="4"/>
      <c r="C399" s="239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</row>
    <row r="400" ht="15.75" customHeight="1">
      <c r="A400" s="4"/>
      <c r="B400" s="4"/>
      <c r="C400" s="239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</row>
    <row r="401" ht="15.75" customHeight="1">
      <c r="A401" s="4"/>
      <c r="B401" s="4"/>
      <c r="C401" s="239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</row>
    <row r="402" ht="15.75" customHeight="1">
      <c r="A402" s="4"/>
      <c r="B402" s="4"/>
      <c r="C402" s="239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</row>
    <row r="403" ht="15.75" customHeight="1">
      <c r="A403" s="4"/>
      <c r="B403" s="4"/>
      <c r="C403" s="239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</row>
    <row r="404" ht="15.75" customHeight="1">
      <c r="A404" s="4"/>
      <c r="B404" s="4"/>
      <c r="C404" s="239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</row>
    <row r="405" ht="15.75" customHeight="1">
      <c r="A405" s="4"/>
      <c r="B405" s="4"/>
      <c r="C405" s="239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</row>
    <row r="406" ht="15.75" customHeight="1">
      <c r="A406" s="4"/>
      <c r="B406" s="4"/>
      <c r="C406" s="239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</row>
    <row r="407" ht="15.75" customHeight="1">
      <c r="A407" s="4"/>
      <c r="B407" s="4"/>
      <c r="C407" s="239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</row>
    <row r="408" ht="15.75" customHeight="1">
      <c r="A408" s="4"/>
      <c r="B408" s="4"/>
      <c r="C408" s="239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</row>
    <row r="409" ht="15.75" customHeight="1">
      <c r="A409" s="4"/>
      <c r="B409" s="4"/>
      <c r="C409" s="239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</row>
    <row r="410" ht="15.75" customHeight="1">
      <c r="A410" s="4"/>
      <c r="B410" s="4"/>
      <c r="C410" s="239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</row>
    <row r="411" ht="15.75" customHeight="1">
      <c r="A411" s="4"/>
      <c r="B411" s="4"/>
      <c r="C411" s="239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</row>
    <row r="412" ht="15.75" customHeight="1">
      <c r="A412" s="4"/>
      <c r="B412" s="4"/>
      <c r="C412" s="239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</row>
    <row r="413" ht="15.75" customHeight="1">
      <c r="A413" s="4"/>
      <c r="B413" s="4"/>
      <c r="C413" s="239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</row>
    <row r="414" ht="15.75" customHeight="1">
      <c r="A414" s="4"/>
      <c r="B414" s="4"/>
      <c r="C414" s="239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</row>
    <row r="415" ht="15.75" customHeight="1">
      <c r="A415" s="4"/>
      <c r="B415" s="4"/>
      <c r="C415" s="239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</row>
    <row r="416" ht="15.75" customHeight="1">
      <c r="A416" s="4"/>
      <c r="B416" s="4"/>
      <c r="C416" s="239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</row>
    <row r="417" ht="15.75" customHeight="1">
      <c r="A417" s="4"/>
      <c r="B417" s="4"/>
      <c r="C417" s="239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</row>
    <row r="418" ht="15.75" customHeight="1">
      <c r="A418" s="4"/>
      <c r="B418" s="4"/>
      <c r="C418" s="239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</row>
    <row r="419" ht="15.75" customHeight="1">
      <c r="A419" s="4"/>
      <c r="B419" s="4"/>
      <c r="C419" s="239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</row>
    <row r="420" ht="15.75" customHeight="1">
      <c r="A420" s="4"/>
      <c r="B420" s="4"/>
      <c r="C420" s="239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</row>
    <row r="421" ht="15.75" customHeight="1">
      <c r="A421" s="4"/>
      <c r="B421" s="4"/>
      <c r="C421" s="239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</row>
    <row r="422" ht="15.75" customHeight="1">
      <c r="A422" s="4"/>
      <c r="B422" s="4"/>
      <c r="C422" s="239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</row>
    <row r="423" ht="15.75" customHeight="1">
      <c r="A423" s="4"/>
      <c r="B423" s="4"/>
      <c r="C423" s="239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</row>
    <row r="424" ht="15.75" customHeight="1">
      <c r="A424" s="4"/>
      <c r="B424" s="4"/>
      <c r="C424" s="239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</row>
    <row r="425" ht="15.75" customHeight="1">
      <c r="A425" s="4"/>
      <c r="B425" s="4"/>
      <c r="C425" s="239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</row>
    <row r="426" ht="15.75" customHeight="1">
      <c r="A426" s="4"/>
      <c r="B426" s="4"/>
      <c r="C426" s="239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</row>
    <row r="427" ht="15.75" customHeight="1">
      <c r="A427" s="4"/>
      <c r="B427" s="4"/>
      <c r="C427" s="239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</row>
    <row r="428" ht="15.75" customHeight="1">
      <c r="A428" s="4"/>
      <c r="B428" s="4"/>
      <c r="C428" s="239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</row>
    <row r="429" ht="15.75" customHeight="1">
      <c r="A429" s="4"/>
      <c r="B429" s="4"/>
      <c r="C429" s="239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</row>
    <row r="430" ht="15.75" customHeight="1">
      <c r="A430" s="4"/>
      <c r="B430" s="4"/>
      <c r="C430" s="239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</row>
    <row r="431" ht="15.75" customHeight="1">
      <c r="A431" s="4"/>
      <c r="B431" s="4"/>
      <c r="C431" s="239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</row>
    <row r="432" ht="15.75" customHeight="1">
      <c r="A432" s="4"/>
      <c r="B432" s="4"/>
      <c r="C432" s="239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</row>
    <row r="433" ht="15.75" customHeight="1">
      <c r="A433" s="4"/>
      <c r="B433" s="4"/>
      <c r="C433" s="239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</row>
    <row r="434" ht="15.75" customHeight="1">
      <c r="A434" s="4"/>
      <c r="B434" s="4"/>
      <c r="C434" s="239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</row>
    <row r="435" ht="15.75" customHeight="1">
      <c r="A435" s="4"/>
      <c r="B435" s="4"/>
      <c r="C435" s="239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</row>
    <row r="436" ht="15.75" customHeight="1">
      <c r="A436" s="4"/>
      <c r="B436" s="4"/>
      <c r="C436" s="239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</row>
    <row r="437" ht="15.75" customHeight="1">
      <c r="A437" s="4"/>
      <c r="B437" s="4"/>
      <c r="C437" s="239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</row>
    <row r="438" ht="15.75" customHeight="1">
      <c r="A438" s="4"/>
      <c r="B438" s="4"/>
      <c r="C438" s="239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</row>
    <row r="439" ht="15.75" customHeight="1">
      <c r="A439" s="4"/>
      <c r="B439" s="4"/>
      <c r="C439" s="239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</row>
    <row r="440" ht="15.75" customHeight="1">
      <c r="A440" s="4"/>
      <c r="B440" s="4"/>
      <c r="C440" s="239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</row>
    <row r="441" ht="15.75" customHeight="1">
      <c r="A441" s="4"/>
      <c r="B441" s="4"/>
      <c r="C441" s="239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</row>
    <row r="442" ht="15.75" customHeight="1">
      <c r="A442" s="4"/>
      <c r="B442" s="4"/>
      <c r="C442" s="239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</row>
    <row r="443" ht="15.75" customHeight="1">
      <c r="A443" s="4"/>
      <c r="B443" s="4"/>
      <c r="C443" s="239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</row>
    <row r="444" ht="15.75" customHeight="1">
      <c r="A444" s="4"/>
      <c r="B444" s="4"/>
      <c r="C444" s="239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</row>
    <row r="445" ht="15.75" customHeight="1">
      <c r="A445" s="4"/>
      <c r="B445" s="4"/>
      <c r="C445" s="239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</row>
    <row r="446" ht="15.75" customHeight="1">
      <c r="A446" s="4"/>
      <c r="B446" s="4"/>
      <c r="C446" s="239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</row>
    <row r="447" ht="15.75" customHeight="1">
      <c r="A447" s="4"/>
      <c r="B447" s="4"/>
      <c r="C447" s="239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</row>
    <row r="448" ht="15.75" customHeight="1">
      <c r="A448" s="4"/>
      <c r="B448" s="4"/>
      <c r="C448" s="239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</row>
    <row r="449" ht="15.75" customHeight="1">
      <c r="A449" s="4"/>
      <c r="B449" s="4"/>
      <c r="C449" s="239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</row>
    <row r="450" ht="15.75" customHeight="1">
      <c r="A450" s="4"/>
      <c r="B450" s="4"/>
      <c r="C450" s="239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</row>
    <row r="451" ht="15.75" customHeight="1">
      <c r="A451" s="4"/>
      <c r="B451" s="4"/>
      <c r="C451" s="239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</row>
    <row r="452" ht="15.75" customHeight="1">
      <c r="A452" s="4"/>
      <c r="B452" s="4"/>
      <c r="C452" s="239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</row>
    <row r="453" ht="15.75" customHeight="1">
      <c r="A453" s="4"/>
      <c r="B453" s="4"/>
      <c r="C453" s="239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</row>
    <row r="454" ht="15.75" customHeight="1">
      <c r="A454" s="4"/>
      <c r="B454" s="4"/>
      <c r="C454" s="239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</row>
    <row r="455" ht="15.75" customHeight="1">
      <c r="A455" s="4"/>
      <c r="B455" s="4"/>
      <c r="C455" s="239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</row>
    <row r="456" ht="15.75" customHeight="1">
      <c r="A456" s="4"/>
      <c r="B456" s="4"/>
      <c r="C456" s="239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</row>
    <row r="457" ht="15.75" customHeight="1">
      <c r="A457" s="4"/>
      <c r="B457" s="4"/>
      <c r="C457" s="239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</row>
    <row r="458" ht="15.75" customHeight="1">
      <c r="A458" s="4"/>
      <c r="B458" s="4"/>
      <c r="C458" s="239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</row>
    <row r="459" ht="15.75" customHeight="1">
      <c r="A459" s="4"/>
      <c r="B459" s="4"/>
      <c r="C459" s="239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</row>
    <row r="460" ht="15.75" customHeight="1">
      <c r="A460" s="4"/>
      <c r="B460" s="4"/>
      <c r="C460" s="239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</row>
    <row r="461" ht="15.75" customHeight="1">
      <c r="A461" s="4"/>
      <c r="B461" s="4"/>
      <c r="C461" s="239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</row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28.14"/>
    <col customWidth="1" min="3" max="3" width="21.14"/>
    <col customWidth="1" min="4" max="4" width="13.71"/>
    <col customWidth="1" min="5" max="5" width="12.14"/>
    <col customWidth="1" min="6" max="6" width="7.71"/>
    <col customWidth="1" min="7" max="7" width="9.14"/>
    <col customWidth="1" min="8" max="8" width="13.29"/>
    <col customWidth="1" min="9" max="20" width="10.71"/>
  </cols>
  <sheetData>
    <row r="1" ht="11.25" customHeight="1">
      <c r="A1" s="57" t="s">
        <v>5</v>
      </c>
      <c r="B1" s="57"/>
      <c r="C1" s="4"/>
      <c r="D1" s="4"/>
      <c r="E1" s="4"/>
      <c r="F1" s="4"/>
      <c r="G1" s="59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ht="11.25" customHeight="1">
      <c r="A2" s="60" t="s">
        <v>124</v>
      </c>
      <c r="B2" s="57"/>
      <c r="C2" s="4"/>
      <c r="D2" s="4"/>
      <c r="E2" s="4"/>
      <c r="F2" s="4"/>
      <c r="G2" s="59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ht="11.25" customHeight="1">
      <c r="A3" s="60" t="s">
        <v>125</v>
      </c>
      <c r="C3" s="4" t="s">
        <v>126</v>
      </c>
      <c r="D3" s="4"/>
      <c r="E3" s="4"/>
      <c r="F3" s="4"/>
      <c r="G3" s="59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ht="11.25" customHeight="1">
      <c r="A4" s="60" t="s">
        <v>127</v>
      </c>
      <c r="B4" s="57"/>
      <c r="C4" s="4" t="s">
        <v>128</v>
      </c>
      <c r="D4" s="4"/>
      <c r="E4" s="4"/>
      <c r="F4" s="4"/>
      <c r="G4" s="59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ht="11.25" customHeight="1">
      <c r="A5" s="60" t="s">
        <v>129</v>
      </c>
      <c r="B5" s="57"/>
      <c r="C5" s="4" t="s">
        <v>128</v>
      </c>
      <c r="D5" s="4"/>
      <c r="E5" s="4"/>
      <c r="F5" s="4"/>
      <c r="G5" s="59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ht="11.25" customHeight="1">
      <c r="A6" s="60"/>
      <c r="B6" s="57"/>
      <c r="C6" s="4"/>
      <c r="D6" s="4"/>
      <c r="E6" s="4"/>
      <c r="F6" s="4"/>
      <c r="G6" s="59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ht="11.25" customHeight="1">
      <c r="A7" s="240" t="s">
        <v>130</v>
      </c>
      <c r="B7" s="241" t="s">
        <v>1095</v>
      </c>
      <c r="C7" s="242"/>
      <c r="D7" s="242"/>
      <c r="E7" s="242"/>
      <c r="F7" s="242"/>
      <c r="G7" s="243"/>
      <c r="H7" s="242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ht="11.25" customHeight="1">
      <c r="A8" s="58"/>
      <c r="B8" s="244"/>
      <c r="C8" s="59"/>
      <c r="D8" s="59"/>
      <c r="E8" s="59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  <row r="9">
      <c r="A9" s="206" t="s">
        <v>235</v>
      </c>
      <c r="B9" s="206" t="s">
        <v>178</v>
      </c>
      <c r="C9" s="208" t="s">
        <v>135</v>
      </c>
      <c r="D9" s="208" t="s">
        <v>136</v>
      </c>
      <c r="E9" s="208" t="s">
        <v>237</v>
      </c>
      <c r="F9" s="208" t="s">
        <v>138</v>
      </c>
      <c r="G9" s="245" t="s">
        <v>139</v>
      </c>
      <c r="H9" s="208" t="s">
        <v>693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</row>
    <row r="10" ht="11.25" customHeight="1">
      <c r="A10" s="246">
        <v>7.10335219E9</v>
      </c>
      <c r="B10" s="246" t="s">
        <v>1096</v>
      </c>
      <c r="C10" s="247">
        <v>700.0</v>
      </c>
      <c r="D10" s="246">
        <v>50.0</v>
      </c>
      <c r="E10" s="38">
        <v>0.0</v>
      </c>
      <c r="F10" s="248">
        <f t="shared" ref="F10:F12" si="1">E10/C10</f>
        <v>0</v>
      </c>
      <c r="G10" s="249">
        <f t="shared" ref="G10:G13" si="2">365/D10</f>
        <v>7.3</v>
      </c>
      <c r="H10" s="163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 ht="11.25" customHeight="1">
      <c r="A11" s="246">
        <v>7.10342519E9</v>
      </c>
      <c r="B11" s="246" t="s">
        <v>1097</v>
      </c>
      <c r="C11" s="246">
        <v>1300.0</v>
      </c>
      <c r="D11" s="246">
        <v>140.0</v>
      </c>
      <c r="E11" s="38">
        <v>0.0</v>
      </c>
      <c r="F11" s="250">
        <f t="shared" si="1"/>
        <v>0</v>
      </c>
      <c r="G11" s="249">
        <f t="shared" si="2"/>
        <v>2.607142857</v>
      </c>
      <c r="H11" s="251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ht="11.25" customHeight="1">
      <c r="A12" s="38">
        <v>7.10343319E9</v>
      </c>
      <c r="B12" s="38" t="s">
        <v>1098</v>
      </c>
      <c r="C12" s="38">
        <v>1300.0</v>
      </c>
      <c r="D12" s="38">
        <v>70.0</v>
      </c>
      <c r="E12" s="38">
        <f>$E$11</f>
        <v>0</v>
      </c>
      <c r="F12" s="71">
        <f t="shared" si="1"/>
        <v>0</v>
      </c>
      <c r="G12" s="252">
        <f t="shared" si="2"/>
        <v>5.214285714</v>
      </c>
      <c r="H12" s="251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 ht="11.25" customHeight="1">
      <c r="A13" s="38">
        <v>7.14205619E9</v>
      </c>
      <c r="B13" s="38" t="s">
        <v>1099</v>
      </c>
      <c r="C13" s="123">
        <v>14.0</v>
      </c>
      <c r="D13" s="38">
        <v>140.0</v>
      </c>
      <c r="E13" s="38">
        <f>$E$10</f>
        <v>0</v>
      </c>
      <c r="F13" s="71">
        <f>336/C13</f>
        <v>24</v>
      </c>
      <c r="G13" s="252">
        <f t="shared" si="2"/>
        <v>2.607142857</v>
      </c>
      <c r="H13" s="251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 ht="11.25" customHeight="1">
      <c r="A14" s="38">
        <v>7.10510019E9</v>
      </c>
      <c r="B14" s="38" t="s">
        <v>1100</v>
      </c>
      <c r="C14" s="123">
        <v>10.0</v>
      </c>
      <c r="D14" s="38">
        <v>20.0</v>
      </c>
      <c r="E14" s="38">
        <f t="shared" ref="E14:E16" si="3">$E$11</f>
        <v>0</v>
      </c>
      <c r="F14" s="71">
        <f t="shared" ref="F14:F16" si="4">365/C14</f>
        <v>36.5</v>
      </c>
      <c r="G14" s="252"/>
      <c r="H14" s="163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</row>
    <row r="15" ht="11.25" customHeight="1">
      <c r="A15" s="38">
        <v>7.10533919E9</v>
      </c>
      <c r="B15" s="38" t="s">
        <v>1101</v>
      </c>
      <c r="C15" s="123">
        <v>10.0</v>
      </c>
      <c r="D15" s="38">
        <v>20.0</v>
      </c>
      <c r="E15" s="38">
        <f t="shared" si="3"/>
        <v>0</v>
      </c>
      <c r="F15" s="71">
        <f t="shared" si="4"/>
        <v>36.5</v>
      </c>
      <c r="G15" s="252"/>
      <c r="H15" s="163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ht="11.25" customHeight="1">
      <c r="A16" s="38">
        <v>7.10691219E9</v>
      </c>
      <c r="B16" s="38" t="s">
        <v>1102</v>
      </c>
      <c r="C16" s="123">
        <v>10.0</v>
      </c>
      <c r="D16" s="38">
        <v>20.0</v>
      </c>
      <c r="E16" s="38">
        <f t="shared" si="3"/>
        <v>0</v>
      </c>
      <c r="F16" s="71">
        <f t="shared" si="4"/>
        <v>36.5</v>
      </c>
      <c r="G16" s="252"/>
      <c r="H16" s="163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</row>
    <row r="17" ht="11.25" customHeight="1">
      <c r="A17" s="246">
        <v>6.58936719E9</v>
      </c>
      <c r="B17" s="246" t="s">
        <v>1103</v>
      </c>
      <c r="C17" s="246">
        <v>215.0</v>
      </c>
      <c r="D17" s="246">
        <v>140.0</v>
      </c>
      <c r="E17" s="123">
        <v>0.0</v>
      </c>
      <c r="F17" s="248">
        <f>E17/C17</f>
        <v>0</v>
      </c>
      <c r="G17" s="253">
        <f t="shared" ref="G17:G18" si="5">365/D17</f>
        <v>2.607142857</v>
      </c>
      <c r="H17" s="251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</row>
    <row r="18" ht="11.25" customHeight="1">
      <c r="A18" s="38">
        <v>7.31049819E9</v>
      </c>
      <c r="B18" s="38" t="s">
        <v>1104</v>
      </c>
      <c r="C18" s="38">
        <v>2.0</v>
      </c>
      <c r="D18" s="38">
        <v>112.0</v>
      </c>
      <c r="E18" s="123">
        <f t="shared" ref="E18:E19" si="6">$E$17</f>
        <v>0</v>
      </c>
      <c r="F18" s="71">
        <f>(E17/(0.0006*300)/3000)</f>
        <v>0</v>
      </c>
      <c r="G18" s="252">
        <f t="shared" si="5"/>
        <v>3.258928571</v>
      </c>
      <c r="H18" s="25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ht="11.25" customHeight="1">
      <c r="A19" s="38">
        <v>7.31132019E9</v>
      </c>
      <c r="B19" s="38" t="s">
        <v>1105</v>
      </c>
      <c r="C19" s="38">
        <v>1.0</v>
      </c>
      <c r="D19" s="38">
        <v>1.0</v>
      </c>
      <c r="E19" s="123">
        <f t="shared" si="6"/>
        <v>0</v>
      </c>
      <c r="F19" s="71">
        <f>(E17/(0.0001*300)/3000)</f>
        <v>0</v>
      </c>
      <c r="G19" s="252"/>
      <c r="H19" s="163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ht="11.25" customHeight="1">
      <c r="A20" s="38"/>
      <c r="B20" s="38"/>
      <c r="C20" s="38"/>
      <c r="D20" s="38"/>
      <c r="E20" s="255"/>
      <c r="F20" s="71"/>
      <c r="G20" s="252"/>
      <c r="H20" s="163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</row>
    <row r="21" ht="11.25" customHeight="1">
      <c r="A21" s="38">
        <v>7.10348419E9</v>
      </c>
      <c r="B21" s="38" t="s">
        <v>1106</v>
      </c>
      <c r="C21" s="38">
        <v>1900.0</v>
      </c>
      <c r="D21" s="38">
        <v>365.0</v>
      </c>
      <c r="E21" s="38">
        <f>E10+E11</f>
        <v>0</v>
      </c>
      <c r="F21" s="71">
        <f>E21/C21</f>
        <v>0</v>
      </c>
      <c r="G21" s="252">
        <f>365/D21</f>
        <v>1</v>
      </c>
      <c r="H21" s="251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</row>
    <row r="22" ht="11.25" customHeight="1">
      <c r="A22" s="38">
        <v>7.20473619E9</v>
      </c>
      <c r="B22" s="38" t="s">
        <v>1107</v>
      </c>
      <c r="C22" s="123">
        <v>10.0</v>
      </c>
      <c r="D22" s="38">
        <v>24.0</v>
      </c>
      <c r="E22" s="38">
        <f>E10+E11</f>
        <v>0</v>
      </c>
      <c r="F22" s="71">
        <f t="shared" ref="F22:G22" si="7">365/C22</f>
        <v>36.5</v>
      </c>
      <c r="G22" s="252">
        <f t="shared" si="7"/>
        <v>15.20833333</v>
      </c>
      <c r="H22" s="251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</row>
    <row r="23" ht="11.25" customHeight="1">
      <c r="A23" s="38">
        <v>7.25592619E9</v>
      </c>
      <c r="B23" s="38" t="s">
        <v>1108</v>
      </c>
      <c r="C23" s="123">
        <v>60.0</v>
      </c>
      <c r="D23" s="38">
        <v>336.0</v>
      </c>
      <c r="E23" s="38">
        <f>E10+E11</f>
        <v>0</v>
      </c>
      <c r="F23" s="71">
        <f>240/C23</f>
        <v>4</v>
      </c>
      <c r="G23" s="252">
        <f t="shared" ref="G23:G26" si="8">365/D23</f>
        <v>1.086309524</v>
      </c>
      <c r="H23" s="251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24" ht="11.25" customHeight="1">
      <c r="A24" s="38">
        <v>5.064210001E9</v>
      </c>
      <c r="B24" s="38" t="s">
        <v>1109</v>
      </c>
      <c r="C24" s="38">
        <v>2320.0</v>
      </c>
      <c r="D24" s="38">
        <v>365.0</v>
      </c>
      <c r="E24" s="38">
        <f>E10+E11</f>
        <v>0</v>
      </c>
      <c r="F24" s="71">
        <f>((E17/C24)+(E10/C24)+(E11/C24))*1.2</f>
        <v>0</v>
      </c>
      <c r="G24" s="252">
        <f t="shared" si="8"/>
        <v>1</v>
      </c>
      <c r="H24" s="251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</row>
    <row r="25" ht="11.25" customHeight="1">
      <c r="A25" s="38">
        <v>4.444191001E9</v>
      </c>
      <c r="B25" s="38" t="s">
        <v>1110</v>
      </c>
      <c r="C25" s="38">
        <v>1.0</v>
      </c>
      <c r="D25" s="38">
        <v>365.0</v>
      </c>
      <c r="E25" s="38">
        <f>E10+E11</f>
        <v>0</v>
      </c>
      <c r="F25" s="71">
        <f>(((E10+E11+E17)-((E10+E11+E17)*0.9))/D25)</f>
        <v>0</v>
      </c>
      <c r="G25" s="252">
        <f t="shared" si="8"/>
        <v>1</v>
      </c>
      <c r="H25" s="163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 ht="11.25" customHeight="1">
      <c r="A26" s="38" t="s">
        <v>1111</v>
      </c>
      <c r="B26" s="38" t="s">
        <v>1112</v>
      </c>
      <c r="C26" s="123">
        <v>13.0</v>
      </c>
      <c r="D26" s="38">
        <v>2.0</v>
      </c>
      <c r="E26" s="38">
        <f>E10+E11</f>
        <v>0</v>
      </c>
      <c r="F26" s="71">
        <f>(0.002*(E26/C26))*365</f>
        <v>0</v>
      </c>
      <c r="G26" s="252">
        <f t="shared" si="8"/>
        <v>182.5</v>
      </c>
      <c r="H26" s="163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r="27" ht="11.25" customHeight="1">
      <c r="A27" s="38"/>
      <c r="B27" s="38" t="s">
        <v>1113</v>
      </c>
      <c r="C27" s="38">
        <v>1.0</v>
      </c>
      <c r="D27" s="38"/>
      <c r="E27" s="38">
        <f>E10+E11</f>
        <v>0</v>
      </c>
      <c r="F27" s="71"/>
      <c r="G27" s="252"/>
      <c r="H27" s="163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ht="11.25" customHeight="1">
      <c r="A28" s="59"/>
      <c r="B28" s="59"/>
      <c r="C28" s="59"/>
      <c r="D28" s="59"/>
      <c r="E28" s="59"/>
      <c r="F28" s="59"/>
      <c r="G28" s="59"/>
      <c r="H28" s="59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</row>
    <row r="29" ht="11.25" customHeight="1">
      <c r="A29" s="59"/>
      <c r="B29" s="59"/>
      <c r="C29" s="59"/>
      <c r="D29" s="59"/>
      <c r="E29" s="59"/>
      <c r="F29" s="59"/>
      <c r="G29" s="59"/>
      <c r="H29" s="59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</row>
    <row r="30" ht="11.25" customHeight="1">
      <c r="A30" s="59"/>
      <c r="B30" s="59"/>
      <c r="C30" s="59"/>
      <c r="D30" s="59"/>
      <c r="E30" s="59"/>
      <c r="F30" s="59"/>
      <c r="G30" s="59"/>
      <c r="H30" s="59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</row>
    <row r="31" ht="15.75" customHeight="1">
      <c r="A31" s="256" t="s">
        <v>130</v>
      </c>
      <c r="B31" s="256" t="s">
        <v>1114</v>
      </c>
      <c r="C31" s="257"/>
      <c r="D31" s="257"/>
      <c r="E31" s="257"/>
      <c r="F31" s="257"/>
      <c r="G31" s="257"/>
      <c r="H31" s="257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</row>
    <row r="32" ht="15.75" customHeight="1">
      <c r="A32" s="258"/>
      <c r="B32" s="258"/>
      <c r="C32" s="59"/>
      <c r="D32" s="59"/>
      <c r="E32" s="59"/>
      <c r="F32" s="59"/>
      <c r="G32" s="59"/>
      <c r="H32" s="59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r="33" ht="15.75" customHeight="1">
      <c r="A33" s="204" t="s">
        <v>235</v>
      </c>
      <c r="B33" s="204" t="s">
        <v>178</v>
      </c>
      <c r="C33" s="208" t="s">
        <v>135</v>
      </c>
      <c r="D33" s="208" t="s">
        <v>136</v>
      </c>
      <c r="E33" s="208" t="s">
        <v>237</v>
      </c>
      <c r="F33" s="208" t="s">
        <v>138</v>
      </c>
      <c r="G33" s="245" t="s">
        <v>139</v>
      </c>
      <c r="H33" s="208" t="s">
        <v>693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r="34" ht="11.25" customHeight="1">
      <c r="A34" s="259">
        <v>4.87780219E9</v>
      </c>
      <c r="B34" s="259" t="s">
        <v>1115</v>
      </c>
      <c r="C34" s="38">
        <v>10.0</v>
      </c>
      <c r="D34" s="38"/>
      <c r="E34" s="38">
        <v>0.0</v>
      </c>
      <c r="F34" s="38">
        <f t="shared" ref="F34:F37" si="9">E34/C34</f>
        <v>0</v>
      </c>
      <c r="G34" s="38"/>
      <c r="H34" s="38">
        <f t="shared" ref="H34:H37" si="10">IF(G34&gt;F34,G34,F34)</f>
        <v>0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</row>
    <row r="35" ht="15.75" customHeight="1">
      <c r="A35" s="38">
        <v>4.87790019E9</v>
      </c>
      <c r="B35" s="38" t="s">
        <v>1116</v>
      </c>
      <c r="C35" s="38">
        <v>10.0</v>
      </c>
      <c r="D35" s="38"/>
      <c r="E35" s="38">
        <v>0.0</v>
      </c>
      <c r="F35" s="38">
        <f t="shared" si="9"/>
        <v>0</v>
      </c>
      <c r="G35" s="38"/>
      <c r="H35" s="38">
        <f t="shared" si="10"/>
        <v>0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 ht="11.25" customHeight="1">
      <c r="A36" s="38">
        <v>5.53364319E9</v>
      </c>
      <c r="B36" s="38" t="s">
        <v>1117</v>
      </c>
      <c r="C36" s="38">
        <v>10.0</v>
      </c>
      <c r="D36" s="38"/>
      <c r="E36" s="38">
        <v>0.0</v>
      </c>
      <c r="F36" s="38">
        <f t="shared" si="9"/>
        <v>0</v>
      </c>
      <c r="G36" s="38"/>
      <c r="H36" s="38">
        <f t="shared" si="10"/>
        <v>0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</row>
    <row r="37" ht="11.25" customHeight="1">
      <c r="A37" s="38">
        <v>7.00730219E9</v>
      </c>
      <c r="B37" s="38" t="s">
        <v>1118</v>
      </c>
      <c r="C37" s="38">
        <v>10.0</v>
      </c>
      <c r="D37" s="38"/>
      <c r="E37" s="38">
        <v>0.0</v>
      </c>
      <c r="F37" s="38">
        <f t="shared" si="9"/>
        <v>0</v>
      </c>
      <c r="G37" s="38"/>
      <c r="H37" s="38">
        <f t="shared" si="10"/>
        <v>0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 ht="11.25" customHeight="1">
      <c r="A38" s="259"/>
      <c r="B38" s="259" t="s">
        <v>1119</v>
      </c>
      <c r="C38" s="38">
        <v>100.0</v>
      </c>
      <c r="D38" s="38"/>
      <c r="E38" s="260"/>
      <c r="F38" s="38">
        <f>E39/C38</f>
        <v>0</v>
      </c>
      <c r="G38" s="38"/>
      <c r="H38" s="38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 ht="11.25" customHeight="1">
      <c r="A39" s="59"/>
      <c r="B39" s="59"/>
      <c r="C39" s="59"/>
      <c r="D39" s="59"/>
      <c r="E39" s="59"/>
      <c r="F39" s="59"/>
      <c r="G39" s="59"/>
      <c r="H39" s="59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ht="11.25" customHeight="1">
      <c r="A40" s="59"/>
      <c r="B40" s="59"/>
      <c r="C40" s="59"/>
      <c r="D40" s="59"/>
      <c r="E40" s="59"/>
      <c r="F40" s="59"/>
      <c r="G40" s="59"/>
      <c r="H40" s="59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  <row r="41" ht="11.25" customHeight="1">
      <c r="A41" s="59"/>
      <c r="B41" s="59"/>
      <c r="C41" s="59"/>
      <c r="D41" s="59"/>
      <c r="E41" s="59"/>
      <c r="F41" s="59"/>
      <c r="G41" s="59"/>
      <c r="H41" s="59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 ht="11.25" customHeight="1">
      <c r="A42" s="59"/>
      <c r="B42" s="59"/>
      <c r="C42" s="59"/>
      <c r="D42" s="59"/>
      <c r="E42" s="59"/>
      <c r="F42" s="59"/>
      <c r="G42" s="59"/>
      <c r="H42" s="59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  <row r="43" ht="11.25" customHeight="1">
      <c r="A43" s="59"/>
      <c r="B43" s="59"/>
      <c r="C43" s="59"/>
      <c r="D43" s="59"/>
      <c r="E43" s="59"/>
      <c r="F43" s="59"/>
      <c r="G43" s="59"/>
      <c r="H43" s="59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 ht="11.25" customHeight="1">
      <c r="A44" s="59"/>
      <c r="B44" s="59"/>
      <c r="C44" s="59"/>
      <c r="D44" s="59"/>
      <c r="E44" s="59"/>
      <c r="F44" s="59"/>
      <c r="G44" s="59"/>
      <c r="H44" s="59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ht="11.25" customHeight="1">
      <c r="A45" s="59"/>
      <c r="B45" s="59"/>
      <c r="C45" s="59"/>
      <c r="D45" s="59"/>
      <c r="E45" s="59"/>
      <c r="F45" s="59"/>
      <c r="G45" s="59"/>
      <c r="H45" s="59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</row>
    <row r="46" ht="11.25" customHeight="1">
      <c r="A46" s="59"/>
      <c r="B46" s="59"/>
      <c r="C46" s="59"/>
      <c r="D46" s="59"/>
      <c r="E46" s="59"/>
      <c r="F46" s="59"/>
      <c r="G46" s="59"/>
      <c r="H46" s="59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r="47" ht="11.25" customHeight="1">
      <c r="A47" s="59"/>
      <c r="B47" s="59"/>
      <c r="C47" s="59"/>
      <c r="D47" s="59"/>
      <c r="E47" s="59"/>
      <c r="F47" s="59"/>
      <c r="G47" s="59"/>
      <c r="H47" s="59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ht="11.25" customHeight="1">
      <c r="A48" s="59"/>
      <c r="B48" s="59"/>
      <c r="C48" s="59"/>
      <c r="D48" s="59"/>
      <c r="E48" s="59"/>
      <c r="F48" s="59"/>
      <c r="G48" s="59"/>
      <c r="H48" s="59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 ht="11.25" customHeight="1">
      <c r="A49" s="59"/>
      <c r="B49" s="59"/>
      <c r="C49" s="59"/>
      <c r="D49" s="59"/>
      <c r="E49" s="59"/>
      <c r="F49" s="59"/>
      <c r="G49" s="59"/>
      <c r="H49" s="59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 ht="11.25" customHeight="1">
      <c r="A50" s="59"/>
      <c r="B50" s="59"/>
      <c r="C50" s="59"/>
      <c r="D50" s="59"/>
      <c r="E50" s="59"/>
      <c r="F50" s="59"/>
      <c r="G50" s="59"/>
      <c r="H50" s="59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r="51" ht="11.25" customHeight="1">
      <c r="A51" s="59"/>
      <c r="B51" s="59"/>
      <c r="C51" s="59"/>
      <c r="D51" s="59"/>
      <c r="E51" s="59"/>
      <c r="F51" s="59"/>
      <c r="G51" s="59"/>
      <c r="H51" s="59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</row>
    <row r="52" ht="11.25" customHeight="1">
      <c r="A52" s="59"/>
      <c r="B52" s="59"/>
      <c r="C52" s="59"/>
      <c r="D52" s="59"/>
      <c r="E52" s="59"/>
      <c r="F52" s="59"/>
      <c r="G52" s="59"/>
      <c r="H52" s="59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</row>
    <row r="53" ht="11.25" customHeight="1">
      <c r="A53" s="59"/>
      <c r="B53" s="59"/>
      <c r="C53" s="59"/>
      <c r="D53" s="59"/>
      <c r="E53" s="59"/>
      <c r="F53" s="59"/>
      <c r="G53" s="59"/>
      <c r="H53" s="59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 ht="11.25" customHeight="1">
      <c r="A54" s="59"/>
      <c r="B54" s="59"/>
      <c r="C54" s="59"/>
      <c r="D54" s="59"/>
      <c r="E54" s="59"/>
      <c r="F54" s="59"/>
      <c r="G54" s="59"/>
      <c r="H54" s="59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</row>
    <row r="55" ht="11.25" customHeight="1">
      <c r="A55" s="59"/>
      <c r="B55" s="59"/>
      <c r="C55" s="59"/>
      <c r="D55" s="59"/>
      <c r="E55" s="59"/>
      <c r="F55" s="59"/>
      <c r="G55" s="59"/>
      <c r="H55" s="59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</row>
    <row r="56" ht="11.25" customHeight="1">
      <c r="A56" s="59"/>
      <c r="B56" s="59"/>
      <c r="C56" s="59"/>
      <c r="D56" s="59"/>
      <c r="E56" s="59"/>
      <c r="F56" s="59"/>
      <c r="G56" s="59"/>
      <c r="H56" s="59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7" ht="11.25" customHeight="1">
      <c r="A57" s="59"/>
      <c r="B57" s="59"/>
      <c r="C57" s="59"/>
      <c r="D57" s="59"/>
      <c r="E57" s="59"/>
      <c r="F57" s="59"/>
      <c r="G57" s="59"/>
      <c r="H57" s="59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8" ht="11.25" customHeight="1">
      <c r="A58" s="59"/>
      <c r="B58" s="59"/>
      <c r="C58" s="59"/>
      <c r="D58" s="59"/>
      <c r="E58" s="59"/>
      <c r="F58" s="59"/>
      <c r="G58" s="59"/>
      <c r="H58" s="59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</row>
    <row r="59" ht="11.25" customHeight="1">
      <c r="A59" s="59"/>
      <c r="B59" s="59"/>
      <c r="C59" s="59"/>
      <c r="D59" s="59"/>
      <c r="E59" s="59"/>
      <c r="F59" s="59"/>
      <c r="G59" s="59"/>
      <c r="H59" s="59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</row>
    <row r="60" ht="11.25" customHeight="1">
      <c r="A60" s="59"/>
      <c r="B60" s="59"/>
      <c r="C60" s="59"/>
      <c r="D60" s="59"/>
      <c r="E60" s="59"/>
      <c r="F60" s="59"/>
      <c r="G60" s="59"/>
      <c r="H60" s="59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</row>
    <row r="61" ht="11.25" customHeight="1">
      <c r="A61" s="59"/>
      <c r="B61" s="59"/>
      <c r="C61" s="59"/>
      <c r="D61" s="59"/>
      <c r="E61" s="59"/>
      <c r="F61" s="59"/>
      <c r="G61" s="59"/>
      <c r="H61" s="59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</row>
    <row r="62" ht="11.25" customHeight="1">
      <c r="A62" s="59"/>
      <c r="B62" s="59"/>
      <c r="C62" s="59"/>
      <c r="D62" s="59"/>
      <c r="E62" s="59"/>
      <c r="F62" s="59"/>
      <c r="G62" s="59"/>
      <c r="H62" s="59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 ht="11.25" customHeight="1">
      <c r="A63" s="59"/>
      <c r="B63" s="59"/>
      <c r="C63" s="59"/>
      <c r="D63" s="59"/>
      <c r="E63" s="59"/>
      <c r="F63" s="59"/>
      <c r="G63" s="59"/>
      <c r="H63" s="59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</row>
    <row r="64" ht="11.25" customHeight="1">
      <c r="A64" s="59"/>
      <c r="B64" s="59"/>
      <c r="C64" s="59"/>
      <c r="D64" s="59"/>
      <c r="E64" s="59"/>
      <c r="F64" s="59"/>
      <c r="G64" s="59"/>
      <c r="H64" s="59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</row>
    <row r="65" ht="11.25" customHeight="1">
      <c r="A65" s="59"/>
      <c r="B65" s="59"/>
      <c r="C65" s="59"/>
      <c r="D65" s="59"/>
      <c r="E65" s="59"/>
      <c r="F65" s="59"/>
      <c r="G65" s="59"/>
      <c r="H65" s="59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</row>
    <row r="66" ht="11.25" customHeight="1">
      <c r="A66" s="59"/>
      <c r="B66" s="59"/>
      <c r="C66" s="59"/>
      <c r="D66" s="59"/>
      <c r="E66" s="59"/>
      <c r="F66" s="59"/>
      <c r="G66" s="59"/>
      <c r="H66" s="59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</row>
    <row r="67" ht="11.25" customHeight="1">
      <c r="A67" s="59"/>
      <c r="B67" s="59"/>
      <c r="C67" s="59"/>
      <c r="D67" s="59"/>
      <c r="E67" s="59"/>
      <c r="F67" s="59"/>
      <c r="G67" s="59"/>
      <c r="H67" s="59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r="68" ht="11.25" customHeight="1">
      <c r="A68" s="59"/>
      <c r="B68" s="59"/>
      <c r="C68" s="59"/>
      <c r="D68" s="59"/>
      <c r="E68" s="59"/>
      <c r="F68" s="59"/>
      <c r="G68" s="59"/>
      <c r="H68" s="59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r="69" ht="11.25" customHeight="1">
      <c r="A69" s="59"/>
      <c r="B69" s="59"/>
      <c r="C69" s="59"/>
      <c r="D69" s="59"/>
      <c r="E69" s="59"/>
      <c r="F69" s="59"/>
      <c r="G69" s="59"/>
      <c r="H69" s="59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 ht="11.25" customHeight="1">
      <c r="A70" s="59"/>
      <c r="B70" s="59"/>
      <c r="C70" s="59"/>
      <c r="D70" s="59"/>
      <c r="E70" s="59"/>
      <c r="F70" s="59"/>
      <c r="G70" s="59"/>
      <c r="H70" s="59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r="71" ht="11.25" customHeight="1">
      <c r="A71" s="59"/>
      <c r="B71" s="59"/>
      <c r="C71" s="59"/>
      <c r="D71" s="59"/>
      <c r="E71" s="59"/>
      <c r="F71" s="59"/>
      <c r="G71" s="59"/>
      <c r="H71" s="59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 ht="11.25" customHeight="1">
      <c r="A72" s="59"/>
      <c r="B72" s="59"/>
      <c r="C72" s="59"/>
      <c r="D72" s="59"/>
      <c r="E72" s="59"/>
      <c r="F72" s="59"/>
      <c r="G72" s="59"/>
      <c r="H72" s="59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</row>
    <row r="73" ht="11.25" customHeight="1">
      <c r="A73" s="59"/>
      <c r="B73" s="59"/>
      <c r="C73" s="59"/>
      <c r="D73" s="59"/>
      <c r="E73" s="59"/>
      <c r="F73" s="59"/>
      <c r="G73" s="59"/>
      <c r="H73" s="59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</row>
    <row r="74" ht="11.25" customHeight="1">
      <c r="A74" s="59"/>
      <c r="B74" s="59"/>
      <c r="C74" s="59"/>
      <c r="D74" s="59"/>
      <c r="E74" s="59"/>
      <c r="F74" s="59"/>
      <c r="G74" s="59"/>
      <c r="H74" s="59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</row>
    <row r="75" ht="11.25" customHeight="1">
      <c r="A75" s="59"/>
      <c r="B75" s="59"/>
      <c r="C75" s="59"/>
      <c r="D75" s="59"/>
      <c r="E75" s="59"/>
      <c r="F75" s="59"/>
      <c r="G75" s="59"/>
      <c r="H75" s="59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</row>
    <row r="76" ht="11.25" customHeight="1">
      <c r="A76" s="59"/>
      <c r="B76" s="59"/>
      <c r="C76" s="59"/>
      <c r="D76" s="59"/>
      <c r="E76" s="59"/>
      <c r="F76" s="59"/>
      <c r="G76" s="59"/>
      <c r="H76" s="59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</row>
    <row r="77" ht="11.25" customHeight="1">
      <c r="A77" s="59"/>
      <c r="B77" s="59"/>
      <c r="C77" s="59"/>
      <c r="D77" s="59"/>
      <c r="E77" s="59"/>
      <c r="F77" s="59"/>
      <c r="G77" s="59"/>
      <c r="H77" s="59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</row>
    <row r="78" ht="11.25" customHeight="1">
      <c r="A78" s="59"/>
      <c r="B78" s="59"/>
      <c r="C78" s="59"/>
      <c r="D78" s="59"/>
      <c r="E78" s="59"/>
      <c r="F78" s="59"/>
      <c r="G78" s="59"/>
      <c r="H78" s="59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</row>
    <row r="79" ht="11.25" customHeight="1">
      <c r="A79" s="59"/>
      <c r="B79" s="59"/>
      <c r="C79" s="59"/>
      <c r="D79" s="59"/>
      <c r="E79" s="59"/>
      <c r="F79" s="59"/>
      <c r="G79" s="59"/>
      <c r="H79" s="59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</row>
    <row r="80" ht="11.25" customHeight="1">
      <c r="A80" s="59"/>
      <c r="B80" s="59"/>
      <c r="C80" s="59"/>
      <c r="D80" s="59"/>
      <c r="E80" s="59"/>
      <c r="F80" s="59"/>
      <c r="G80" s="59"/>
      <c r="H80" s="59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</row>
    <row r="81" ht="11.25" customHeight="1">
      <c r="A81" s="59"/>
      <c r="B81" s="59"/>
      <c r="C81" s="59"/>
      <c r="D81" s="59"/>
      <c r="E81" s="59"/>
      <c r="F81" s="59"/>
      <c r="G81" s="59"/>
      <c r="H81" s="59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</row>
    <row r="82" ht="11.25" customHeight="1">
      <c r="A82" s="59"/>
      <c r="B82" s="59"/>
      <c r="C82" s="59"/>
      <c r="D82" s="59"/>
      <c r="E82" s="59"/>
      <c r="F82" s="59"/>
      <c r="G82" s="59"/>
      <c r="H82" s="59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</row>
    <row r="83" ht="11.25" customHeight="1">
      <c r="A83" s="59"/>
      <c r="B83" s="59"/>
      <c r="C83" s="59"/>
      <c r="D83" s="59"/>
      <c r="E83" s="59"/>
      <c r="F83" s="59"/>
      <c r="G83" s="59"/>
      <c r="H83" s="59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</row>
    <row r="84" ht="11.25" customHeight="1">
      <c r="A84" s="59"/>
      <c r="B84" s="59"/>
      <c r="C84" s="59"/>
      <c r="D84" s="59"/>
      <c r="E84" s="59"/>
      <c r="F84" s="59"/>
      <c r="G84" s="59"/>
      <c r="H84" s="59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</row>
    <row r="85" ht="11.25" customHeight="1">
      <c r="A85" s="59"/>
      <c r="B85" s="59"/>
      <c r="C85" s="59"/>
      <c r="D85" s="59"/>
      <c r="E85" s="59"/>
      <c r="F85" s="59"/>
      <c r="G85" s="59"/>
      <c r="H85" s="59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</row>
    <row r="86" ht="11.25" customHeight="1">
      <c r="A86" s="59"/>
      <c r="B86" s="59"/>
      <c r="C86" s="59"/>
      <c r="D86" s="59"/>
      <c r="E86" s="59"/>
      <c r="F86" s="59"/>
      <c r="G86" s="59"/>
      <c r="H86" s="59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  <row r="87" ht="11.25" customHeight="1">
      <c r="A87" s="59"/>
      <c r="B87" s="59"/>
      <c r="C87" s="59"/>
      <c r="D87" s="59"/>
      <c r="E87" s="59"/>
      <c r="F87" s="59"/>
      <c r="G87" s="59"/>
      <c r="H87" s="59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r="88" ht="11.25" customHeight="1">
      <c r="A88" s="59"/>
      <c r="B88" s="59"/>
      <c r="C88" s="59"/>
      <c r="D88" s="59"/>
      <c r="E88" s="59"/>
      <c r="F88" s="59"/>
      <c r="G88" s="59"/>
      <c r="H88" s="59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89" ht="11.25" customHeight="1">
      <c r="A89" s="59"/>
      <c r="B89" s="59"/>
      <c r="C89" s="59"/>
      <c r="D89" s="59"/>
      <c r="E89" s="59"/>
      <c r="F89" s="59"/>
      <c r="G89" s="59"/>
      <c r="H89" s="59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r="90" ht="11.25" customHeight="1">
      <c r="A90" s="59"/>
      <c r="B90" s="59"/>
      <c r="C90" s="59"/>
      <c r="D90" s="59"/>
      <c r="E90" s="59"/>
      <c r="F90" s="59"/>
      <c r="G90" s="59"/>
      <c r="H90" s="59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</row>
    <row r="91" ht="11.25" customHeight="1">
      <c r="A91" s="59"/>
      <c r="B91" s="59"/>
      <c r="C91" s="59"/>
      <c r="D91" s="59"/>
      <c r="E91" s="59"/>
      <c r="F91" s="59"/>
      <c r="G91" s="59"/>
      <c r="H91" s="59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</row>
    <row r="92" ht="11.25" customHeight="1">
      <c r="A92" s="59"/>
      <c r="B92" s="59"/>
      <c r="C92" s="59"/>
      <c r="D92" s="59"/>
      <c r="E92" s="59"/>
      <c r="F92" s="59"/>
      <c r="G92" s="59"/>
      <c r="H92" s="59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3" ht="11.25" customHeight="1">
      <c r="A93" s="59"/>
      <c r="B93" s="59"/>
      <c r="C93" s="59"/>
      <c r="D93" s="59"/>
      <c r="E93" s="59"/>
      <c r="F93" s="59"/>
      <c r="G93" s="59"/>
      <c r="H93" s="59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</row>
    <row r="94" ht="11.25" customHeight="1">
      <c r="A94" s="59"/>
      <c r="B94" s="59"/>
      <c r="C94" s="59"/>
      <c r="D94" s="59"/>
      <c r="E94" s="59"/>
      <c r="F94" s="59"/>
      <c r="G94" s="59"/>
      <c r="H94" s="59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</row>
    <row r="95" ht="11.25" customHeight="1">
      <c r="A95" s="59"/>
      <c r="B95" s="59"/>
      <c r="C95" s="59"/>
      <c r="D95" s="59"/>
      <c r="E95" s="59"/>
      <c r="F95" s="59"/>
      <c r="G95" s="59"/>
      <c r="H95" s="59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  <row r="96" ht="11.25" customHeight="1">
      <c r="A96" s="59"/>
      <c r="B96" s="59"/>
      <c r="C96" s="59"/>
      <c r="D96" s="59"/>
      <c r="E96" s="59"/>
      <c r="F96" s="59"/>
      <c r="G96" s="59"/>
      <c r="H96" s="59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</row>
    <row r="97" ht="11.25" customHeight="1">
      <c r="A97" s="59"/>
      <c r="B97" s="59"/>
      <c r="C97" s="59"/>
      <c r="D97" s="59"/>
      <c r="E97" s="59"/>
      <c r="F97" s="59"/>
      <c r="G97" s="59"/>
      <c r="H97" s="59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</row>
    <row r="98" ht="11.25" customHeight="1">
      <c r="A98" s="59"/>
      <c r="B98" s="59"/>
      <c r="C98" s="59"/>
      <c r="D98" s="59"/>
      <c r="E98" s="59"/>
      <c r="F98" s="59"/>
      <c r="G98" s="59"/>
      <c r="H98" s="59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</row>
    <row r="99" ht="11.25" customHeight="1">
      <c r="A99" s="59"/>
      <c r="B99" s="59"/>
      <c r="C99" s="59"/>
      <c r="D99" s="59"/>
      <c r="E99" s="59"/>
      <c r="F99" s="59"/>
      <c r="G99" s="59"/>
      <c r="H99" s="59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</row>
    <row r="100" ht="11.25" customHeight="1">
      <c r="A100" s="59"/>
      <c r="B100" s="59"/>
      <c r="C100" s="59"/>
      <c r="D100" s="59"/>
      <c r="E100" s="59"/>
      <c r="F100" s="59"/>
      <c r="G100" s="59"/>
      <c r="H100" s="59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r="101" ht="11.25" customHeight="1">
      <c r="A101" s="59"/>
      <c r="B101" s="59"/>
      <c r="C101" s="59"/>
      <c r="D101" s="59"/>
      <c r="E101" s="59"/>
      <c r="F101" s="59"/>
      <c r="G101" s="59"/>
      <c r="H101" s="59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 ht="11.25" customHeight="1">
      <c r="A102" s="59"/>
      <c r="B102" s="59"/>
      <c r="C102" s="59"/>
      <c r="D102" s="59"/>
      <c r="E102" s="59"/>
      <c r="F102" s="59"/>
      <c r="G102" s="59"/>
      <c r="H102" s="59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r="103" ht="11.25" customHeight="1">
      <c r="A103" s="59"/>
      <c r="B103" s="59"/>
      <c r="C103" s="59"/>
      <c r="D103" s="59"/>
      <c r="E103" s="59"/>
      <c r="F103" s="59"/>
      <c r="G103" s="59"/>
      <c r="H103" s="59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r="104" ht="11.25" customHeight="1">
      <c r="A104" s="59"/>
      <c r="B104" s="59"/>
      <c r="C104" s="59"/>
      <c r="D104" s="59"/>
      <c r="E104" s="59"/>
      <c r="F104" s="59"/>
      <c r="G104" s="59"/>
      <c r="H104" s="59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r="105" ht="11.25" customHeight="1">
      <c r="A105" s="59"/>
      <c r="B105" s="59"/>
      <c r="C105" s="59"/>
      <c r="D105" s="59"/>
      <c r="E105" s="59"/>
      <c r="F105" s="59"/>
      <c r="G105" s="59"/>
      <c r="H105" s="59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</row>
    <row r="106" ht="11.25" customHeight="1">
      <c r="A106" s="59"/>
      <c r="B106" s="59"/>
      <c r="C106" s="59"/>
      <c r="D106" s="59"/>
      <c r="E106" s="59"/>
      <c r="F106" s="59"/>
      <c r="G106" s="59"/>
      <c r="H106" s="59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</row>
    <row r="107" ht="11.25" customHeight="1">
      <c r="A107" s="59"/>
      <c r="B107" s="59"/>
      <c r="C107" s="59"/>
      <c r="D107" s="59"/>
      <c r="E107" s="59"/>
      <c r="F107" s="59"/>
      <c r="G107" s="59"/>
      <c r="H107" s="59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</row>
    <row r="108" ht="11.25" customHeight="1">
      <c r="A108" s="59"/>
      <c r="B108" s="59"/>
      <c r="C108" s="59"/>
      <c r="D108" s="59"/>
      <c r="E108" s="59"/>
      <c r="F108" s="59"/>
      <c r="G108" s="59"/>
      <c r="H108" s="59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</row>
    <row r="109" ht="11.25" customHeight="1">
      <c r="A109" s="59"/>
      <c r="B109" s="59"/>
      <c r="C109" s="59"/>
      <c r="D109" s="59"/>
      <c r="E109" s="59"/>
      <c r="F109" s="59"/>
      <c r="G109" s="59"/>
      <c r="H109" s="59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</row>
    <row r="110" ht="11.25" customHeight="1">
      <c r="A110" s="59"/>
      <c r="B110" s="59"/>
      <c r="C110" s="59"/>
      <c r="D110" s="59"/>
      <c r="E110" s="59"/>
      <c r="F110" s="59"/>
      <c r="G110" s="59"/>
      <c r="H110" s="59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</row>
    <row r="111" ht="11.25" customHeight="1">
      <c r="A111" s="59"/>
      <c r="B111" s="59"/>
      <c r="C111" s="59"/>
      <c r="D111" s="59"/>
      <c r="E111" s="59"/>
      <c r="F111" s="59"/>
      <c r="G111" s="59"/>
      <c r="H111" s="59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</row>
    <row r="112" ht="11.25" customHeight="1">
      <c r="A112" s="59"/>
      <c r="B112" s="59"/>
      <c r="C112" s="59"/>
      <c r="D112" s="59"/>
      <c r="E112" s="59"/>
      <c r="F112" s="59"/>
      <c r="G112" s="59"/>
      <c r="H112" s="59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</row>
    <row r="113" ht="11.25" customHeight="1">
      <c r="A113" s="59"/>
      <c r="B113" s="59"/>
      <c r="C113" s="59"/>
      <c r="D113" s="59"/>
      <c r="E113" s="59"/>
      <c r="F113" s="59"/>
      <c r="G113" s="59"/>
      <c r="H113" s="59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</row>
    <row r="114" ht="11.25" customHeight="1">
      <c r="A114" s="59"/>
      <c r="B114" s="59"/>
      <c r="C114" s="59"/>
      <c r="D114" s="59"/>
      <c r="E114" s="59"/>
      <c r="F114" s="59"/>
      <c r="G114" s="59"/>
      <c r="H114" s="59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</row>
    <row r="115" ht="11.25" customHeight="1">
      <c r="A115" s="59"/>
      <c r="B115" s="59"/>
      <c r="C115" s="59"/>
      <c r="D115" s="59"/>
      <c r="E115" s="59"/>
      <c r="F115" s="59"/>
      <c r="G115" s="59"/>
      <c r="H115" s="59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</row>
    <row r="116" ht="11.25" customHeight="1">
      <c r="A116" s="59"/>
      <c r="B116" s="59"/>
      <c r="C116" s="59"/>
      <c r="D116" s="59"/>
      <c r="E116" s="59"/>
      <c r="F116" s="59"/>
      <c r="G116" s="59"/>
      <c r="H116" s="59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</row>
    <row r="117" ht="11.25" customHeight="1">
      <c r="A117" s="59"/>
      <c r="B117" s="59"/>
      <c r="C117" s="59"/>
      <c r="D117" s="59"/>
      <c r="E117" s="59"/>
      <c r="F117" s="59"/>
      <c r="G117" s="59"/>
      <c r="H117" s="59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</row>
    <row r="118" ht="11.25" customHeight="1">
      <c r="A118" s="59"/>
      <c r="B118" s="59"/>
      <c r="C118" s="59"/>
      <c r="D118" s="59"/>
      <c r="E118" s="59"/>
      <c r="F118" s="59"/>
      <c r="G118" s="59"/>
      <c r="H118" s="59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</row>
    <row r="119" ht="11.25" customHeight="1">
      <c r="A119" s="59"/>
      <c r="B119" s="59"/>
      <c r="C119" s="59"/>
      <c r="D119" s="59"/>
      <c r="E119" s="59"/>
      <c r="F119" s="59"/>
      <c r="G119" s="59"/>
      <c r="H119" s="59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</row>
    <row r="120" ht="11.25" customHeight="1">
      <c r="A120" s="59"/>
      <c r="B120" s="59"/>
      <c r="C120" s="59"/>
      <c r="D120" s="59"/>
      <c r="E120" s="59"/>
      <c r="F120" s="59"/>
      <c r="G120" s="59"/>
      <c r="H120" s="59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</row>
    <row r="121" ht="11.25" customHeight="1">
      <c r="A121" s="59"/>
      <c r="B121" s="59"/>
      <c r="C121" s="59"/>
      <c r="D121" s="59"/>
      <c r="E121" s="59"/>
      <c r="F121" s="59"/>
      <c r="G121" s="59"/>
      <c r="H121" s="59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</row>
    <row r="122" ht="11.25" customHeight="1">
      <c r="A122" s="59"/>
      <c r="B122" s="59"/>
      <c r="C122" s="59"/>
      <c r="D122" s="59"/>
      <c r="E122" s="59"/>
      <c r="F122" s="59"/>
      <c r="G122" s="59"/>
      <c r="H122" s="59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</row>
    <row r="123" ht="11.25" customHeight="1">
      <c r="A123" s="59"/>
      <c r="B123" s="59"/>
      <c r="C123" s="59"/>
      <c r="D123" s="59"/>
      <c r="E123" s="59"/>
      <c r="F123" s="59"/>
      <c r="G123" s="59"/>
      <c r="H123" s="59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</row>
    <row r="124" ht="11.25" customHeight="1">
      <c r="A124" s="59"/>
      <c r="B124" s="59"/>
      <c r="C124" s="59"/>
      <c r="D124" s="59"/>
      <c r="E124" s="59"/>
      <c r="F124" s="59"/>
      <c r="G124" s="59"/>
      <c r="H124" s="59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5" ht="11.25" customHeight="1">
      <c r="A125" s="59"/>
      <c r="B125" s="59"/>
      <c r="C125" s="59"/>
      <c r="D125" s="59"/>
      <c r="E125" s="59"/>
      <c r="F125" s="59"/>
      <c r="G125" s="59"/>
      <c r="H125" s="59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</row>
    <row r="126" ht="11.25" customHeight="1">
      <c r="A126" s="59"/>
      <c r="B126" s="59"/>
      <c r="C126" s="59"/>
      <c r="D126" s="59"/>
      <c r="E126" s="59"/>
      <c r="F126" s="59"/>
      <c r="G126" s="59"/>
      <c r="H126" s="59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</row>
    <row r="127" ht="11.25" customHeight="1">
      <c r="A127" s="59"/>
      <c r="B127" s="59"/>
      <c r="C127" s="59"/>
      <c r="D127" s="59"/>
      <c r="E127" s="59"/>
      <c r="F127" s="59"/>
      <c r="G127" s="59"/>
      <c r="H127" s="59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</row>
    <row r="128" ht="11.25" customHeight="1">
      <c r="A128" s="59"/>
      <c r="B128" s="59"/>
      <c r="C128" s="59"/>
      <c r="D128" s="59"/>
      <c r="E128" s="59"/>
      <c r="F128" s="59"/>
      <c r="G128" s="59"/>
      <c r="H128" s="59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</row>
    <row r="129" ht="11.25" customHeight="1">
      <c r="A129" s="59"/>
      <c r="B129" s="59"/>
      <c r="C129" s="59"/>
      <c r="D129" s="59"/>
      <c r="E129" s="59"/>
      <c r="F129" s="59"/>
      <c r="G129" s="59"/>
      <c r="H129" s="59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</row>
    <row r="130" ht="11.25" customHeight="1">
      <c r="A130" s="59"/>
      <c r="B130" s="59"/>
      <c r="C130" s="59"/>
      <c r="D130" s="59"/>
      <c r="E130" s="59"/>
      <c r="F130" s="59"/>
      <c r="G130" s="59"/>
      <c r="H130" s="59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</row>
    <row r="131" ht="11.25" customHeight="1">
      <c r="A131" s="59"/>
      <c r="B131" s="59"/>
      <c r="C131" s="59"/>
      <c r="D131" s="59"/>
      <c r="E131" s="59"/>
      <c r="F131" s="59"/>
      <c r="G131" s="59"/>
      <c r="H131" s="59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</row>
    <row r="132" ht="11.25" customHeight="1">
      <c r="A132" s="59"/>
      <c r="B132" s="59"/>
      <c r="C132" s="59"/>
      <c r="D132" s="59"/>
      <c r="E132" s="59"/>
      <c r="F132" s="59"/>
      <c r="G132" s="59"/>
      <c r="H132" s="59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</row>
    <row r="133" ht="11.25" customHeight="1">
      <c r="A133" s="59"/>
      <c r="B133" s="59"/>
      <c r="C133" s="59"/>
      <c r="D133" s="59"/>
      <c r="E133" s="59"/>
      <c r="F133" s="59"/>
      <c r="G133" s="59"/>
      <c r="H133" s="59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</row>
    <row r="134" ht="11.25" customHeight="1">
      <c r="A134" s="59"/>
      <c r="B134" s="59"/>
      <c r="C134" s="59"/>
      <c r="D134" s="59"/>
      <c r="E134" s="59"/>
      <c r="F134" s="59"/>
      <c r="G134" s="59"/>
      <c r="H134" s="59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</row>
    <row r="135" ht="11.25" customHeight="1">
      <c r="A135" s="59"/>
      <c r="B135" s="59"/>
      <c r="C135" s="59"/>
      <c r="D135" s="59"/>
      <c r="E135" s="59"/>
      <c r="F135" s="59"/>
      <c r="G135" s="59"/>
      <c r="H135" s="59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</row>
    <row r="136" ht="11.25" customHeight="1">
      <c r="A136" s="59"/>
      <c r="B136" s="59"/>
      <c r="C136" s="59"/>
      <c r="D136" s="59"/>
      <c r="E136" s="59"/>
      <c r="F136" s="59"/>
      <c r="G136" s="59"/>
      <c r="H136" s="59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</row>
    <row r="137" ht="11.25" customHeight="1">
      <c r="A137" s="59"/>
      <c r="B137" s="59"/>
      <c r="C137" s="59"/>
      <c r="D137" s="59"/>
      <c r="E137" s="59"/>
      <c r="F137" s="59"/>
      <c r="G137" s="59"/>
      <c r="H137" s="59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</row>
    <row r="138" ht="11.25" customHeight="1">
      <c r="A138" s="59"/>
      <c r="B138" s="59"/>
      <c r="C138" s="59"/>
      <c r="D138" s="59"/>
      <c r="E138" s="59"/>
      <c r="F138" s="59"/>
      <c r="G138" s="59"/>
      <c r="H138" s="59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</row>
    <row r="139" ht="11.25" customHeight="1">
      <c r="A139" s="59"/>
      <c r="B139" s="59"/>
      <c r="C139" s="59"/>
      <c r="D139" s="59"/>
      <c r="E139" s="59"/>
      <c r="F139" s="59"/>
      <c r="G139" s="59"/>
      <c r="H139" s="59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</row>
    <row r="140" ht="11.25" customHeight="1">
      <c r="A140" s="59"/>
      <c r="B140" s="59"/>
      <c r="C140" s="59"/>
      <c r="D140" s="59"/>
      <c r="E140" s="59"/>
      <c r="F140" s="59"/>
      <c r="G140" s="59"/>
      <c r="H140" s="59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</row>
    <row r="141" ht="11.25" customHeight="1">
      <c r="A141" s="59"/>
      <c r="B141" s="59"/>
      <c r="C141" s="59"/>
      <c r="D141" s="59"/>
      <c r="E141" s="59"/>
      <c r="F141" s="59"/>
      <c r="G141" s="59"/>
      <c r="H141" s="59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</row>
    <row r="142" ht="11.25" customHeight="1">
      <c r="A142" s="59"/>
      <c r="B142" s="59"/>
      <c r="C142" s="59"/>
      <c r="D142" s="59"/>
      <c r="E142" s="59"/>
      <c r="F142" s="59"/>
      <c r="G142" s="59"/>
      <c r="H142" s="59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</row>
    <row r="143" ht="11.25" customHeight="1">
      <c r="A143" s="59"/>
      <c r="B143" s="59"/>
      <c r="C143" s="59"/>
      <c r="D143" s="59"/>
      <c r="E143" s="59"/>
      <c r="F143" s="59"/>
      <c r="G143" s="59"/>
      <c r="H143" s="59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</row>
    <row r="144" ht="11.25" customHeight="1">
      <c r="A144" s="59"/>
      <c r="B144" s="59"/>
      <c r="C144" s="59"/>
      <c r="D144" s="59"/>
      <c r="E144" s="59"/>
      <c r="F144" s="59"/>
      <c r="G144" s="59"/>
      <c r="H144" s="59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</row>
    <row r="145" ht="11.25" customHeight="1">
      <c r="A145" s="59"/>
      <c r="B145" s="59"/>
      <c r="C145" s="59"/>
      <c r="D145" s="59"/>
      <c r="E145" s="59"/>
      <c r="F145" s="59"/>
      <c r="G145" s="59"/>
      <c r="H145" s="59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</row>
    <row r="146" ht="11.25" customHeight="1">
      <c r="A146" s="59"/>
      <c r="B146" s="59"/>
      <c r="C146" s="59"/>
      <c r="D146" s="59"/>
      <c r="E146" s="59"/>
      <c r="F146" s="59"/>
      <c r="G146" s="59"/>
      <c r="H146" s="59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</row>
    <row r="147" ht="11.25" customHeight="1">
      <c r="A147" s="59"/>
      <c r="B147" s="59"/>
      <c r="C147" s="59"/>
      <c r="D147" s="59"/>
      <c r="E147" s="59"/>
      <c r="F147" s="59"/>
      <c r="G147" s="59"/>
      <c r="H147" s="59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</row>
    <row r="148" ht="11.25" customHeight="1">
      <c r="A148" s="59"/>
      <c r="B148" s="59"/>
      <c r="C148" s="59"/>
      <c r="D148" s="59"/>
      <c r="E148" s="59"/>
      <c r="F148" s="59"/>
      <c r="G148" s="59"/>
      <c r="H148" s="59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</row>
    <row r="149" ht="11.25" customHeight="1">
      <c r="A149" s="59"/>
      <c r="B149" s="59"/>
      <c r="C149" s="59"/>
      <c r="D149" s="59"/>
      <c r="E149" s="59"/>
      <c r="F149" s="59"/>
      <c r="G149" s="59"/>
      <c r="H149" s="59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</row>
    <row r="150" ht="11.25" customHeight="1">
      <c r="A150" s="59"/>
      <c r="B150" s="59"/>
      <c r="C150" s="59"/>
      <c r="D150" s="59"/>
      <c r="E150" s="59"/>
      <c r="F150" s="59"/>
      <c r="G150" s="59"/>
      <c r="H150" s="59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</row>
    <row r="151" ht="11.25" customHeight="1">
      <c r="A151" s="59"/>
      <c r="B151" s="59"/>
      <c r="C151" s="59"/>
      <c r="D151" s="59"/>
      <c r="E151" s="59"/>
      <c r="F151" s="59"/>
      <c r="G151" s="59"/>
      <c r="H151" s="59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</row>
    <row r="152" ht="11.25" customHeight="1">
      <c r="A152" s="59"/>
      <c r="B152" s="59"/>
      <c r="C152" s="59"/>
      <c r="D152" s="59"/>
      <c r="E152" s="59"/>
      <c r="F152" s="59"/>
      <c r="G152" s="59"/>
      <c r="H152" s="59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</row>
    <row r="153" ht="11.25" customHeight="1">
      <c r="A153" s="59"/>
      <c r="B153" s="59"/>
      <c r="C153" s="59"/>
      <c r="D153" s="59"/>
      <c r="E153" s="59"/>
      <c r="F153" s="59"/>
      <c r="G153" s="59"/>
      <c r="H153" s="59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</row>
    <row r="154" ht="11.25" customHeight="1">
      <c r="A154" s="59"/>
      <c r="B154" s="59"/>
      <c r="C154" s="59"/>
      <c r="D154" s="59"/>
      <c r="E154" s="59"/>
      <c r="F154" s="59"/>
      <c r="G154" s="59"/>
      <c r="H154" s="59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</row>
    <row r="155" ht="11.25" customHeight="1">
      <c r="A155" s="59"/>
      <c r="B155" s="59"/>
      <c r="C155" s="59"/>
      <c r="D155" s="59"/>
      <c r="E155" s="59"/>
      <c r="F155" s="59"/>
      <c r="G155" s="59"/>
      <c r="H155" s="59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</row>
    <row r="156" ht="11.25" customHeight="1">
      <c r="A156" s="59"/>
      <c r="B156" s="59"/>
      <c r="C156" s="59"/>
      <c r="D156" s="59"/>
      <c r="E156" s="59"/>
      <c r="F156" s="59"/>
      <c r="G156" s="59"/>
      <c r="H156" s="59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</row>
    <row r="157" ht="11.25" customHeight="1">
      <c r="A157" s="59"/>
      <c r="B157" s="59"/>
      <c r="C157" s="59"/>
      <c r="D157" s="59"/>
      <c r="E157" s="59"/>
      <c r="F157" s="59"/>
      <c r="G157" s="59"/>
      <c r="H157" s="59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</row>
    <row r="158" ht="11.25" customHeight="1">
      <c r="A158" s="59"/>
      <c r="B158" s="59"/>
      <c r="C158" s="59"/>
      <c r="D158" s="59"/>
      <c r="E158" s="59"/>
      <c r="F158" s="59"/>
      <c r="G158" s="59"/>
      <c r="H158" s="59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</row>
    <row r="159" ht="11.25" customHeight="1">
      <c r="A159" s="59"/>
      <c r="B159" s="59"/>
      <c r="C159" s="59"/>
      <c r="D159" s="59"/>
      <c r="E159" s="59"/>
      <c r="F159" s="59"/>
      <c r="G159" s="59"/>
      <c r="H159" s="59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</row>
    <row r="160" ht="11.25" customHeight="1">
      <c r="A160" s="59"/>
      <c r="B160" s="59"/>
      <c r="C160" s="59"/>
      <c r="D160" s="59"/>
      <c r="E160" s="59"/>
      <c r="F160" s="59"/>
      <c r="G160" s="59"/>
      <c r="H160" s="59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</row>
    <row r="161" ht="11.25" customHeight="1">
      <c r="A161" s="59"/>
      <c r="B161" s="59"/>
      <c r="C161" s="59"/>
      <c r="D161" s="59"/>
      <c r="E161" s="59"/>
      <c r="F161" s="59"/>
      <c r="G161" s="59"/>
      <c r="H161" s="59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</row>
    <row r="162" ht="11.25" customHeight="1">
      <c r="A162" s="59"/>
      <c r="B162" s="59"/>
      <c r="C162" s="59"/>
      <c r="D162" s="59"/>
      <c r="E162" s="59"/>
      <c r="F162" s="59"/>
      <c r="G162" s="59"/>
      <c r="H162" s="59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</row>
    <row r="163" ht="11.25" customHeight="1">
      <c r="A163" s="59"/>
      <c r="B163" s="59"/>
      <c r="C163" s="59"/>
      <c r="D163" s="59"/>
      <c r="E163" s="59"/>
      <c r="F163" s="59"/>
      <c r="G163" s="59"/>
      <c r="H163" s="59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</row>
    <row r="164" ht="11.25" customHeight="1">
      <c r="A164" s="59"/>
      <c r="B164" s="59"/>
      <c r="C164" s="59"/>
      <c r="D164" s="59"/>
      <c r="E164" s="59"/>
      <c r="F164" s="59"/>
      <c r="G164" s="59"/>
      <c r="H164" s="59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</row>
    <row r="165" ht="11.25" customHeight="1">
      <c r="A165" s="59"/>
      <c r="B165" s="59"/>
      <c r="C165" s="59"/>
      <c r="D165" s="59"/>
      <c r="E165" s="59"/>
      <c r="F165" s="59"/>
      <c r="G165" s="59"/>
      <c r="H165" s="59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</row>
    <row r="166" ht="11.25" customHeight="1">
      <c r="A166" s="59"/>
      <c r="B166" s="59"/>
      <c r="C166" s="59"/>
      <c r="D166" s="59"/>
      <c r="E166" s="59"/>
      <c r="F166" s="59"/>
      <c r="G166" s="59"/>
      <c r="H166" s="59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</row>
    <row r="167" ht="11.25" customHeight="1">
      <c r="A167" s="59"/>
      <c r="B167" s="59"/>
      <c r="C167" s="59"/>
      <c r="D167" s="59"/>
      <c r="E167" s="59"/>
      <c r="F167" s="59"/>
      <c r="G167" s="59"/>
      <c r="H167" s="59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</row>
    <row r="168" ht="11.25" customHeight="1">
      <c r="A168" s="59"/>
      <c r="B168" s="59"/>
      <c r="C168" s="59"/>
      <c r="D168" s="59"/>
      <c r="E168" s="59"/>
      <c r="F168" s="59"/>
      <c r="G168" s="59"/>
      <c r="H168" s="59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</row>
    <row r="169" ht="11.25" customHeight="1">
      <c r="A169" s="59"/>
      <c r="B169" s="59"/>
      <c r="C169" s="59"/>
      <c r="D169" s="59"/>
      <c r="E169" s="59"/>
      <c r="F169" s="59"/>
      <c r="G169" s="59"/>
      <c r="H169" s="59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</row>
    <row r="170" ht="11.25" customHeight="1">
      <c r="A170" s="59"/>
      <c r="B170" s="59"/>
      <c r="C170" s="59"/>
      <c r="D170" s="59"/>
      <c r="E170" s="59"/>
      <c r="F170" s="59"/>
      <c r="G170" s="59"/>
      <c r="H170" s="59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</row>
    <row r="171" ht="11.25" customHeight="1">
      <c r="A171" s="59"/>
      <c r="B171" s="59"/>
      <c r="C171" s="59"/>
      <c r="D171" s="59"/>
      <c r="E171" s="59"/>
      <c r="F171" s="59"/>
      <c r="G171" s="59"/>
      <c r="H171" s="59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</row>
    <row r="172" ht="11.25" customHeight="1">
      <c r="A172" s="59"/>
      <c r="B172" s="59"/>
      <c r="C172" s="59"/>
      <c r="D172" s="59"/>
      <c r="E172" s="59"/>
      <c r="F172" s="59"/>
      <c r="G172" s="59"/>
      <c r="H172" s="59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</row>
    <row r="173" ht="11.25" customHeight="1">
      <c r="A173" s="59"/>
      <c r="B173" s="59"/>
      <c r="C173" s="59"/>
      <c r="D173" s="59"/>
      <c r="E173" s="59"/>
      <c r="F173" s="59"/>
      <c r="G173" s="59"/>
      <c r="H173" s="59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</row>
    <row r="174" ht="11.25" customHeight="1">
      <c r="A174" s="59"/>
      <c r="B174" s="59"/>
      <c r="C174" s="59"/>
      <c r="D174" s="59"/>
      <c r="E174" s="59"/>
      <c r="F174" s="59"/>
      <c r="G174" s="59"/>
      <c r="H174" s="59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</row>
    <row r="175" ht="11.25" customHeight="1">
      <c r="A175" s="59"/>
      <c r="B175" s="59"/>
      <c r="C175" s="59"/>
      <c r="D175" s="59"/>
      <c r="E175" s="59"/>
      <c r="F175" s="59"/>
      <c r="G175" s="59"/>
      <c r="H175" s="59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</row>
    <row r="176" ht="11.25" customHeight="1">
      <c r="A176" s="59"/>
      <c r="B176" s="59"/>
      <c r="C176" s="59"/>
      <c r="D176" s="59"/>
      <c r="E176" s="59"/>
      <c r="F176" s="59"/>
      <c r="G176" s="59"/>
      <c r="H176" s="59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</row>
    <row r="177" ht="11.25" customHeight="1">
      <c r="A177" s="59"/>
      <c r="B177" s="59"/>
      <c r="C177" s="59"/>
      <c r="D177" s="59"/>
      <c r="E177" s="59"/>
      <c r="F177" s="59"/>
      <c r="G177" s="59"/>
      <c r="H177" s="59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</row>
    <row r="178" ht="11.25" customHeight="1">
      <c r="A178" s="59"/>
      <c r="B178" s="59"/>
      <c r="C178" s="59"/>
      <c r="D178" s="59"/>
      <c r="E178" s="59"/>
      <c r="F178" s="59"/>
      <c r="G178" s="59"/>
      <c r="H178" s="59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</row>
    <row r="179" ht="11.25" customHeight="1">
      <c r="A179" s="59"/>
      <c r="B179" s="59"/>
      <c r="C179" s="59"/>
      <c r="D179" s="59"/>
      <c r="E179" s="59"/>
      <c r="F179" s="59"/>
      <c r="G179" s="59"/>
      <c r="H179" s="59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</row>
    <row r="180" ht="11.25" customHeight="1">
      <c r="A180" s="59"/>
      <c r="B180" s="59"/>
      <c r="C180" s="59"/>
      <c r="D180" s="59"/>
      <c r="E180" s="59"/>
      <c r="F180" s="59"/>
      <c r="G180" s="59"/>
      <c r="H180" s="59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</row>
    <row r="181" ht="11.25" customHeight="1">
      <c r="A181" s="59"/>
      <c r="B181" s="59"/>
      <c r="C181" s="59"/>
      <c r="D181" s="59"/>
      <c r="E181" s="59"/>
      <c r="F181" s="59"/>
      <c r="G181" s="59"/>
      <c r="H181" s="59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</row>
    <row r="182" ht="11.25" customHeight="1">
      <c r="A182" s="59"/>
      <c r="B182" s="59"/>
      <c r="C182" s="59"/>
      <c r="D182" s="59"/>
      <c r="E182" s="59"/>
      <c r="F182" s="59"/>
      <c r="G182" s="59"/>
      <c r="H182" s="59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</row>
    <row r="183" ht="11.25" customHeight="1">
      <c r="A183" s="59"/>
      <c r="B183" s="59"/>
      <c r="C183" s="59"/>
      <c r="D183" s="59"/>
      <c r="E183" s="59"/>
      <c r="F183" s="59"/>
      <c r="G183" s="59"/>
      <c r="H183" s="59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</row>
    <row r="184" ht="11.25" customHeight="1">
      <c r="A184" s="59"/>
      <c r="B184" s="59"/>
      <c r="C184" s="59"/>
      <c r="D184" s="59"/>
      <c r="E184" s="59"/>
      <c r="F184" s="59"/>
      <c r="G184" s="59"/>
      <c r="H184" s="59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</row>
    <row r="185" ht="11.25" customHeight="1">
      <c r="A185" s="59"/>
      <c r="B185" s="59"/>
      <c r="C185" s="59"/>
      <c r="D185" s="59"/>
      <c r="E185" s="59"/>
      <c r="F185" s="59"/>
      <c r="G185" s="59"/>
      <c r="H185" s="59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</row>
    <row r="186" ht="11.25" customHeight="1">
      <c r="A186" s="59"/>
      <c r="B186" s="59"/>
      <c r="C186" s="59"/>
      <c r="D186" s="59"/>
      <c r="E186" s="59"/>
      <c r="F186" s="59"/>
      <c r="G186" s="59"/>
      <c r="H186" s="59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</row>
    <row r="187" ht="11.25" customHeight="1">
      <c r="A187" s="59"/>
      <c r="B187" s="59"/>
      <c r="C187" s="59"/>
      <c r="D187" s="59"/>
      <c r="E187" s="59"/>
      <c r="F187" s="59"/>
      <c r="G187" s="59"/>
      <c r="H187" s="59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</row>
    <row r="188" ht="11.25" customHeight="1">
      <c r="A188" s="59"/>
      <c r="B188" s="59"/>
      <c r="C188" s="59"/>
      <c r="D188" s="59"/>
      <c r="E188" s="59"/>
      <c r="F188" s="59"/>
      <c r="G188" s="59"/>
      <c r="H188" s="59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</row>
    <row r="189" ht="11.25" customHeight="1">
      <c r="A189" s="59"/>
      <c r="B189" s="59"/>
      <c r="C189" s="59"/>
      <c r="D189" s="59"/>
      <c r="E189" s="59"/>
      <c r="F189" s="59"/>
      <c r="G189" s="59"/>
      <c r="H189" s="59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</row>
    <row r="190" ht="11.25" customHeight="1">
      <c r="A190" s="59"/>
      <c r="B190" s="59"/>
      <c r="C190" s="59"/>
      <c r="D190" s="59"/>
      <c r="E190" s="59"/>
      <c r="F190" s="59"/>
      <c r="G190" s="59"/>
      <c r="H190" s="59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</row>
    <row r="191" ht="11.25" customHeight="1">
      <c r="A191" s="59"/>
      <c r="B191" s="59"/>
      <c r="C191" s="59"/>
      <c r="D191" s="59"/>
      <c r="E191" s="59"/>
      <c r="F191" s="59"/>
      <c r="G191" s="59"/>
      <c r="H191" s="59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</row>
    <row r="192" ht="11.25" customHeight="1">
      <c r="A192" s="59"/>
      <c r="B192" s="59"/>
      <c r="C192" s="59"/>
      <c r="D192" s="59"/>
      <c r="E192" s="59"/>
      <c r="F192" s="59"/>
      <c r="G192" s="59"/>
      <c r="H192" s="59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</row>
    <row r="193" ht="11.25" customHeight="1">
      <c r="A193" s="59"/>
      <c r="B193" s="59"/>
      <c r="C193" s="59"/>
      <c r="D193" s="59"/>
      <c r="E193" s="59"/>
      <c r="F193" s="59"/>
      <c r="G193" s="59"/>
      <c r="H193" s="59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</row>
    <row r="194" ht="11.25" customHeight="1">
      <c r="A194" s="59"/>
      <c r="B194" s="59"/>
      <c r="C194" s="59"/>
      <c r="D194" s="59"/>
      <c r="E194" s="59"/>
      <c r="F194" s="59"/>
      <c r="G194" s="59"/>
      <c r="H194" s="59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</row>
    <row r="195" ht="11.25" customHeight="1">
      <c r="A195" s="59"/>
      <c r="B195" s="59"/>
      <c r="C195" s="59"/>
      <c r="D195" s="59"/>
      <c r="E195" s="59"/>
      <c r="F195" s="59"/>
      <c r="G195" s="59"/>
      <c r="H195" s="59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</row>
    <row r="196" ht="11.25" customHeight="1">
      <c r="A196" s="59"/>
      <c r="B196" s="59"/>
      <c r="C196" s="59"/>
      <c r="D196" s="59"/>
      <c r="E196" s="59"/>
      <c r="F196" s="59"/>
      <c r="G196" s="59"/>
      <c r="H196" s="59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</row>
    <row r="197" ht="11.25" customHeight="1">
      <c r="A197" s="59"/>
      <c r="B197" s="59"/>
      <c r="C197" s="59"/>
      <c r="D197" s="59"/>
      <c r="E197" s="59"/>
      <c r="F197" s="59"/>
      <c r="G197" s="59"/>
      <c r="H197" s="59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</row>
    <row r="198" ht="11.25" customHeight="1">
      <c r="A198" s="59"/>
      <c r="B198" s="59"/>
      <c r="C198" s="59"/>
      <c r="D198" s="59"/>
      <c r="E198" s="59"/>
      <c r="F198" s="59"/>
      <c r="G198" s="59"/>
      <c r="H198" s="59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</row>
    <row r="199" ht="11.25" customHeight="1">
      <c r="A199" s="59"/>
      <c r="B199" s="59"/>
      <c r="C199" s="59"/>
      <c r="D199" s="59"/>
      <c r="E199" s="59"/>
      <c r="F199" s="59"/>
      <c r="G199" s="59"/>
      <c r="H199" s="59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</row>
    <row r="200" ht="11.25" customHeight="1">
      <c r="A200" s="59"/>
      <c r="B200" s="59"/>
      <c r="C200" s="59"/>
      <c r="D200" s="59"/>
      <c r="E200" s="59"/>
      <c r="F200" s="59"/>
      <c r="G200" s="59"/>
      <c r="H200" s="59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</row>
    <row r="201" ht="11.25" customHeight="1">
      <c r="A201" s="59"/>
      <c r="B201" s="59"/>
      <c r="C201" s="59"/>
      <c r="D201" s="59"/>
      <c r="E201" s="59"/>
      <c r="F201" s="59"/>
      <c r="G201" s="59"/>
      <c r="H201" s="59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</row>
    <row r="202" ht="11.25" customHeight="1">
      <c r="A202" s="59"/>
      <c r="B202" s="59"/>
      <c r="C202" s="59"/>
      <c r="D202" s="59"/>
      <c r="E202" s="59"/>
      <c r="F202" s="59"/>
      <c r="G202" s="59"/>
      <c r="H202" s="59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</row>
    <row r="203" ht="11.25" customHeight="1">
      <c r="A203" s="59"/>
      <c r="B203" s="59"/>
      <c r="C203" s="59"/>
      <c r="D203" s="59"/>
      <c r="E203" s="59"/>
      <c r="F203" s="59"/>
      <c r="G203" s="59"/>
      <c r="H203" s="59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</row>
    <row r="204" ht="11.25" customHeight="1">
      <c r="A204" s="59"/>
      <c r="B204" s="59"/>
      <c r="C204" s="59"/>
      <c r="D204" s="59"/>
      <c r="E204" s="59"/>
      <c r="F204" s="59"/>
      <c r="G204" s="59"/>
      <c r="H204" s="59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</row>
    <row r="205" ht="11.25" customHeight="1">
      <c r="A205" s="59"/>
      <c r="B205" s="59"/>
      <c r="C205" s="59"/>
      <c r="D205" s="59"/>
      <c r="E205" s="59"/>
      <c r="F205" s="59"/>
      <c r="G205" s="59"/>
      <c r="H205" s="59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</row>
    <row r="206" ht="11.25" customHeight="1">
      <c r="A206" s="59"/>
      <c r="B206" s="59"/>
      <c r="C206" s="59"/>
      <c r="D206" s="59"/>
      <c r="E206" s="59"/>
      <c r="F206" s="59"/>
      <c r="G206" s="59"/>
      <c r="H206" s="59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</row>
    <row r="207" ht="11.25" customHeight="1">
      <c r="A207" s="59"/>
      <c r="B207" s="59"/>
      <c r="C207" s="59"/>
      <c r="D207" s="59"/>
      <c r="E207" s="59"/>
      <c r="F207" s="59"/>
      <c r="G207" s="59"/>
      <c r="H207" s="59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</row>
    <row r="208" ht="11.25" customHeight="1">
      <c r="A208" s="59"/>
      <c r="B208" s="59"/>
      <c r="C208" s="59"/>
      <c r="D208" s="59"/>
      <c r="E208" s="59"/>
      <c r="F208" s="59"/>
      <c r="G208" s="59"/>
      <c r="H208" s="59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</row>
    <row r="209" ht="11.25" customHeight="1">
      <c r="A209" s="59"/>
      <c r="B209" s="59"/>
      <c r="C209" s="59"/>
      <c r="D209" s="59"/>
      <c r="E209" s="59"/>
      <c r="F209" s="59"/>
      <c r="G209" s="59"/>
      <c r="H209" s="59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</row>
    <row r="210" ht="11.25" customHeight="1">
      <c r="A210" s="59"/>
      <c r="B210" s="59"/>
      <c r="C210" s="59"/>
      <c r="D210" s="59"/>
      <c r="E210" s="59"/>
      <c r="F210" s="59"/>
      <c r="G210" s="59"/>
      <c r="H210" s="59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</row>
    <row r="211" ht="11.25" customHeight="1">
      <c r="A211" s="59"/>
      <c r="B211" s="59"/>
      <c r="C211" s="59"/>
      <c r="D211" s="59"/>
      <c r="E211" s="59"/>
      <c r="F211" s="59"/>
      <c r="G211" s="59"/>
      <c r="H211" s="59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</row>
    <row r="212" ht="11.25" customHeight="1">
      <c r="A212" s="59"/>
      <c r="B212" s="59"/>
      <c r="C212" s="59"/>
      <c r="D212" s="59"/>
      <c r="E212" s="59"/>
      <c r="F212" s="59"/>
      <c r="G212" s="59"/>
      <c r="H212" s="59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</row>
    <row r="213" ht="11.25" customHeight="1">
      <c r="A213" s="59"/>
      <c r="B213" s="59"/>
      <c r="C213" s="59"/>
      <c r="D213" s="59"/>
      <c r="E213" s="59"/>
      <c r="F213" s="59"/>
      <c r="G213" s="59"/>
      <c r="H213" s="59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</row>
    <row r="214" ht="11.25" customHeight="1">
      <c r="A214" s="59"/>
      <c r="B214" s="59"/>
      <c r="C214" s="59"/>
      <c r="D214" s="59"/>
      <c r="E214" s="59"/>
      <c r="F214" s="59"/>
      <c r="G214" s="59"/>
      <c r="H214" s="59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</row>
    <row r="215" ht="11.25" customHeight="1">
      <c r="A215" s="59"/>
      <c r="B215" s="59"/>
      <c r="C215" s="59"/>
      <c r="D215" s="59"/>
      <c r="E215" s="59"/>
      <c r="F215" s="59"/>
      <c r="G215" s="59"/>
      <c r="H215" s="59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</row>
    <row r="216" ht="11.25" customHeight="1">
      <c r="A216" s="59"/>
      <c r="B216" s="59"/>
      <c r="C216" s="59"/>
      <c r="D216" s="59"/>
      <c r="E216" s="59"/>
      <c r="F216" s="59"/>
      <c r="G216" s="59"/>
      <c r="H216" s="59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</row>
    <row r="217" ht="11.25" customHeight="1">
      <c r="A217" s="59"/>
      <c r="B217" s="59"/>
      <c r="C217" s="59"/>
      <c r="D217" s="59"/>
      <c r="E217" s="59"/>
      <c r="F217" s="59"/>
      <c r="G217" s="59"/>
      <c r="H217" s="59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</row>
    <row r="218" ht="11.25" customHeight="1">
      <c r="A218" s="59"/>
      <c r="B218" s="59"/>
      <c r="C218" s="59"/>
      <c r="D218" s="59"/>
      <c r="E218" s="59"/>
      <c r="F218" s="59"/>
      <c r="G218" s="59"/>
      <c r="H218" s="59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</row>
    <row r="219" ht="11.25" customHeight="1">
      <c r="A219" s="59"/>
      <c r="B219" s="59"/>
      <c r="C219" s="59"/>
      <c r="D219" s="59"/>
      <c r="E219" s="59"/>
      <c r="F219" s="59"/>
      <c r="G219" s="59"/>
      <c r="H219" s="59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</row>
    <row r="220" ht="11.25" customHeight="1">
      <c r="A220" s="59"/>
      <c r="B220" s="59"/>
      <c r="C220" s="59"/>
      <c r="D220" s="59"/>
      <c r="E220" s="59"/>
      <c r="F220" s="59"/>
      <c r="G220" s="59"/>
      <c r="H220" s="59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</row>
    <row r="221" ht="11.25" customHeight="1">
      <c r="A221" s="59"/>
      <c r="B221" s="59"/>
      <c r="C221" s="59"/>
      <c r="D221" s="59"/>
      <c r="E221" s="59"/>
      <c r="F221" s="59"/>
      <c r="G221" s="59"/>
      <c r="H221" s="59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</row>
    <row r="222" ht="11.25" customHeight="1">
      <c r="A222" s="59"/>
      <c r="B222" s="59"/>
      <c r="C222" s="59"/>
      <c r="D222" s="59"/>
      <c r="E222" s="59"/>
      <c r="F222" s="59"/>
      <c r="G222" s="59"/>
      <c r="H222" s="59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</row>
    <row r="223" ht="11.25" customHeight="1">
      <c r="A223" s="59"/>
      <c r="B223" s="59"/>
      <c r="C223" s="59"/>
      <c r="D223" s="59"/>
      <c r="E223" s="59"/>
      <c r="F223" s="59"/>
      <c r="G223" s="59"/>
      <c r="H223" s="59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</row>
    <row r="224" ht="11.25" customHeight="1">
      <c r="A224" s="59"/>
      <c r="B224" s="59"/>
      <c r="C224" s="59"/>
      <c r="D224" s="59"/>
      <c r="E224" s="59"/>
      <c r="F224" s="59"/>
      <c r="G224" s="59"/>
      <c r="H224" s="59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</row>
    <row r="225" ht="11.25" customHeight="1">
      <c r="A225" s="59"/>
      <c r="B225" s="59"/>
      <c r="C225" s="59"/>
      <c r="D225" s="59"/>
      <c r="E225" s="59"/>
      <c r="F225" s="59"/>
      <c r="G225" s="59"/>
      <c r="H225" s="59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</row>
    <row r="226" ht="11.25" customHeight="1">
      <c r="A226" s="59"/>
      <c r="B226" s="59"/>
      <c r="C226" s="59"/>
      <c r="D226" s="59"/>
      <c r="E226" s="59"/>
      <c r="F226" s="59"/>
      <c r="G226" s="59"/>
      <c r="H226" s="59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</row>
    <row r="227" ht="11.25" customHeight="1">
      <c r="A227" s="59"/>
      <c r="B227" s="59"/>
      <c r="C227" s="59"/>
      <c r="D227" s="59"/>
      <c r="E227" s="59"/>
      <c r="F227" s="59"/>
      <c r="G227" s="59"/>
      <c r="H227" s="59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</row>
    <row r="228" ht="11.25" customHeight="1">
      <c r="A228" s="59"/>
      <c r="B228" s="59"/>
      <c r="C228" s="59"/>
      <c r="D228" s="59"/>
      <c r="E228" s="59"/>
      <c r="F228" s="59"/>
      <c r="G228" s="59"/>
      <c r="H228" s="59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</row>
    <row r="229" ht="11.25" customHeight="1">
      <c r="A229" s="59"/>
      <c r="B229" s="59"/>
      <c r="C229" s="59"/>
      <c r="D229" s="59"/>
      <c r="E229" s="59"/>
      <c r="F229" s="59"/>
      <c r="G229" s="59"/>
      <c r="H229" s="59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</row>
    <row r="230" ht="11.25" customHeight="1">
      <c r="A230" s="59"/>
      <c r="B230" s="59"/>
      <c r="C230" s="59"/>
      <c r="D230" s="59"/>
      <c r="E230" s="59"/>
      <c r="F230" s="59"/>
      <c r="G230" s="59"/>
      <c r="H230" s="59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</row>
    <row r="231" ht="11.25" customHeight="1">
      <c r="A231" s="59"/>
      <c r="B231" s="59"/>
      <c r="C231" s="59"/>
      <c r="D231" s="59"/>
      <c r="E231" s="59"/>
      <c r="F231" s="59"/>
      <c r="G231" s="59"/>
      <c r="H231" s="59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</row>
    <row r="232" ht="11.25" customHeight="1">
      <c r="A232" s="59"/>
      <c r="B232" s="59"/>
      <c r="C232" s="59"/>
      <c r="D232" s="59"/>
      <c r="E232" s="59"/>
      <c r="F232" s="59"/>
      <c r="G232" s="59"/>
      <c r="H232" s="59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</row>
    <row r="233" ht="11.25" customHeight="1">
      <c r="A233" s="59"/>
      <c r="B233" s="59"/>
      <c r="C233" s="59"/>
      <c r="D233" s="59"/>
      <c r="E233" s="59"/>
      <c r="F233" s="59"/>
      <c r="G233" s="59"/>
      <c r="H233" s="59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</row>
    <row r="234" ht="11.25" customHeight="1">
      <c r="A234" s="59"/>
      <c r="B234" s="59"/>
      <c r="C234" s="59"/>
      <c r="D234" s="59"/>
      <c r="E234" s="59"/>
      <c r="F234" s="59"/>
      <c r="G234" s="59"/>
      <c r="H234" s="59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</row>
    <row r="235" ht="11.25" customHeight="1">
      <c r="A235" s="59"/>
      <c r="B235" s="59"/>
      <c r="C235" s="59"/>
      <c r="D235" s="59"/>
      <c r="E235" s="59"/>
      <c r="F235" s="59"/>
      <c r="G235" s="59"/>
      <c r="H235" s="59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</row>
    <row r="236" ht="11.25" customHeight="1">
      <c r="A236" s="59"/>
      <c r="B236" s="59"/>
      <c r="C236" s="59"/>
      <c r="D236" s="59"/>
      <c r="E236" s="59"/>
      <c r="F236" s="59"/>
      <c r="G236" s="59"/>
      <c r="H236" s="59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</row>
    <row r="237" ht="11.25" customHeight="1">
      <c r="A237" s="59"/>
      <c r="B237" s="59"/>
      <c r="C237" s="59"/>
      <c r="D237" s="59"/>
      <c r="E237" s="59"/>
      <c r="F237" s="59"/>
      <c r="G237" s="59"/>
      <c r="H237" s="59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</row>
    <row r="238" ht="11.25" customHeight="1">
      <c r="A238" s="59"/>
      <c r="B238" s="59"/>
      <c r="C238" s="59"/>
      <c r="D238" s="59"/>
      <c r="E238" s="59"/>
      <c r="F238" s="59"/>
      <c r="G238" s="59"/>
      <c r="H238" s="59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7.0"/>
    <col customWidth="1" min="3" max="6" width="10.71"/>
    <col customWidth="1" min="7" max="7" width="13.71"/>
    <col customWidth="1" min="8" max="8" width="10.71"/>
  </cols>
  <sheetData>
    <row r="1">
      <c r="A1" s="57" t="s">
        <v>5</v>
      </c>
      <c r="B1" s="57"/>
      <c r="C1" s="261"/>
      <c r="D1" s="261"/>
      <c r="E1" s="261"/>
      <c r="F1" s="261"/>
      <c r="G1" s="261"/>
      <c r="H1" s="261"/>
    </row>
    <row r="2">
      <c r="A2" s="60" t="s">
        <v>124</v>
      </c>
      <c r="B2" s="57"/>
      <c r="C2" s="261"/>
      <c r="D2" s="261"/>
      <c r="E2" s="261"/>
      <c r="F2" s="261"/>
      <c r="G2" s="261"/>
      <c r="H2" s="261"/>
    </row>
    <row r="3">
      <c r="A3" s="60" t="s">
        <v>125</v>
      </c>
      <c r="C3" s="261" t="s">
        <v>126</v>
      </c>
      <c r="D3" s="261"/>
      <c r="E3" s="261"/>
      <c r="F3" s="261"/>
      <c r="G3" s="261"/>
      <c r="H3" s="261"/>
    </row>
    <row r="4">
      <c r="A4" s="60" t="s">
        <v>127</v>
      </c>
      <c r="B4" s="57"/>
      <c r="C4" s="261" t="s">
        <v>128</v>
      </c>
      <c r="D4" s="261"/>
      <c r="E4" s="261"/>
      <c r="F4" s="261"/>
      <c r="G4" s="261"/>
      <c r="H4" s="261"/>
    </row>
    <row r="5">
      <c r="A5" s="60" t="s">
        <v>129</v>
      </c>
      <c r="B5" s="57"/>
      <c r="C5" s="261" t="s">
        <v>128</v>
      </c>
      <c r="D5" s="261"/>
      <c r="E5" s="261"/>
      <c r="F5" s="261"/>
      <c r="G5" s="261"/>
      <c r="H5" s="261"/>
    </row>
    <row r="6">
      <c r="A6" s="262" t="s">
        <v>130</v>
      </c>
      <c r="B6" s="263" t="s">
        <v>1120</v>
      </c>
      <c r="C6" s="264"/>
      <c r="D6" s="264"/>
      <c r="E6" s="264"/>
      <c r="F6" s="264"/>
      <c r="G6" s="264"/>
      <c r="H6" s="264"/>
    </row>
    <row r="7">
      <c r="A7" s="58"/>
      <c r="B7" s="244"/>
      <c r="C7" s="261"/>
      <c r="D7" s="261"/>
      <c r="E7" s="261"/>
      <c r="F7" s="261"/>
      <c r="G7" s="261"/>
      <c r="H7" s="261"/>
    </row>
    <row r="8">
      <c r="A8" s="221" t="s">
        <v>235</v>
      </c>
      <c r="B8" s="221" t="s">
        <v>178</v>
      </c>
      <c r="C8" s="206" t="s">
        <v>135</v>
      </c>
      <c r="D8" s="207" t="s">
        <v>136</v>
      </c>
      <c r="E8" s="207" t="s">
        <v>237</v>
      </c>
      <c r="F8" s="207" t="s">
        <v>138</v>
      </c>
      <c r="G8" s="207" t="s">
        <v>139</v>
      </c>
      <c r="H8" s="207" t="s">
        <v>693</v>
      </c>
    </row>
    <row r="9">
      <c r="A9" s="42">
        <v>3.11234918E9</v>
      </c>
      <c r="B9" s="42" t="s">
        <v>1121</v>
      </c>
      <c r="C9" s="265">
        <v>250.0</v>
      </c>
      <c r="D9" s="225">
        <v>112.0</v>
      </c>
      <c r="E9" s="266" t="str">
        <f>'[2]AVL-9180'!E9</f>
        <v>#REF!</v>
      </c>
      <c r="F9" s="225" t="str">
        <f>E9/C9</f>
        <v>#REF!</v>
      </c>
      <c r="G9" s="267">
        <f t="shared" ref="G9:G15" si="1">(360/D9)</f>
        <v>3.214285714</v>
      </c>
      <c r="H9" s="267"/>
    </row>
    <row r="10">
      <c r="A10" s="42">
        <v>3.11043518E9</v>
      </c>
      <c r="B10" s="42" t="s">
        <v>1122</v>
      </c>
      <c r="C10" s="265">
        <v>1.0</v>
      </c>
      <c r="D10" s="265">
        <v>365.0</v>
      </c>
      <c r="E10" s="265"/>
      <c r="F10" s="225" t="str">
        <f>(E9/(0.009*450)/2500)</f>
        <v>#REF!</v>
      </c>
      <c r="G10" s="267">
        <f t="shared" si="1"/>
        <v>0.9863013699</v>
      </c>
      <c r="H10" s="267"/>
    </row>
    <row r="11">
      <c r="A11" s="42">
        <v>3.11155518E9</v>
      </c>
      <c r="B11" s="42" t="s">
        <v>1123</v>
      </c>
      <c r="C11" s="265">
        <v>1.0</v>
      </c>
      <c r="D11" s="265">
        <v>365.0</v>
      </c>
      <c r="E11" s="265"/>
      <c r="F11" s="225" t="str">
        <f>(E9/(0.009*450)/1250)</f>
        <v>#REF!</v>
      </c>
      <c r="G11" s="267">
        <f t="shared" si="1"/>
        <v>0.9863013699</v>
      </c>
      <c r="H11" s="267"/>
    </row>
    <row r="12">
      <c r="A12" s="42">
        <v>3.11036218E9</v>
      </c>
      <c r="B12" s="42" t="s">
        <v>1124</v>
      </c>
      <c r="C12" s="265">
        <v>1.0</v>
      </c>
      <c r="D12" s="265">
        <v>365.0</v>
      </c>
      <c r="E12" s="265"/>
      <c r="F12" s="225" t="str">
        <f>(E9/(0.009*450)/1250)</f>
        <v>#REF!</v>
      </c>
      <c r="G12" s="267">
        <f t="shared" si="1"/>
        <v>0.9863013699</v>
      </c>
      <c r="H12" s="267"/>
    </row>
    <row r="13">
      <c r="A13" s="13">
        <v>3.11024918E9</v>
      </c>
      <c r="B13" s="13" t="s">
        <v>1125</v>
      </c>
      <c r="C13" s="265">
        <v>1.0</v>
      </c>
      <c r="D13" s="265">
        <v>365.0</v>
      </c>
      <c r="E13" s="265"/>
      <c r="F13" s="225" t="str">
        <f>(E9/(0.009*300)/2500)</f>
        <v>#REF!</v>
      </c>
      <c r="G13" s="267">
        <f t="shared" si="1"/>
        <v>0.9863013699</v>
      </c>
      <c r="H13" s="267"/>
    </row>
    <row r="14">
      <c r="A14" s="42">
        <v>3.11288818E9</v>
      </c>
      <c r="B14" s="42" t="s">
        <v>1126</v>
      </c>
      <c r="C14" s="265">
        <v>30.0</v>
      </c>
      <c r="D14" s="265">
        <v>12.0</v>
      </c>
      <c r="E14" s="265"/>
      <c r="F14" s="225" t="str">
        <f>(E9/(0.008*450)/1250)</f>
        <v>#REF!</v>
      </c>
      <c r="G14" s="267">
        <f t="shared" si="1"/>
        <v>30</v>
      </c>
      <c r="H14" s="267"/>
    </row>
    <row r="15">
      <c r="A15" s="42">
        <v>3.112292018E9</v>
      </c>
      <c r="B15" s="42" t="s">
        <v>1127</v>
      </c>
      <c r="C15" s="265">
        <v>5.0</v>
      </c>
      <c r="D15" s="265">
        <v>73.0</v>
      </c>
      <c r="E15" s="265"/>
      <c r="F15" s="225" t="str">
        <f>(E9/(0.001*300)/1250)</f>
        <v>#REF!</v>
      </c>
      <c r="G15" s="267">
        <f t="shared" si="1"/>
        <v>4.931506849</v>
      </c>
      <c r="H15" s="267"/>
    </row>
    <row r="16">
      <c r="A16" s="42">
        <v>3.11041918E9</v>
      </c>
      <c r="B16" s="42" t="s">
        <v>1128</v>
      </c>
      <c r="C16" s="265">
        <v>1.0</v>
      </c>
      <c r="D16" s="265">
        <v>196.0</v>
      </c>
      <c r="E16" s="265"/>
      <c r="F16" s="225" t="str">
        <f>([2]BC!$B$47*28)/D16</f>
        <v>#ERROR!</v>
      </c>
      <c r="G16" s="267">
        <f t="shared" ref="G16:G21" si="2">(360/(D16))</f>
        <v>1.836734694</v>
      </c>
      <c r="H16" s="267"/>
    </row>
    <row r="17">
      <c r="A17" s="42">
        <v>3.11033818E9</v>
      </c>
      <c r="B17" s="42" t="s">
        <v>1129</v>
      </c>
      <c r="C17" s="265">
        <v>1.0</v>
      </c>
      <c r="D17" s="265">
        <v>140.0</v>
      </c>
      <c r="E17" s="265"/>
      <c r="F17" s="225" t="str">
        <f>([2]BC!$B$47*28)/D17</f>
        <v>#ERROR!</v>
      </c>
      <c r="G17" s="267">
        <f t="shared" si="2"/>
        <v>2.571428571</v>
      </c>
      <c r="H17" s="267"/>
    </row>
    <row r="18">
      <c r="A18" s="69">
        <v>3.11035418E9</v>
      </c>
      <c r="B18" s="42" t="s">
        <v>1130</v>
      </c>
      <c r="C18" s="265">
        <v>1.0</v>
      </c>
      <c r="D18" s="265">
        <v>84.0</v>
      </c>
      <c r="E18" s="265"/>
      <c r="F18" s="225" t="str">
        <f>([2]BC!$B$47*28)/D18</f>
        <v>#ERROR!</v>
      </c>
      <c r="G18" s="267">
        <f t="shared" si="2"/>
        <v>4.285714286</v>
      </c>
      <c r="H18" s="267"/>
    </row>
    <row r="19">
      <c r="A19" s="42">
        <v>3.11045118E9</v>
      </c>
      <c r="B19" s="42" t="s">
        <v>1131</v>
      </c>
      <c r="C19" s="265">
        <v>1.0</v>
      </c>
      <c r="D19" s="265">
        <v>84.0</v>
      </c>
      <c r="E19" s="265"/>
      <c r="F19" s="225" t="str">
        <f>([2]BC!$B$47*28)/D19</f>
        <v>#ERROR!</v>
      </c>
      <c r="G19" s="267">
        <f t="shared" si="2"/>
        <v>4.285714286</v>
      </c>
      <c r="H19" s="267"/>
    </row>
    <row r="20">
      <c r="A20" s="42">
        <v>3.11230618E9</v>
      </c>
      <c r="B20" s="42" t="s">
        <v>1132</v>
      </c>
      <c r="C20" s="265">
        <v>1.0</v>
      </c>
      <c r="D20" s="265">
        <v>308.0</v>
      </c>
      <c r="E20" s="265"/>
      <c r="F20" s="225" t="str">
        <f>([2]BC!$B$47*28)/D20</f>
        <v>#ERROR!</v>
      </c>
      <c r="G20" s="267">
        <f t="shared" si="2"/>
        <v>1.168831169</v>
      </c>
      <c r="H20" s="267"/>
    </row>
    <row r="21" ht="15.75" customHeight="1">
      <c r="A21" s="198">
        <v>3.11228418E9</v>
      </c>
      <c r="B21" s="42" t="s">
        <v>1133</v>
      </c>
      <c r="C21" s="265">
        <v>1.0</v>
      </c>
      <c r="D21" s="265">
        <v>308.0</v>
      </c>
      <c r="E21" s="265"/>
      <c r="F21" s="225" t="str">
        <f>([2]BC!$B$47*28)/D21</f>
        <v>#ERROR!</v>
      </c>
      <c r="G21" s="267">
        <f t="shared" si="2"/>
        <v>1.168831169</v>
      </c>
      <c r="H21" s="267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9.57"/>
    <col customWidth="1" min="3" max="7" width="10.71"/>
    <col customWidth="1" min="8" max="8" width="13.14"/>
  </cols>
  <sheetData>
    <row r="1">
      <c r="A1" s="57" t="s">
        <v>5</v>
      </c>
      <c r="B1" s="57"/>
      <c r="C1" s="4"/>
      <c r="D1" s="4"/>
      <c r="E1" s="4"/>
      <c r="F1" s="59"/>
      <c r="G1" s="4"/>
      <c r="H1" s="4"/>
    </row>
    <row r="2">
      <c r="A2" s="60" t="s">
        <v>124</v>
      </c>
      <c r="B2" s="57"/>
      <c r="C2" s="4"/>
      <c r="D2" s="4"/>
      <c r="E2" s="4"/>
      <c r="F2" s="59"/>
      <c r="G2" s="4"/>
      <c r="H2" s="4"/>
    </row>
    <row r="3">
      <c r="A3" s="60" t="s">
        <v>125</v>
      </c>
      <c r="C3" s="4" t="s">
        <v>126</v>
      </c>
      <c r="D3" s="4"/>
      <c r="E3" s="4"/>
      <c r="F3" s="59"/>
      <c r="G3" s="4"/>
      <c r="H3" s="4"/>
    </row>
    <row r="4">
      <c r="A4" s="60" t="s">
        <v>127</v>
      </c>
      <c r="B4" s="57"/>
      <c r="C4" s="4" t="s">
        <v>128</v>
      </c>
      <c r="D4" s="4"/>
      <c r="E4" s="4"/>
      <c r="F4" s="59"/>
      <c r="G4" s="4"/>
      <c r="H4" s="4"/>
    </row>
    <row r="5">
      <c r="A5" s="60" t="s">
        <v>129</v>
      </c>
      <c r="B5" s="57"/>
      <c r="C5" s="4" t="s">
        <v>128</v>
      </c>
      <c r="D5" s="4"/>
      <c r="E5" s="4"/>
      <c r="F5" s="59"/>
      <c r="G5" s="4"/>
      <c r="H5" s="4"/>
    </row>
    <row r="6">
      <c r="A6" s="268" t="s">
        <v>130</v>
      </c>
      <c r="B6" s="256"/>
      <c r="C6" s="269" t="s">
        <v>1134</v>
      </c>
      <c r="D6" s="270"/>
      <c r="E6" s="270"/>
      <c r="F6" s="257"/>
      <c r="G6" s="270"/>
      <c r="H6" s="270"/>
    </row>
    <row r="8">
      <c r="A8" s="204" t="s">
        <v>235</v>
      </c>
      <c r="B8" s="204" t="s">
        <v>178</v>
      </c>
      <c r="C8" s="204" t="s">
        <v>135</v>
      </c>
      <c r="D8" s="208" t="s">
        <v>1135</v>
      </c>
      <c r="E8" s="208" t="s">
        <v>237</v>
      </c>
      <c r="F8" s="208" t="s">
        <v>138</v>
      </c>
      <c r="G8" s="208" t="s">
        <v>139</v>
      </c>
      <c r="H8" s="271" t="s">
        <v>693</v>
      </c>
    </row>
    <row r="9">
      <c r="A9" s="38">
        <v>5.169992001E9</v>
      </c>
      <c r="B9" s="42" t="s">
        <v>1136</v>
      </c>
      <c r="C9" s="38">
        <v>200.0</v>
      </c>
      <c r="D9" s="265">
        <v>42.0</v>
      </c>
      <c r="E9" s="38"/>
      <c r="F9" s="38">
        <f>E9/C9</f>
        <v>0</v>
      </c>
      <c r="G9" s="71">
        <f t="shared" ref="G9:G13" si="1">(360/D9)</f>
        <v>8.571428571</v>
      </c>
      <c r="H9" s="124"/>
    </row>
    <row r="10">
      <c r="A10" s="265">
        <v>3.321207001E9</v>
      </c>
      <c r="B10" s="159" t="s">
        <v>1137</v>
      </c>
      <c r="C10" s="38">
        <v>30.0</v>
      </c>
      <c r="D10" s="265">
        <v>30.0</v>
      </c>
      <c r="E10" s="38"/>
      <c r="F10" s="38">
        <f t="shared" ref="F10:F12" si="2">360/C10</f>
        <v>12</v>
      </c>
      <c r="G10" s="71">
        <f t="shared" si="1"/>
        <v>12</v>
      </c>
      <c r="H10" s="124"/>
    </row>
    <row r="11">
      <c r="A11" s="38">
        <v>3.321193001E9</v>
      </c>
      <c r="B11" s="42" t="s">
        <v>1138</v>
      </c>
      <c r="C11" s="38">
        <v>30.0</v>
      </c>
      <c r="D11" s="38">
        <v>30.0</v>
      </c>
      <c r="E11" s="38"/>
      <c r="F11" s="38">
        <f t="shared" si="2"/>
        <v>12</v>
      </c>
      <c r="G11" s="71">
        <f t="shared" si="1"/>
        <v>12</v>
      </c>
      <c r="H11" s="124"/>
    </row>
    <row r="12">
      <c r="A12" s="38">
        <v>3.321215001E9</v>
      </c>
      <c r="B12" s="42" t="s">
        <v>1139</v>
      </c>
      <c r="C12" s="38">
        <v>30.0</v>
      </c>
      <c r="D12" s="38">
        <v>30.0</v>
      </c>
      <c r="E12" s="38"/>
      <c r="F12" s="38">
        <f t="shared" si="2"/>
        <v>12</v>
      </c>
      <c r="G12" s="71">
        <f t="shared" si="1"/>
        <v>12</v>
      </c>
      <c r="H12" s="124"/>
    </row>
    <row r="13">
      <c r="A13" s="265">
        <v>5.170478001E9</v>
      </c>
      <c r="B13" s="159" t="s">
        <v>1140</v>
      </c>
      <c r="C13" s="38">
        <v>1.0</v>
      </c>
      <c r="D13" s="265">
        <v>21.0</v>
      </c>
      <c r="E13" s="38"/>
      <c r="F13" s="38">
        <f>(360/D13)</f>
        <v>17.14285714</v>
      </c>
      <c r="G13" s="71">
        <f t="shared" si="1"/>
        <v>17.14285714</v>
      </c>
      <c r="H13" s="124"/>
    </row>
    <row r="14" ht="15.0" customHeight="1">
      <c r="A14" s="265">
        <v>5.082595001E9</v>
      </c>
      <c r="B14" s="159" t="s">
        <v>1141</v>
      </c>
      <c r="C14" s="38">
        <v>1.0</v>
      </c>
      <c r="D14" s="38">
        <v>365.0</v>
      </c>
      <c r="E14" s="38"/>
      <c r="F14" s="38">
        <f>(E9/(0.001*200)/1250)</f>
        <v>0</v>
      </c>
      <c r="G14" s="71">
        <f t="shared" ref="G14:G15" si="3">(365/D14)</f>
        <v>1</v>
      </c>
      <c r="H14" s="124"/>
    </row>
    <row r="15" ht="15.0" customHeight="1">
      <c r="A15" s="38">
        <v>5.689856001E9</v>
      </c>
      <c r="B15" s="42" t="s">
        <v>1142</v>
      </c>
      <c r="C15" s="38">
        <v>100.0</v>
      </c>
      <c r="D15" s="38">
        <v>365.0</v>
      </c>
      <c r="E15" s="38"/>
      <c r="F15" s="38">
        <f>E9/C15</f>
        <v>0</v>
      </c>
      <c r="G15" s="71">
        <f t="shared" si="3"/>
        <v>1</v>
      </c>
      <c r="H15" s="124"/>
    </row>
    <row r="16" ht="15.0" customHeight="1">
      <c r="A16" s="38">
        <v>3.066762001E9</v>
      </c>
      <c r="B16" s="42" t="s">
        <v>1143</v>
      </c>
      <c r="C16" s="38">
        <v>150.0</v>
      </c>
      <c r="D16" s="38">
        <v>365.0</v>
      </c>
      <c r="E16" s="38"/>
      <c r="F16" s="38">
        <f>((F10*D10)+(F11*D11)+(F12*D12))/C16</f>
        <v>7.2</v>
      </c>
      <c r="G16" s="71">
        <f>365/D16</f>
        <v>1</v>
      </c>
      <c r="H16" s="124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48.43"/>
    <col customWidth="1" min="3" max="8" width="10.71"/>
  </cols>
  <sheetData>
    <row r="1" ht="13.5" customHeight="1">
      <c r="A1" s="60" t="s">
        <v>127</v>
      </c>
      <c r="B1" s="57"/>
      <c r="C1" s="4" t="s">
        <v>128</v>
      </c>
      <c r="D1" s="4"/>
      <c r="E1" s="59"/>
      <c r="F1" s="4"/>
      <c r="G1" s="4"/>
      <c r="H1" s="4"/>
    </row>
    <row r="2" ht="13.5" customHeight="1">
      <c r="A2" s="60" t="s">
        <v>129</v>
      </c>
      <c r="B2" s="57"/>
      <c r="C2" s="4" t="s">
        <v>128</v>
      </c>
      <c r="D2" s="4"/>
      <c r="E2" s="59"/>
      <c r="F2" s="4"/>
      <c r="G2" s="4"/>
      <c r="H2" s="4"/>
    </row>
    <row r="3" ht="13.5" customHeight="1">
      <c r="A3" s="268" t="s">
        <v>130</v>
      </c>
      <c r="B3" s="256"/>
      <c r="C3" s="269" t="s">
        <v>1134</v>
      </c>
      <c r="D3" s="270"/>
      <c r="E3" s="257"/>
      <c r="F3" s="270"/>
      <c r="G3" s="270"/>
      <c r="H3" s="270"/>
    </row>
    <row r="4" ht="13.5" customHeight="1"/>
    <row r="5" ht="13.5" customHeight="1">
      <c r="A5" s="204" t="s">
        <v>235</v>
      </c>
      <c r="B5" s="204" t="s">
        <v>178</v>
      </c>
      <c r="C5" s="204" t="s">
        <v>135</v>
      </c>
      <c r="D5" s="208" t="s">
        <v>1135</v>
      </c>
      <c r="E5" s="208" t="s">
        <v>237</v>
      </c>
      <c r="F5" s="208" t="s">
        <v>138</v>
      </c>
      <c r="G5" s="208" t="s">
        <v>139</v>
      </c>
      <c r="H5" s="208" t="s">
        <v>693</v>
      </c>
    </row>
    <row r="6" ht="13.5" customHeight="1">
      <c r="A6" s="272">
        <v>8.03869419E9</v>
      </c>
      <c r="B6" s="272" t="s">
        <v>1144</v>
      </c>
      <c r="C6" s="273">
        <v>10.0</v>
      </c>
      <c r="D6" s="273"/>
      <c r="E6" s="273"/>
      <c r="F6" s="273">
        <f t="shared" ref="F6:F7" si="1">E6/C6</f>
        <v>0</v>
      </c>
      <c r="G6" s="273"/>
      <c r="H6" s="273"/>
    </row>
    <row r="7" ht="13.5" customHeight="1">
      <c r="A7" s="273">
        <v>6.38011519E9</v>
      </c>
      <c r="B7" s="273" t="s">
        <v>1145</v>
      </c>
      <c r="C7" s="273">
        <v>10.0</v>
      </c>
      <c r="D7" s="273"/>
      <c r="E7" s="273"/>
      <c r="F7" s="273">
        <f t="shared" si="1"/>
        <v>0</v>
      </c>
      <c r="G7" s="273"/>
      <c r="H7" s="273"/>
    </row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29.57"/>
    <col customWidth="1" min="3" max="7" width="11.43"/>
    <col customWidth="1" min="8" max="8" width="2.0"/>
    <col customWidth="1" min="9" max="24" width="10.71"/>
  </cols>
  <sheetData>
    <row r="1" ht="11.25" customHeight="1">
      <c r="A1" s="57" t="s">
        <v>5</v>
      </c>
      <c r="B1" s="57"/>
      <c r="C1" s="4"/>
      <c r="D1" s="4"/>
      <c r="E1" s="4"/>
      <c r="F1" s="59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ht="11.25" customHeight="1">
      <c r="A2" s="60" t="s">
        <v>124</v>
      </c>
      <c r="B2" s="57"/>
      <c r="C2" s="4"/>
      <c r="D2" s="4"/>
      <c r="E2" s="4"/>
      <c r="F2" s="59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ht="11.25" customHeight="1">
      <c r="A3" s="60" t="s">
        <v>125</v>
      </c>
      <c r="B3" s="4"/>
      <c r="C3" s="4" t="s">
        <v>126</v>
      </c>
      <c r="D3" s="4"/>
      <c r="E3" s="4"/>
      <c r="F3" s="59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ht="11.25" customHeight="1">
      <c r="A4" s="60" t="s">
        <v>127</v>
      </c>
      <c r="B4" s="57"/>
      <c r="C4" s="4" t="s">
        <v>128</v>
      </c>
      <c r="D4" s="4"/>
      <c r="E4" s="4"/>
      <c r="F4" s="59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ht="11.25" customHeight="1">
      <c r="A5" s="60" t="s">
        <v>129</v>
      </c>
      <c r="B5" s="57"/>
      <c r="C5" s="4" t="s">
        <v>128</v>
      </c>
      <c r="D5" s="4"/>
      <c r="E5" s="4"/>
      <c r="F5" s="59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ht="11.25" customHeight="1">
      <c r="A6" s="268" t="s">
        <v>130</v>
      </c>
      <c r="B6" s="256"/>
      <c r="C6" s="269" t="s">
        <v>1146</v>
      </c>
      <c r="D6" s="270"/>
      <c r="E6" s="270"/>
      <c r="F6" s="257"/>
      <c r="G6" s="270"/>
      <c r="H6" s="270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ht="11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>
      <c r="A8" s="206" t="s">
        <v>235</v>
      </c>
      <c r="B8" s="206" t="s">
        <v>178</v>
      </c>
      <c r="C8" s="206" t="s">
        <v>135</v>
      </c>
      <c r="D8" s="207" t="s">
        <v>1135</v>
      </c>
      <c r="E8" s="207" t="s">
        <v>1147</v>
      </c>
      <c r="F8" s="207" t="s">
        <v>138</v>
      </c>
      <c r="G8" s="274" t="s">
        <v>140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ht="11.25" customHeight="1">
      <c r="A9" s="275">
        <v>6.390552001E9</v>
      </c>
      <c r="B9" s="159" t="s">
        <v>1148</v>
      </c>
      <c r="C9" s="38">
        <v>400.0</v>
      </c>
      <c r="D9" s="255"/>
      <c r="E9" s="255"/>
      <c r="F9" s="42"/>
      <c r="G9" s="229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ht="11.25" customHeight="1">
      <c r="A10" s="275">
        <v>6.334601001E9</v>
      </c>
      <c r="B10" s="159" t="s">
        <v>1149</v>
      </c>
      <c r="C10" s="38">
        <v>400.0</v>
      </c>
      <c r="D10" s="255"/>
      <c r="E10" s="255"/>
      <c r="F10" s="42"/>
      <c r="G10" s="229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ht="11.25" customHeight="1">
      <c r="A11" s="205" t="s">
        <v>224</v>
      </c>
      <c r="B11" s="179"/>
      <c r="C11" s="276"/>
      <c r="D11" s="277"/>
      <c r="E11" s="277"/>
      <c r="F11" s="237"/>
      <c r="G11" s="278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ht="11.25" customHeight="1">
      <c r="A12" s="275">
        <v>6.390579001E9</v>
      </c>
      <c r="B12" s="159" t="s">
        <v>1150</v>
      </c>
      <c r="C12" s="38" t="s">
        <v>1151</v>
      </c>
      <c r="D12" s="38" t="s">
        <v>1152</v>
      </c>
      <c r="E12" s="42"/>
      <c r="F12" s="42"/>
      <c r="G12" s="229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ht="11.25" customHeight="1">
      <c r="A13" s="187">
        <v>8.181004001E9</v>
      </c>
      <c r="B13" s="42" t="s">
        <v>1153</v>
      </c>
      <c r="C13" s="38">
        <v>1.0</v>
      </c>
      <c r="D13" s="255" t="s">
        <v>1154</v>
      </c>
      <c r="E13" s="42"/>
      <c r="F13" s="42"/>
      <c r="G13" s="229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ht="11.25" customHeight="1">
      <c r="A14" s="42">
        <v>6.390544001E9</v>
      </c>
      <c r="B14" s="42" t="s">
        <v>1155</v>
      </c>
      <c r="C14" s="38"/>
      <c r="D14" s="38"/>
      <c r="E14" s="38"/>
      <c r="F14" s="42"/>
      <c r="G14" s="229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ht="11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ht="11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ht="11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ht="11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ht="11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ht="11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ht="11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ht="11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ht="11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ht="11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ht="11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ht="11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ht="11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ht="11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ht="11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ht="11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ht="11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ht="11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ht="11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ht="11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ht="11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ht="11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ht="11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ht="11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ht="11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ht="11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ht="11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ht="11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ht="11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ht="11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ht="11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ht="11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ht="11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ht="11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ht="11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ht="11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ht="11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ht="11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ht="11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ht="11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ht="11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ht="11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ht="11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ht="11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ht="11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ht="11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ht="11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ht="11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ht="11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ht="11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ht="11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ht="11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ht="11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ht="11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ht="11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ht="11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ht="11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ht="11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ht="11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ht="11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ht="11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ht="11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ht="11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ht="11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ht="11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ht="11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ht="11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ht="11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ht="11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ht="11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ht="11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ht="11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ht="11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ht="11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ht="11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ht="11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ht="11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ht="11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ht="11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ht="11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ht="11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ht="11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ht="11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ht="11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ht="11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ht="11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ht="11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ht="11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ht="11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ht="11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ht="11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ht="11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ht="11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ht="11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ht="11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ht="11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ht="11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ht="11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ht="11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ht="11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ht="11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ht="11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ht="11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ht="11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ht="11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ht="11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ht="11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ht="11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ht="11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ht="11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ht="11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ht="11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ht="11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ht="11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ht="11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ht="11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ht="11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ht="11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ht="11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ht="11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ht="11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ht="11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ht="11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ht="11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ht="11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ht="11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ht="11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ht="11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ht="11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ht="11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ht="11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ht="11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ht="11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ht="11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ht="11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ht="11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ht="11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ht="11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ht="11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ht="11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ht="11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ht="11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ht="11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ht="11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ht="11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ht="11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ht="11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ht="11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ht="11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ht="11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ht="11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ht="11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ht="11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ht="11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ht="11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ht="11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ht="11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ht="11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ht="11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ht="11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ht="11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ht="11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ht="11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ht="11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ht="11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ht="11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ht="11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ht="11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ht="11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ht="11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ht="11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ht="11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ht="11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ht="11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ht="11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ht="11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ht="11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ht="11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ht="11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ht="11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ht="11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ht="11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ht="11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ht="11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ht="11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ht="11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ht="11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ht="11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ht="11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ht="11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ht="11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ht="11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ht="11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ht="11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ht="11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ht="11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ht="11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ht="11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ht="11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ht="11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ht="11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ht="11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ht="11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ht="11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ht="11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ht="11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1:B11"/>
  </mergeCells>
  <printOptions/>
  <pageMargins bottom="0.75" footer="0.0" header="0.0" left="0.7" right="0.7" top="0.75"/>
  <pageSetup orientation="landscape"/>
  <drawing r:id="rId1"/>
</worksheet>
</file>