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partamento de TI\Desktop\PROYECTOS\FamSPI\Mapeador_Sheets\"/>
    </mc:Choice>
  </mc:AlternateContent>
  <xr:revisionPtr revIDLastSave="0" documentId="8_{5886CFA3-8693-410B-99B6-22A2DE847243}" xr6:coauthVersionLast="47" xr6:coauthVersionMax="47" xr10:uidLastSave="{00000000-0000-0000-0000-000000000000}"/>
  <bookViews>
    <workbookView xWindow="1440" yWindow="1944" windowWidth="21600" windowHeight="12456" xr2:uid="{00000000-000D-0000-FFFF-FFFF00000000}"/>
  </bookViews>
  <sheets>
    <sheet name="BC" sheetId="1" r:id="rId1"/>
    <sheet name="XP 300" sheetId="2" r:id="rId2"/>
    <sheet name="XN-L" sheetId="3" r:id="rId3"/>
    <sheet name="XN 1000" sheetId="4" r:id="rId4"/>
    <sheet name="c111" sheetId="5" r:id="rId5"/>
    <sheet name="c311" sheetId="6" r:id="rId6"/>
    <sheet name="e411" sheetId="7" r:id="rId7"/>
    <sheet name="c303 c503" sheetId="8" r:id="rId8"/>
    <sheet name=" e402 e801" sheetId="9" r:id="rId9"/>
    <sheet name="t411 h232" sheetId="10" r:id="rId10"/>
    <sheet name="AVL 9180" sheetId="11" r:id="rId11"/>
    <sheet name="b123" sheetId="12" r:id="rId12"/>
    <sheet name="b101" sheetId="13" r:id="rId13"/>
    <sheet name="u6500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3" l="1"/>
  <c r="F6" i="13"/>
  <c r="G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F16" i="12" s="1"/>
  <c r="G9" i="12"/>
  <c r="F9" i="12"/>
  <c r="G21" i="11"/>
  <c r="G20" i="11"/>
  <c r="G19" i="11"/>
  <c r="G18" i="11"/>
  <c r="G17" i="11"/>
  <c r="G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F38" i="10"/>
  <c r="F37" i="10"/>
  <c r="H37" i="10" s="1"/>
  <c r="H36" i="10"/>
  <c r="F36" i="10"/>
  <c r="F35" i="10"/>
  <c r="H35" i="10" s="1"/>
  <c r="F34" i="10"/>
  <c r="H34" i="10" s="1"/>
  <c r="E27" i="10"/>
  <c r="G26" i="10"/>
  <c r="E26" i="10"/>
  <c r="F26" i="10" s="1"/>
  <c r="G25" i="10"/>
  <c r="F25" i="10"/>
  <c r="E25" i="10"/>
  <c r="G24" i="10"/>
  <c r="F24" i="10"/>
  <c r="E24" i="10"/>
  <c r="G23" i="10"/>
  <c r="F23" i="10"/>
  <c r="E23" i="10"/>
  <c r="G22" i="10"/>
  <c r="F22" i="10"/>
  <c r="E22" i="10"/>
  <c r="G21" i="10"/>
  <c r="E21" i="10"/>
  <c r="F21" i="10" s="1"/>
  <c r="F19" i="10"/>
  <c r="E19" i="10"/>
  <c r="G18" i="10"/>
  <c r="F18" i="10"/>
  <c r="E18" i="10"/>
  <c r="G17" i="10"/>
  <c r="F17" i="10"/>
  <c r="F16" i="10"/>
  <c r="E16" i="10"/>
  <c r="F15" i="10"/>
  <c r="E15" i="10"/>
  <c r="F14" i="10"/>
  <c r="E14" i="10"/>
  <c r="G13" i="10"/>
  <c r="F13" i="10"/>
  <c r="E13" i="10"/>
  <c r="G12" i="10"/>
  <c r="E12" i="10"/>
  <c r="F12" i="10" s="1"/>
  <c r="G11" i="10"/>
  <c r="F11" i="10"/>
  <c r="G10" i="10"/>
  <c r="F10" i="10"/>
  <c r="H261" i="9"/>
  <c r="G261" i="9"/>
  <c r="G260" i="9"/>
  <c r="H260" i="9" s="1"/>
  <c r="G259" i="9"/>
  <c r="H259" i="9" s="1"/>
  <c r="H258" i="9"/>
  <c r="G258" i="9"/>
  <c r="G257" i="9"/>
  <c r="H257" i="9" s="1"/>
  <c r="G256" i="9"/>
  <c r="H256" i="9" s="1"/>
  <c r="G255" i="9"/>
  <c r="H255" i="9" s="1"/>
  <c r="G254" i="9"/>
  <c r="H254" i="9" s="1"/>
  <c r="G253" i="9"/>
  <c r="H253" i="9" s="1"/>
  <c r="G252" i="9"/>
  <c r="H252" i="9" s="1"/>
  <c r="G251" i="9"/>
  <c r="H251" i="9" s="1"/>
  <c r="G250" i="9"/>
  <c r="H250" i="9" s="1"/>
  <c r="H249" i="9"/>
  <c r="G249" i="9"/>
  <c r="G248" i="9"/>
  <c r="H248" i="9" s="1"/>
  <c r="G247" i="9"/>
  <c r="H247" i="9" s="1"/>
  <c r="H246" i="9"/>
  <c r="G246" i="9"/>
  <c r="G245" i="9"/>
  <c r="H245" i="9" s="1"/>
  <c r="G244" i="9"/>
  <c r="H244" i="9" s="1"/>
  <c r="G243" i="9"/>
  <c r="H243" i="9" s="1"/>
  <c r="G242" i="9"/>
  <c r="H242" i="9" s="1"/>
  <c r="G241" i="9"/>
  <c r="H241" i="9" s="1"/>
  <c r="G240" i="9"/>
  <c r="H240" i="9" s="1"/>
  <c r="G239" i="9"/>
  <c r="H239" i="9" s="1"/>
  <c r="G238" i="9"/>
  <c r="H238" i="9" s="1"/>
  <c r="H237" i="9"/>
  <c r="G237" i="9"/>
  <c r="G236" i="9"/>
  <c r="H236" i="9" s="1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E112" i="9"/>
  <c r="G111" i="9"/>
  <c r="F111" i="9"/>
  <c r="G110" i="9"/>
  <c r="F110" i="9"/>
  <c r="G109" i="9"/>
  <c r="F109" i="9"/>
  <c r="G108" i="9"/>
  <c r="F108" i="9"/>
  <c r="G107" i="9"/>
  <c r="F107" i="9"/>
  <c r="G106" i="9"/>
  <c r="F106" i="9"/>
  <c r="G105" i="9"/>
  <c r="F105" i="9"/>
  <c r="G104" i="9"/>
  <c r="F104" i="9"/>
  <c r="G103" i="9"/>
  <c r="F103" i="9"/>
  <c r="G102" i="9"/>
  <c r="F102" i="9"/>
  <c r="G101" i="9"/>
  <c r="F101" i="9"/>
  <c r="G100" i="9"/>
  <c r="F100" i="9"/>
  <c r="G99" i="9"/>
  <c r="F99" i="9"/>
  <c r="G98" i="9"/>
  <c r="F98" i="9"/>
  <c r="G97" i="9"/>
  <c r="F97" i="9"/>
  <c r="G96" i="9"/>
  <c r="F96" i="9"/>
  <c r="G95" i="9"/>
  <c r="F95" i="9"/>
  <c r="G94" i="9"/>
  <c r="F94" i="9"/>
  <c r="G93" i="9"/>
  <c r="F93" i="9"/>
  <c r="G92" i="9"/>
  <c r="F92" i="9"/>
  <c r="G91" i="9"/>
  <c r="F91" i="9"/>
  <c r="G90" i="9"/>
  <c r="F90" i="9"/>
  <c r="G89" i="9"/>
  <c r="F89" i="9"/>
  <c r="G88" i="9"/>
  <c r="F88" i="9"/>
  <c r="G87" i="9"/>
  <c r="F87" i="9"/>
  <c r="G86" i="9"/>
  <c r="F86" i="9"/>
  <c r="G85" i="9"/>
  <c r="F85" i="9"/>
  <c r="G84" i="9"/>
  <c r="F84" i="9"/>
  <c r="G83" i="9"/>
  <c r="F83" i="9"/>
  <c r="G82" i="9"/>
  <c r="F82" i="9"/>
  <c r="G81" i="9"/>
  <c r="F81" i="9"/>
  <c r="G80" i="9"/>
  <c r="F80" i="9"/>
  <c r="G79" i="9"/>
  <c r="F79" i="9"/>
  <c r="G78" i="9"/>
  <c r="F78" i="9"/>
  <c r="G77" i="9"/>
  <c r="F77" i="9"/>
  <c r="G76" i="9"/>
  <c r="F76" i="9"/>
  <c r="G75" i="9"/>
  <c r="F75" i="9"/>
  <c r="G74" i="9"/>
  <c r="F74" i="9"/>
  <c r="G73" i="9"/>
  <c r="F73" i="9"/>
  <c r="G72" i="9"/>
  <c r="F72" i="9"/>
  <c r="G71" i="9"/>
  <c r="F71" i="9"/>
  <c r="G70" i="9"/>
  <c r="F70" i="9"/>
  <c r="G69" i="9"/>
  <c r="F69" i="9"/>
  <c r="G68" i="9"/>
  <c r="F68" i="9"/>
  <c r="G67" i="9"/>
  <c r="F67" i="9"/>
  <c r="G66" i="9"/>
  <c r="F66" i="9"/>
  <c r="G65" i="9"/>
  <c r="F65" i="9"/>
  <c r="G64" i="9"/>
  <c r="F64" i="9"/>
  <c r="G63" i="9"/>
  <c r="F63" i="9"/>
  <c r="G62" i="9"/>
  <c r="F62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F83" i="8"/>
  <c r="H82" i="8"/>
  <c r="G82" i="8"/>
  <c r="H81" i="8"/>
  <c r="G81" i="8"/>
  <c r="H80" i="8"/>
  <c r="G80" i="8"/>
  <c r="H79" i="8"/>
  <c r="G79" i="8"/>
  <c r="H78" i="8"/>
  <c r="G78" i="8"/>
  <c r="H77" i="8"/>
  <c r="G77" i="8"/>
  <c r="H76" i="8"/>
  <c r="G76" i="8"/>
  <c r="H75" i="8"/>
  <c r="G75" i="8"/>
  <c r="H74" i="8"/>
  <c r="G74" i="8"/>
  <c r="H73" i="8"/>
  <c r="G73" i="8"/>
  <c r="H72" i="8"/>
  <c r="G72" i="8"/>
  <c r="H71" i="8"/>
  <c r="G71" i="8"/>
  <c r="H70" i="8"/>
  <c r="G70" i="8"/>
  <c r="H69" i="8"/>
  <c r="G69" i="8"/>
  <c r="H68" i="8"/>
  <c r="G68" i="8"/>
  <c r="H67" i="8"/>
  <c r="G67" i="8"/>
  <c r="H66" i="8"/>
  <c r="G66" i="8"/>
  <c r="H65" i="8"/>
  <c r="G65" i="8"/>
  <c r="H64" i="8"/>
  <c r="G64" i="8"/>
  <c r="H63" i="8"/>
  <c r="G63" i="8"/>
  <c r="H62" i="8"/>
  <c r="G62" i="8"/>
  <c r="H61" i="8"/>
  <c r="G61" i="8"/>
  <c r="H60" i="8"/>
  <c r="G60" i="8"/>
  <c r="H59" i="8"/>
  <c r="G59" i="8"/>
  <c r="H58" i="8"/>
  <c r="G58" i="8"/>
  <c r="H57" i="8"/>
  <c r="G57" i="8"/>
  <c r="H56" i="8"/>
  <c r="G56" i="8"/>
  <c r="H55" i="8"/>
  <c r="G55" i="8"/>
  <c r="H54" i="8"/>
  <c r="G54" i="8"/>
  <c r="H53" i="8"/>
  <c r="G53" i="8"/>
  <c r="H52" i="8"/>
  <c r="G52" i="8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H33" i="8"/>
  <c r="G33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230" i="7"/>
  <c r="H229" i="7"/>
  <c r="H228" i="7"/>
  <c r="H227" i="7"/>
  <c r="H226" i="7"/>
  <c r="H225" i="7"/>
  <c r="H224" i="7"/>
  <c r="H223" i="7"/>
  <c r="H222" i="7"/>
  <c r="H221" i="7"/>
  <c r="H220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F103" i="7"/>
  <c r="H102" i="7"/>
  <c r="G102" i="7"/>
  <c r="H101" i="7"/>
  <c r="G101" i="7"/>
  <c r="H100" i="7"/>
  <c r="G100" i="7"/>
  <c r="H99" i="7"/>
  <c r="G99" i="7"/>
  <c r="H98" i="7"/>
  <c r="G98" i="7"/>
  <c r="H97" i="7"/>
  <c r="G97" i="7"/>
  <c r="H96" i="7"/>
  <c r="G96" i="7"/>
  <c r="H95" i="7"/>
  <c r="G95" i="7"/>
  <c r="H94" i="7"/>
  <c r="G94" i="7"/>
  <c r="H93" i="7"/>
  <c r="G93" i="7"/>
  <c r="H92" i="7"/>
  <c r="G92" i="7"/>
  <c r="H91" i="7"/>
  <c r="G91" i="7"/>
  <c r="H90" i="7"/>
  <c r="G90" i="7"/>
  <c r="H89" i="7"/>
  <c r="G89" i="7"/>
  <c r="H88" i="7"/>
  <c r="G88" i="7"/>
  <c r="H87" i="7"/>
  <c r="G87" i="7"/>
  <c r="H86" i="7"/>
  <c r="G86" i="7"/>
  <c r="H85" i="7"/>
  <c r="G85" i="7"/>
  <c r="H84" i="7"/>
  <c r="G84" i="7"/>
  <c r="H83" i="7"/>
  <c r="G83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G141" i="6"/>
  <c r="G140" i="6"/>
  <c r="G139" i="6"/>
  <c r="G138" i="6"/>
  <c r="G137" i="6"/>
  <c r="G136" i="6"/>
  <c r="G135" i="6"/>
  <c r="G134" i="6"/>
  <c r="G133" i="6"/>
  <c r="G132" i="6"/>
  <c r="G131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E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63" i="5"/>
  <c r="G62" i="5"/>
  <c r="G61" i="5"/>
  <c r="G60" i="5"/>
  <c r="G59" i="5"/>
  <c r="G58" i="5"/>
  <c r="G57" i="5"/>
  <c r="G56" i="5"/>
  <c r="G55" i="5"/>
  <c r="G53" i="5"/>
  <c r="G52" i="5"/>
  <c r="G51" i="5"/>
  <c r="G50" i="5"/>
  <c r="G49" i="5"/>
  <c r="G48" i="5"/>
  <c r="G47" i="5"/>
  <c r="G45" i="5"/>
  <c r="G44" i="5"/>
  <c r="G43" i="5"/>
  <c r="G42" i="5"/>
  <c r="G41" i="5"/>
  <c r="G40" i="5"/>
  <c r="G39" i="5"/>
  <c r="E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D22" i="4"/>
  <c r="G22" i="4" s="1"/>
  <c r="G21" i="4"/>
  <c r="G20" i="4"/>
  <c r="G19" i="4"/>
  <c r="G18" i="4"/>
  <c r="D17" i="4"/>
  <c r="G17" i="4" s="1"/>
  <c r="D16" i="4"/>
  <c r="G16" i="4" s="1"/>
  <c r="G15" i="4"/>
  <c r="G14" i="4"/>
  <c r="G13" i="4"/>
  <c r="G12" i="4"/>
  <c r="G11" i="4"/>
  <c r="G10" i="4"/>
  <c r="G9" i="4"/>
  <c r="D18" i="3"/>
  <c r="G18" i="3" s="1"/>
  <c r="G17" i="3"/>
  <c r="G16" i="3"/>
  <c r="D15" i="3"/>
  <c r="G15" i="3" s="1"/>
  <c r="D14" i="3"/>
  <c r="G14" i="3" s="1"/>
  <c r="G12" i="3"/>
  <c r="G11" i="3"/>
  <c r="G10" i="3"/>
  <c r="G9" i="3"/>
  <c r="G12" i="2"/>
  <c r="D11" i="2"/>
  <c r="G11" i="2" s="1"/>
  <c r="G10" i="2"/>
  <c r="G9" i="2"/>
  <c r="D123" i="1"/>
  <c r="D122" i="1"/>
  <c r="D121" i="1"/>
  <c r="F120" i="1"/>
  <c r="D120" i="1"/>
  <c r="B56" i="1"/>
</calcChain>
</file>

<file path=xl/sharedStrings.xml><?xml version="1.0" encoding="utf-8"?>
<sst xmlns="http://schemas.openxmlformats.org/spreadsheetml/2006/main" count="1802" uniqueCount="1159">
  <si>
    <t>INFORMACIÓN GENERAL PARA CASO DE NEGOCIO (BC)</t>
  </si>
  <si>
    <t>Actualización: 15 enero 2026 17:05</t>
  </si>
  <si>
    <t>FECHA MAXIMA PARA CALCULO DE CONSUMIBLES (NO MENOR A 48 HORAS)</t>
  </si>
  <si>
    <t>TIPO DE CLIENTE</t>
  </si>
  <si>
    <t>ENTIDAD CONTRATANTE</t>
  </si>
  <si>
    <t>CLIENTE</t>
  </si>
  <si>
    <t>Código del Proceso</t>
  </si>
  <si>
    <t>Objeto de contratación</t>
  </si>
  <si>
    <t>Provincia /Ciudad</t>
  </si>
  <si>
    <t>* Ambiente de Laboratorio :</t>
  </si>
  <si>
    <t>Número de días por semana que trabaja el laboratorio</t>
  </si>
  <si>
    <t>Turnos por dia</t>
  </si>
  <si>
    <t>Horas por turno</t>
  </si>
  <si>
    <t>Controles de calidad por turno</t>
  </si>
  <si>
    <t>Niveles de Control</t>
  </si>
  <si>
    <t>Frecuencia de controles de calidad  (Rutina)</t>
  </si>
  <si>
    <t>Pruebas Especiales</t>
  </si>
  <si>
    <t>Frecuencia de controles de calidad pruebas especiales</t>
  </si>
  <si>
    <t>*Equipamiento</t>
  </si>
  <si>
    <t>Nombre de Equipo Principal</t>
  </si>
  <si>
    <t>Estado de equipo principal (nuevo / usado/ año de fabricación) TDR</t>
  </si>
  <si>
    <t>Estado de equipo: Propio / Alquilado /Nuevo /Reservado/ Serie (FAM)</t>
  </si>
  <si>
    <t>Imagen reserva de equipo</t>
  </si>
  <si>
    <t>Nombre de Equipo Back up</t>
  </si>
  <si>
    <t>Estado de equipo back up (nuevo / usado/ año de fabricación)</t>
  </si>
  <si>
    <t>Se debe instalar a la par del equipo principal? SI/NO</t>
  </si>
  <si>
    <t>Ubicación de los equipos a instalar</t>
  </si>
  <si>
    <t>Permite equipo provisional</t>
  </si>
  <si>
    <t>Requiere equipo complementario) SI/NO</t>
  </si>
  <si>
    <t>Equipo complementario, para que prueba</t>
  </si>
  <si>
    <t>*LIS</t>
  </si>
  <si>
    <t>Incluye LIS : Si / No</t>
  </si>
  <si>
    <t>Proveedor del sistema a trabajar</t>
  </si>
  <si>
    <t>Incluye Hadware: Si/No</t>
  </si>
  <si>
    <r>
      <rPr>
        <sz val="8"/>
        <color rgb="FF000000"/>
        <rFont val="Calibri"/>
      </rPr>
      <t xml:space="preserve">Número de pacientes </t>
    </r>
    <r>
      <rPr>
        <b/>
        <sz val="8"/>
        <color rgb="FF000000"/>
        <rFont val="Calibri"/>
      </rPr>
      <t>MENSUAL</t>
    </r>
  </si>
  <si>
    <t>Interfaz a sistema actual</t>
  </si>
  <si>
    <t>Nombre del sistema</t>
  </si>
  <si>
    <t>Proveedor</t>
  </si>
  <si>
    <t>Interfaz de equipos</t>
  </si>
  <si>
    <t>Modelo / Proveedor</t>
  </si>
  <si>
    <t>* Requerimiento del BC:</t>
  </si>
  <si>
    <t>Cobro de arriendo del equipamiento: Si / NO (GERENCIA)</t>
  </si>
  <si>
    <t>Plazo</t>
  </si>
  <si>
    <t>Proyección de plazo</t>
  </si>
  <si>
    <t>*Compra</t>
  </si>
  <si>
    <t>Presupuesto Referencial del proceso</t>
  </si>
  <si>
    <t>Porcentaje máximo de canje</t>
  </si>
  <si>
    <t>Compromiso de compra (GERENCIA)</t>
  </si>
  <si>
    <t>*Entregas</t>
  </si>
  <si>
    <t>Total/Parcial - tiempo/Parcial a necesidad del laboratorio</t>
  </si>
  <si>
    <t>Determinacion Efectiva Si/No</t>
  </si>
  <si>
    <t>Observaciones</t>
  </si>
  <si>
    <t>*Inversiones adicionales</t>
  </si>
  <si>
    <t>Características</t>
  </si>
  <si>
    <t>Estado</t>
  </si>
  <si>
    <t>Cantidad</t>
  </si>
  <si>
    <t>Precio</t>
  </si>
  <si>
    <t>Total</t>
  </si>
  <si>
    <t>Control externo de tercera opinión</t>
  </si>
  <si>
    <t>$ -</t>
  </si>
  <si>
    <t>Control interno interlaboratorial</t>
  </si>
  <si>
    <t>Póliza de Fiel Cumplimiento del Contrato</t>
  </si>
  <si>
    <t>Póliza de seguro de equipos</t>
  </si>
  <si>
    <t>Ups equipo</t>
  </si>
  <si>
    <t>Ups servidor</t>
  </si>
  <si>
    <t>LIS</t>
  </si>
  <si>
    <t>Interfaz</t>
  </si>
  <si>
    <t>Lantronix</t>
  </si>
  <si>
    <t>IP publica</t>
  </si>
  <si>
    <t>Punto de consulta web</t>
  </si>
  <si>
    <t>Internet</t>
  </si>
  <si>
    <t>Router para Internet</t>
  </si>
  <si>
    <t>Servidor</t>
  </si>
  <si>
    <t>Computadores</t>
  </si>
  <si>
    <t>Mantenimiento Computador</t>
  </si>
  <si>
    <t>Impresora</t>
  </si>
  <si>
    <t>Man</t>
  </si>
  <si>
    <t>Tinta</t>
  </si>
  <si>
    <t>Toner para impresora de equipos (en caso de dejar las impresoras)</t>
  </si>
  <si>
    <t>Impresora Zebra Termica ZD230 ETHERNET Y USB</t>
  </si>
  <si>
    <t>Lector inalambrico de codigo de barra</t>
  </si>
  <si>
    <t>Sistema de destilación de agua pequeño</t>
  </si>
  <si>
    <t>Sistema de osmosis</t>
  </si>
  <si>
    <t>Mantenimiento sistema de osmosis</t>
  </si>
  <si>
    <t>Sistema de prefiltracion</t>
  </si>
  <si>
    <t>Mantenimiento sistema pre filtración</t>
  </si>
  <si>
    <t>Tanque para resina mixta (muerta)</t>
  </si>
  <si>
    <t>Estructura de proteccion para sistema de agua</t>
  </si>
  <si>
    <t>MEMBRANE EQ.OSMOSIS, AG2521TF  2.5 diam</t>
  </si>
  <si>
    <t>FILTER NOM. P/SEDIMENTS PX10-20XX  PURTR (CARBON - AZUL)</t>
  </si>
  <si>
    <t>FILTER NOM.P/SEDIMENTS GX05-20XX  HYTREX (FIBRA - PAPEL - PAPEL)</t>
  </si>
  <si>
    <t>RESINA IONICA REGENERADA 20 "</t>
  </si>
  <si>
    <t>RESINA MUERTA 16kilos</t>
  </si>
  <si>
    <t>Sal en grano x quintal</t>
  </si>
  <si>
    <t>Modificaciones de espacio fisico - estructura</t>
  </si>
  <si>
    <t>Modificaciones de espacio fisico - mobiliario</t>
  </si>
  <si>
    <t>Climatizacion del area</t>
  </si>
  <si>
    <t>Rollo de cable UTP CAT5e x 100m</t>
  </si>
  <si>
    <t>Conector RJ45 Delta CAT5E x 50 unds</t>
  </si>
  <si>
    <t>Rack Cerrado POWEST 5UR</t>
  </si>
  <si>
    <t>Switch HP Aruba Ion 5 puertos</t>
  </si>
  <si>
    <t>Switch HP Aruba Ion 1430 24 puertos</t>
  </si>
  <si>
    <t>Extensiones y cortapicos</t>
  </si>
  <si>
    <t>Extras (tairas, canaletas, espiral plastico)</t>
  </si>
  <si>
    <t>Etiquetas</t>
  </si>
  <si>
    <t>A4 printer paper</t>
  </si>
  <si>
    <t>Refrigerador panorámico</t>
  </si>
  <si>
    <t>Refrigerador médico</t>
  </si>
  <si>
    <t>Termometro para refrigerador</t>
  </si>
  <si>
    <t>Termohigrometros</t>
  </si>
  <si>
    <t>Cronometros digitales</t>
  </si>
  <si>
    <t>Centrifuga</t>
  </si>
  <si>
    <t>Servicio Logisticos Proveedores</t>
  </si>
  <si>
    <t>Servicio Logisticos Clientes</t>
  </si>
  <si>
    <t>Ampolla de agua bidestilada</t>
  </si>
  <si>
    <t>Agua destilada por galón</t>
  </si>
  <si>
    <t>Hisopos x 100 uds</t>
  </si>
  <si>
    <t>Gasas x 100 uds</t>
  </si>
  <si>
    <t>Alcohol prepad 10 x 100 uds</t>
  </si>
  <si>
    <t>Tubos eppendorf X 500 UDS</t>
  </si>
  <si>
    <t xml:space="preserve">Otros </t>
  </si>
  <si>
    <t>Sub total</t>
  </si>
  <si>
    <t>¿Porque es importante ganar este proceso ?</t>
  </si>
  <si>
    <t>OBJETIVO SMART +  ESTRATEGIA</t>
  </si>
  <si>
    <t>FECHA</t>
  </si>
  <si>
    <t>MODALIDAD</t>
  </si>
  <si>
    <t>DETERMINACIÓN/ DETERMINACIÓN EFECTIVA/COMODATO TODO COBRADO/COMODATO POR DETERMINACIÓN/EQUIPO ALQUILADO</t>
  </si>
  <si>
    <t>PLAZO</t>
  </si>
  <si>
    <t>MESES</t>
  </si>
  <si>
    <t>PROYECCIÓN</t>
  </si>
  <si>
    <t>EQUIPO</t>
  </si>
  <si>
    <t>XP 300</t>
  </si>
  <si>
    <t>Parámetro</t>
  </si>
  <si>
    <t>ID</t>
  </si>
  <si>
    <t>PRODUCTO</t>
  </si>
  <si>
    <t>DET/KIT</t>
  </si>
  <si>
    <t>DIAS ESTABILIDAD</t>
  </si>
  <si>
    <t>DET/AÑO PROCESO</t>
  </si>
  <si>
    <t>PRODUCTO CALCULADO</t>
  </si>
  <si>
    <t>MINIMOS POR ESTABILIDAD</t>
  </si>
  <si>
    <t>PRODUCTO A ENTREGAR</t>
  </si>
  <si>
    <t>REGISTROS SANITARIOS</t>
  </si>
  <si>
    <t>VIGENCIA</t>
  </si>
  <si>
    <t>Biometria básica</t>
  </si>
  <si>
    <t>CELLPACK 20L</t>
  </si>
  <si>
    <t>AD-102-03-10</t>
  </si>
  <si>
    <t>STROMA WH KX21 x 500ML</t>
  </si>
  <si>
    <t>EIGHT CHECK-3WP XTRA ( 4 X 2 ML)</t>
  </si>
  <si>
    <t>AD-485-11-12</t>
  </si>
  <si>
    <t>PAPER ROLL F.PRINTER STP211-144 (10PCS.)</t>
  </si>
  <si>
    <t>No Aplica</t>
  </si>
  <si>
    <t>XN 550</t>
  </si>
  <si>
    <t>(350/450/550)</t>
  </si>
  <si>
    <t>CELLPACK DCL</t>
  </si>
  <si>
    <t>AD-565-06-13</t>
  </si>
  <si>
    <t>SULFOLYSER REAGENT X 5L</t>
  </si>
  <si>
    <t>SULFOLYSER REAGENT 500 ml</t>
  </si>
  <si>
    <t>WDF Lysercell WDF</t>
  </si>
  <si>
    <t>657-RBE-1015</t>
  </si>
  <si>
    <t>WDF Fluorocell WDF 2X42 ML</t>
  </si>
  <si>
    <t>AD-546-04-13</t>
  </si>
  <si>
    <t>CELLCLEAN AUTO 4 ML X 20  </t>
  </si>
  <si>
    <t>XN Check 12x3.0ml Level 1,2,3</t>
  </si>
  <si>
    <t>Reticulocitos</t>
  </si>
  <si>
    <t>FLUOROCELL RET 2 X 12ML</t>
  </si>
  <si>
    <t>CELLPACK DFL 1 L</t>
  </si>
  <si>
    <t>180-RBE-1014</t>
  </si>
  <si>
    <t>Líquidos</t>
  </si>
  <si>
    <t>XN-Check BF 6x3.0ml Level 1,2</t>
  </si>
  <si>
    <t>XN</t>
  </si>
  <si>
    <t xml:space="preserve">AD-102-03-10
</t>
  </si>
  <si>
    <t xml:space="preserve">657-RBE-1015
</t>
  </si>
  <si>
    <t xml:space="preserve">AD-546-04-13
</t>
  </si>
  <si>
    <t>FLUOROCELL WNR 2 X 82ML</t>
  </si>
  <si>
    <t>LYSERCELL-WNR WNR-210A</t>
  </si>
  <si>
    <t>Plaquetas Fluorescentes</t>
  </si>
  <si>
    <t>FLUOROCELL PLT 2 X 12ML</t>
  </si>
  <si>
    <t>c 111</t>
  </si>
  <si>
    <t>REACTIVO</t>
  </si>
  <si>
    <t>CANTIDAD PROCESO/AÑO</t>
  </si>
  <si>
    <t xml:space="preserve">Glucosa </t>
  </si>
  <si>
    <t>Urea</t>
  </si>
  <si>
    <t>Creatinina</t>
  </si>
  <si>
    <t>Acido Úrico</t>
  </si>
  <si>
    <t>Colesterol</t>
  </si>
  <si>
    <t>Triglicéridos</t>
  </si>
  <si>
    <t>ALT - TGP</t>
  </si>
  <si>
    <t>AST - TGO</t>
  </si>
  <si>
    <t>Fosfatasa alcalina</t>
  </si>
  <si>
    <t>Bilirrubina Total</t>
  </si>
  <si>
    <t>Bilirrubina Directa</t>
  </si>
  <si>
    <t>HDL Colesterol</t>
  </si>
  <si>
    <t>AMILASA</t>
  </si>
  <si>
    <t>LIPASA</t>
  </si>
  <si>
    <t>GGT</t>
  </si>
  <si>
    <t>Albumina</t>
  </si>
  <si>
    <t>LDL Colesterol</t>
  </si>
  <si>
    <t>Calcio</t>
  </si>
  <si>
    <t>CK</t>
  </si>
  <si>
    <t>LDH</t>
  </si>
  <si>
    <t xml:space="preserve">HbA1c </t>
  </si>
  <si>
    <t>Hierro</t>
  </si>
  <si>
    <t>Proteinas totales</t>
  </si>
  <si>
    <t>PCR latex</t>
  </si>
  <si>
    <t xml:space="preserve">D-Dimer </t>
  </si>
  <si>
    <t>Phosforo</t>
  </si>
  <si>
    <t>NH3L Ammonia</t>
  </si>
  <si>
    <t>CK-MB</t>
  </si>
  <si>
    <t>TOTAL DET</t>
  </si>
  <si>
    <t>CALIBRADOR</t>
  </si>
  <si>
    <t>Calibrator f.a.s. 12x3 ml</t>
  </si>
  <si>
    <t xml:space="preserve">Cfas Lipids 3x1ML </t>
  </si>
  <si>
    <t>Cfas Proteins</t>
  </si>
  <si>
    <t>Cfas HbA1c, 3x2ml</t>
  </si>
  <si>
    <t>Ammonia/Ethanol/CO2 Calibrator</t>
  </si>
  <si>
    <t>Cfas D- Dimer</t>
  </si>
  <si>
    <t>Calibrator f.a.s. CK‑MB</t>
  </si>
  <si>
    <t>CONTROL</t>
  </si>
  <si>
    <t>PreciControl ClinChem Multi 1 4x5ml</t>
  </si>
  <si>
    <t>PreciControl ClinChem Multi 2 4x5ml</t>
  </si>
  <si>
    <t>PreciControl HBA1c Norm</t>
  </si>
  <si>
    <t>PRECICONTROL HBA1C PATH</t>
  </si>
  <si>
    <t>Ammonia/Ethanol/CO2 Control Normal</t>
  </si>
  <si>
    <t>PreciControl D- Dimer</t>
  </si>
  <si>
    <t>CONSUMIBLES</t>
  </si>
  <si>
    <t>NaCL 9% cobas c 111</t>
  </si>
  <si>
    <t>HAEMOLYSE REAGENT 800T COBAS C111</t>
  </si>
  <si>
    <t>Activator for cobas c,Integra,c111</t>
  </si>
  <si>
    <t>ISE CLEANING SOLUTION  5x100ml</t>
  </si>
  <si>
    <t>Cobas Integra Cleaner</t>
  </si>
  <si>
    <t>Micro Cuvette Segment</t>
  </si>
  <si>
    <t>Sample cup    250 St</t>
  </si>
  <si>
    <t>URISYS Thermo-printer paper 5</t>
  </si>
  <si>
    <t>LAMP HALOGEN 12V/20W ASSY</t>
  </si>
  <si>
    <t>C311</t>
  </si>
  <si>
    <t>I.D</t>
  </si>
  <si>
    <t>DESCRIPCION</t>
  </si>
  <si>
    <t>DET/AÑO/PROCESO</t>
  </si>
  <si>
    <t>A-1MG TQ GEN.2, 100TEST, COBAS C/INT</t>
  </si>
  <si>
    <t>AAT GEN.2, 100TESTS, COBAS C, INTEGRA</t>
  </si>
  <si>
    <t>ACP HIT 917 LARGE</t>
  </si>
  <si>
    <t>ALB2, 300T, COBAS C, INTEGRA</t>
  </si>
  <si>
    <t>ALB-T TQ GEN.2, 100TESTS, COBAS C, INT</t>
  </si>
  <si>
    <t>ALP2, 200T, COBAS C, INTEGRA</t>
  </si>
  <si>
    <t>ALTL, 500TESTS, COBAS C, INTEGRA</t>
  </si>
  <si>
    <t>AMYL GEN.2, 300TESTS, COBAS C, INTEGRA</t>
  </si>
  <si>
    <t xml:space="preserve">APOAT, 100TESTS, COBAS C, INTEGRA </t>
  </si>
  <si>
    <t>APOBT, 100TESTS, COBAS C, INTEGRA</t>
  </si>
  <si>
    <t>ASLO TQ, 150TESTS, COBAS C</t>
  </si>
  <si>
    <t>ASTL, 500TESTS, COBAS C, INTEGRA</t>
  </si>
  <si>
    <t>B2MG, 140T, COBAS C 311, COBAS C 501/502</t>
  </si>
  <si>
    <t>BIL-D GEN.2, 350TESTS COBAS C, INTEGRA</t>
  </si>
  <si>
    <t>BIL-T GEN.3, 250TESTS COBAS C,INTEGRA</t>
  </si>
  <si>
    <t>C3C, 100TESTS, COBAS C, INTEGRA</t>
  </si>
  <si>
    <t>C4, 100TESTS, COBAS C, INTEGRA</t>
  </si>
  <si>
    <t>CA, GEN.2, 300TESTS, COBAS C,INTEGRA</t>
  </si>
  <si>
    <t>CERU, 100TESTS, COBAS C, INTEGRA</t>
  </si>
  <si>
    <t>CHE GEN.2, 200TESTS, COBAS C, INTEGRA</t>
  </si>
  <si>
    <t>CHOL HICO GEN.2, 400TESTS, COBAS C, INT.</t>
  </si>
  <si>
    <t>CK 200 TESTS, COBAS C/INTEGRA</t>
  </si>
  <si>
    <t>CK-MB 100TESTS, COBAS C/INTEGRA</t>
  </si>
  <si>
    <t>COBAS INTEGRA CO2-L GEN.2 250 TEST</t>
  </si>
  <si>
    <t>COC2, 200T, COBAS C</t>
  </si>
  <si>
    <t>CREAJ2, 700T, COBAS C, INTEGRA</t>
  </si>
  <si>
    <t>CRP LX HS, 300TESTS, COBAS C, INTEGRA</t>
  </si>
  <si>
    <t>CRP4, 250T, COBAS C 311/501/502,INTEGRA</t>
  </si>
  <si>
    <t>CYSC2, 225T, COBAS INTEGRA</t>
  </si>
  <si>
    <t>D-DIMER GEN.2, 100TEST, COBAS C, INTEGRA</t>
  </si>
  <si>
    <t>ETOH2 , 100T, COBAS INTEGRA</t>
  </si>
  <si>
    <t>FRUC, 150TESTS, COBAS C, INTEGRA</t>
  </si>
  <si>
    <t>GGT-2, 400T, COBAS C, INTEGRA</t>
  </si>
  <si>
    <t>GLUC HK GEN.3, 800TESTS, COBAS C, INT.</t>
  </si>
  <si>
    <t>HAPT GEN.2, 100TESTS, COBAS C, INTEGRA</t>
  </si>
  <si>
    <t>HBA1C TQ GEN.3, 150TESTS,COBAS C501/INT</t>
  </si>
  <si>
    <t>HBDH GEN.2, 100TESTS, COBAS C/INT</t>
  </si>
  <si>
    <t>HCYS, 100T COBAS INTEGRA</t>
  </si>
  <si>
    <t>HDLC4, 350T, COBAS C, INTEGRA</t>
  </si>
  <si>
    <t>IGA GEN.2, 150TESTS, COBAS C</t>
  </si>
  <si>
    <t>IGA-C,150T, COBAS C 501/502, COBAS C 311</t>
  </si>
  <si>
    <t>IGG GEN.2, 150TESTS, COBAS C</t>
  </si>
  <si>
    <t>IGM GEN.2, 150TESTS, COBAS C</t>
  </si>
  <si>
    <t>IRON GEN.2, 200TESTS, COBAS C, INTEGRA</t>
  </si>
  <si>
    <t>KAPPA TQ GEN.2, 100TESTS, COBAS C/INT</t>
  </si>
  <si>
    <t>LACT2, 100T, COBAS C, INTEGRA</t>
  </si>
  <si>
    <t>LAMB TQ GEN.2, 100TESTS, COBAS C/INT</t>
  </si>
  <si>
    <t>LDHI GEN.2 ACC.IFCC, 300T, COBAS C, INT</t>
  </si>
  <si>
    <t>LDL-C GEN.3, 200TESTS, COBAS C,INT</t>
  </si>
  <si>
    <t>LIPC, 200TESTS, COBAS C, INTEGRA</t>
  </si>
  <si>
    <t>LPA GEN.2, 150TESTS COBAS C/INT</t>
  </si>
  <si>
    <t>MG2, 250T, COBAS C,INTEGRA</t>
  </si>
  <si>
    <t>7229593190</t>
  </si>
  <si>
    <t>NH3L2, 150T, cobas c 311,cobas c 5</t>
  </si>
  <si>
    <t>PHOS GEN.2, 250TESTS, COBAS C, INTEGRA</t>
  </si>
  <si>
    <t>PREA, 100TESTS, COBAS C, INTEGRA</t>
  </si>
  <si>
    <t>RFII, 100TESTS, COBAS C, INTEGRA</t>
  </si>
  <si>
    <t>STFR2, 100T,COBAS C, INTEGRA</t>
  </si>
  <si>
    <t>THC2, 200T, COBAS C</t>
  </si>
  <si>
    <t>TP GEN.2, 300TESTS, COBAS C, INTEGRA</t>
  </si>
  <si>
    <t>TPUC3, 150T, COBAS C, INTEGRA</t>
  </si>
  <si>
    <t>TRIGL, 250TESTS, COBAS C, INTEGRA</t>
  </si>
  <si>
    <t>TRSF GEN.2, 100TESTS, COBAS C, INTEGRA</t>
  </si>
  <si>
    <t>UA GEN.2, 400TESTS, COBAS C, INTEGRA</t>
  </si>
  <si>
    <t>UIBC, 100TESTS, COBAS C, INTEGRA</t>
  </si>
  <si>
    <t>UREAL, 500T, COBAS C, INTEGRA</t>
  </si>
  <si>
    <t>CALIBRADORES</t>
  </si>
  <si>
    <t>C.f.a.s. Cystatin C</t>
  </si>
  <si>
    <t>C.f.a.s. PAC</t>
  </si>
  <si>
    <t>Calibrator f.a.s.</t>
  </si>
  <si>
    <t xml:space="preserve">Calibrator f.a.s. CK-MB </t>
  </si>
  <si>
    <t>Calibrator f.a.s. IgA/IgM CSF</t>
  </si>
  <si>
    <t xml:space="preserve">Calibrator f.a.s. Lipids </t>
  </si>
  <si>
    <t>Calibrator f.a.s.proteins</t>
  </si>
  <si>
    <t>CALIBRATOR STFR GEN.2</t>
  </si>
  <si>
    <t>Calibrator β2‑Microglobulin</t>
  </si>
  <si>
    <t>Cfas HbA1c</t>
  </si>
  <si>
    <t>Cfas Proteins U</t>
  </si>
  <si>
    <t>D-Dimer Gen.2 Calibrator Set</t>
  </si>
  <si>
    <t>Fe Standard</t>
  </si>
  <si>
    <t>HCYS Calibrator Kit</t>
  </si>
  <si>
    <t>Precimat Fructosamina</t>
  </si>
  <si>
    <t>PRECISET DAT PLUS I</t>
  </si>
  <si>
    <t>Preciset Lp(a) Gen.2</t>
  </si>
  <si>
    <t>Preciset RF</t>
  </si>
  <si>
    <t>CONTROLES</t>
  </si>
  <si>
    <t>PRESENTACION</t>
  </si>
  <si>
    <t xml:space="preserve">Ammonia/Ethanol/CO2 Control  Normal </t>
  </si>
  <si>
    <t>Ammonia/Ethanol/CO2 Control Abnormal</t>
  </si>
  <si>
    <t>Control Set  β2‑Microglobulin (Nivel 1-2)</t>
  </si>
  <si>
    <t xml:space="preserve">CONTROL-SET STFR </t>
  </si>
  <si>
    <t>Cystatin C  Control  Set  Gen.2 (1,2,3)</t>
  </si>
  <si>
    <t>D-Dimer Gen.2 Control I/II</t>
  </si>
  <si>
    <t>HCYS Control Kit Control 1 y 2</t>
  </si>
  <si>
    <t>PreciControl ClinChem Multi 1, 4x5 ml</t>
  </si>
  <si>
    <t>PreciControl ClinChem Multi 2, 4x5 ml</t>
  </si>
  <si>
    <t>PreciControl HbA1c norm</t>
  </si>
  <si>
    <t>PreciControl HbA1c path</t>
  </si>
  <si>
    <t>PreciControl Lp(a) Gen.2</t>
  </si>
  <si>
    <t>PRECINORM FRUC</t>
  </si>
  <si>
    <t>PRECINORM PUC</t>
  </si>
  <si>
    <t>PRECIPATH FRUC</t>
  </si>
  <si>
    <t>PRECIPATH PUC</t>
  </si>
  <si>
    <t>RF Control Set</t>
  </si>
  <si>
    <t>Cell Wash Solution I / NaOH-D</t>
  </si>
  <si>
    <t>Cell Wash Solution II / Acid Wash</t>
  </si>
  <si>
    <t>cobas sample cups</t>
  </si>
  <si>
    <t>Cuvettes – reaction cell sets</t>
  </si>
  <si>
    <t>Ecotergent</t>
  </si>
  <si>
    <t>FILTRO DE RESINA IONICA REGENERADA 20"</t>
  </si>
  <si>
    <t>FILTRO NOM. P/SEDIMENTS GX05-20XX (BLANCO)</t>
  </si>
  <si>
    <t>FILTRO NOM. P/SEDIMENTS PX5-20 PURTR (AZUL)</t>
  </si>
  <si>
    <t>HBA1C TQ HAEMOLYZING RGT, COBAS C</t>
  </si>
  <si>
    <t>Lamp, Halogen</t>
  </si>
  <si>
    <t>MEMBRANE EQ.OSMOSIS, AG2521TF 2.5 diam</t>
  </si>
  <si>
    <t>Multiclean, Sample Cleaner 1</t>
  </si>
  <si>
    <t>NaCl 9% Diluent</t>
  </si>
  <si>
    <t>NaOH-D c pack</t>
  </si>
  <si>
    <t>SMS</t>
  </si>
  <si>
    <t>SISTEMA PARA ELECTROLITOS</t>
  </si>
  <si>
    <t>ISE Standard low 10x3ML</t>
  </si>
  <si>
    <t>ISE Standard high 10x3ML</t>
  </si>
  <si>
    <t>ISE cleaning solution Sys Clean</t>
  </si>
  <si>
    <t>Activator</t>
  </si>
  <si>
    <t>ISE Diluent Gen.2 (5 × 300 mL)</t>
  </si>
  <si>
    <t>ISE Internal Standard Gen.2 (5 × 600 mL)</t>
  </si>
  <si>
    <t>ISE Reference Electrolyte (5 × 300 mL)</t>
  </si>
  <si>
    <t>REFERENCE ELECTRODE</t>
  </si>
  <si>
    <t>Electrodo sodio</t>
  </si>
  <si>
    <t>Electrodo potasio</t>
  </si>
  <si>
    <t>Electrodo cloro</t>
  </si>
  <si>
    <t>E411 DISK</t>
  </si>
  <si>
    <t>NOMBRE</t>
  </si>
  <si>
    <t>ACTH ELECSYS COBAS E 100 V2</t>
  </si>
  <si>
    <t>Hormona Adrenocorticotrópica</t>
  </si>
  <si>
    <t>AFP ELECSYS COBAS E 100 V2</t>
  </si>
  <si>
    <t>Alfa1 - Fetoproteína</t>
  </si>
  <si>
    <t>AMH plus Elecsys cobas e 100 V3</t>
  </si>
  <si>
    <t xml:space="preserve">Hormona Antimülleriana </t>
  </si>
  <si>
    <t>ANTI TPO</t>
  </si>
  <si>
    <t>Anti-Peroxidasa Tiroidea</t>
  </si>
  <si>
    <t>ANTI-CCP ELECSYS COBAS E 100</t>
  </si>
  <si>
    <t>Anticuerpos Antipéptido Cíclico Citrulinado</t>
  </si>
  <si>
    <t>ANTI-HAV G2 ELECSYS,COBAS E100 (COI)</t>
  </si>
  <si>
    <t>Anticuerpos Hepatitis A</t>
  </si>
  <si>
    <t xml:space="preserve">ANTI-HAV IGM ELECSYS COBAS E 100 </t>
  </si>
  <si>
    <t>Anticuerpos IGM Hepatitis A</t>
  </si>
  <si>
    <t>ANTI-HBC IGM ELECSYS COBAS E 100</t>
  </si>
  <si>
    <t>Anticuerpos IGM Hepatitis B</t>
  </si>
  <si>
    <t>Anti-HBc II ELECSYS COBAS E100</t>
  </si>
  <si>
    <t>Anticuerpos IgG e IgM Hepatitis B</t>
  </si>
  <si>
    <t>ANTI-HBE ELECSYS COBAS E 100</t>
  </si>
  <si>
    <t>Anticuerpo contra antigeno de HBE</t>
  </si>
  <si>
    <t>Anti-HBs G2 Elecsys cobas e 100 V2</t>
  </si>
  <si>
    <t>Anticuerpo contra antigeno de HBs</t>
  </si>
  <si>
    <t>ANTI-HCV G2 ELECSYS COBAS E 100 V2</t>
  </si>
  <si>
    <t>Anticuerpos contra el virus de la hepatitis C</t>
  </si>
  <si>
    <t xml:space="preserve">ANTI-SARS-COV-2 ELECSYS COBAS E 200 </t>
  </si>
  <si>
    <t xml:space="preserve">Antígeno de la nucleocápside del coronavirus 2 </t>
  </si>
  <si>
    <t>ANTI-SARS-COV-2 S ELECSYS COBAS E 200</t>
  </si>
  <si>
    <t>Anticuerpos de proteina espícula S contra el corona virus 2</t>
  </si>
  <si>
    <t>ANTI-TG ELECSYS COBAS E 100 V5</t>
  </si>
  <si>
    <t>Anticuerpos anti-tiroglobulina</t>
  </si>
  <si>
    <t>ANTI-TSHR ELECSYS COBAS E 100 V2</t>
  </si>
  <si>
    <t>Autoanticuerpos antirreceptor del hipertiroidismo</t>
  </si>
  <si>
    <t>B -CROSSLAPS/SERUM ELECSYS COBAS E 100 V2</t>
  </si>
  <si>
    <t xml:space="preserve">Productos de degradación del colágeno tipo </t>
  </si>
  <si>
    <t>CA 125 G2 ELECSYS COBAS E 100</t>
  </si>
  <si>
    <t>Marcador Tumoral 125 cancer de ovario</t>
  </si>
  <si>
    <t>CA 15-3 G2 ELECSYS COBAS E 100</t>
  </si>
  <si>
    <t>Marcador Tumoral 15-3 cancer de mama</t>
  </si>
  <si>
    <t xml:space="preserve">CA 19-9 ELECSYS COBAS E 100 </t>
  </si>
  <si>
    <t>Marcador Tumoral 19-9 cancer de pancreas</t>
  </si>
  <si>
    <t>CA 72-4 ELECSYS COBAS E 100 V2</t>
  </si>
  <si>
    <t>Marcador Tumoral Glicoproteína 72-4</t>
  </si>
  <si>
    <t>CEA ELECSYS COBAS E 100</t>
  </si>
  <si>
    <t>Antígeno carcinoembrionario</t>
  </si>
  <si>
    <t>CHAGAS ELECSYS COBAS E 100 V2</t>
  </si>
  <si>
    <t>Anticuerpos contra Trypanosoma cruzi</t>
  </si>
  <si>
    <t>CK-MB STAT ELECSYS COBAS E 100 V4</t>
  </si>
  <si>
    <t>Isoenzima MB de la creatina quinasa</t>
  </si>
  <si>
    <t>CMV IGG AVIDITY ELECSYS COBAS E 100 V2</t>
  </si>
  <si>
    <t>Avidez de anticuerpos IgG contra citomegalovirus</t>
  </si>
  <si>
    <t>CMV IGG ELECSYS COBAS E 100 V2</t>
  </si>
  <si>
    <t xml:space="preserve">Anticuerpos Inmunoglobinas G contra citomegalovirus  </t>
  </si>
  <si>
    <t>CMV IGM ELECSYS COBAS E 100</t>
  </si>
  <si>
    <t xml:space="preserve">Anticuerpos Inmunoglobinas M contra citomegalovirus  </t>
  </si>
  <si>
    <t>CORTISOL G2 ELECSYS COBAS E 100</t>
  </si>
  <si>
    <t>Cortisol</t>
  </si>
  <si>
    <t>C-PEPTIDE ELECSYS COBAS E 100</t>
  </si>
  <si>
    <t>Péptido C</t>
  </si>
  <si>
    <t>CYFRA 21-1 ELECSYS COBAS E 100</t>
  </si>
  <si>
    <t>Fragmentos de citoqueratina 19</t>
  </si>
  <si>
    <t>DHEA-S ELECSYS COBAS E 100</t>
  </si>
  <si>
    <t>Sulfato de dehidroepiandrosterona</t>
  </si>
  <si>
    <t xml:space="preserve">DIGOXIN ELECSYS COBAS E 100 V2 </t>
  </si>
  <si>
    <t>Digoxina</t>
  </si>
  <si>
    <t>EBV EBNA IGG ELECSYS COBAS E 100</t>
  </si>
  <si>
    <t>Anticuerpos IgG contra el antígeno nuclear 1</t>
  </si>
  <si>
    <t xml:space="preserve">EBV IGM ELECSYS COBAS E 100 </t>
  </si>
  <si>
    <t>Anticuerpos IgM contra el virus de Epstein-Bar</t>
  </si>
  <si>
    <t>EBV VCA IGG ELECSYS COBAS E 100</t>
  </si>
  <si>
    <t>Anticuerpos IgG contra el virus de Epstein-Barr</t>
  </si>
  <si>
    <t>ESTRADIOL G3 ELECSYS COBAS E100</t>
  </si>
  <si>
    <t>Estradiol</t>
  </si>
  <si>
    <t>FERRITIN ELECSYS COBAS E 100 V2</t>
  </si>
  <si>
    <t>Ferritina</t>
  </si>
  <si>
    <t xml:space="preserve">FOLATE G3 ELECSYS COBAS E 100 V2 </t>
  </si>
  <si>
    <t>Ácido Fólico</t>
  </si>
  <si>
    <t xml:space="preserve">FREE HCGBETA ELECSYS COBAS E 100 V2 </t>
  </si>
  <si>
    <t>Subunidad β libre de la gonadotropina coriónica humana</t>
  </si>
  <si>
    <t>FREE PSA ELECSYS COBAS E 100 V3</t>
  </si>
  <si>
    <t>Antigeno Prostatico Especifico Libre</t>
  </si>
  <si>
    <t>FSH ELECSYS COBAS E 100 V2</t>
  </si>
  <si>
    <t>Hormona Folículoestimulant</t>
  </si>
  <si>
    <t>FT3 G3 ELECSYS COBAS E 200 V2</t>
  </si>
  <si>
    <t>Triyodotironina libre</t>
  </si>
  <si>
    <t>FT4 G4 ELECSYS COBAS E 200</t>
  </si>
  <si>
    <t xml:space="preserve">Tiroxina libre </t>
  </si>
  <si>
    <t>GDF-15 ELECSYS COBAS E 100 V2</t>
  </si>
  <si>
    <t xml:space="preserve">Factor de diferenciación de crecimiento </t>
  </si>
  <si>
    <t xml:space="preserve">HBEAG ELECSYS COBAS E 100 </t>
  </si>
  <si>
    <t>Antigeno E Hepatitis B</t>
  </si>
  <si>
    <t>HBSAG G2 ELECSYS COBAS E 100 V2</t>
  </si>
  <si>
    <t>Antigeno de Superficie Hepatitis B</t>
  </si>
  <si>
    <t xml:space="preserve">HCG STAT ELECSYS COBAS E 100 V3 </t>
  </si>
  <si>
    <t>Gonadotropina Coriónica Humana</t>
  </si>
  <si>
    <t>HCG+BETA ELECSYS COBAS E 100 V2</t>
  </si>
  <si>
    <t>Subunidad β Gonadotropina Coriónica Humana</t>
  </si>
  <si>
    <t xml:space="preserve">HE4 ELECSYS COBAS E 100 </t>
  </si>
  <si>
    <t>Proteína Epididimaria Humana</t>
  </si>
  <si>
    <t>HGH ELECSYS COBAS E 100</t>
  </si>
  <si>
    <t>Hormona de Crecimiento Humana</t>
  </si>
  <si>
    <t>HIV COMBI PT ELECSYS COBAS E 100 V2</t>
  </si>
  <si>
    <t>Antigeno y anticuerpo contra VIH</t>
  </si>
  <si>
    <t>HSV-1 IgG Elecsys cobas e 100 V2</t>
  </si>
  <si>
    <t>Anticuerpos IGG contra virus de herpes 1</t>
  </si>
  <si>
    <t>HSV-2 IgG Elecsys cobas e 100 V2</t>
  </si>
  <si>
    <t>Anticuerpos IGG contra virus de herpes 2</t>
  </si>
  <si>
    <t>HTLV I/II ELECSYS COBAS E100 V2</t>
  </si>
  <si>
    <t>Anticuerpos contra virus linfotrópico humano de células T</t>
  </si>
  <si>
    <t>IGE G2 ELECSYS COBAS E 100</t>
  </si>
  <si>
    <t>Inmunoglobulina E</t>
  </si>
  <si>
    <t>IGF-1 ELECSYS COBAS E 100</t>
  </si>
  <si>
    <t xml:space="preserve">Factor de crecimiento </t>
  </si>
  <si>
    <t>IGFBP-3 ELECSYS COBAS E 100</t>
  </si>
  <si>
    <t>Proteína transportadora de factor crecimiento</t>
  </si>
  <si>
    <t>IL 6 ELECSYS COBAS E 100 V2</t>
  </si>
  <si>
    <t>Interleucina-6</t>
  </si>
  <si>
    <t>INSULIN ELECSYS COBAS E 100</t>
  </si>
  <si>
    <t>Insulina</t>
  </si>
  <si>
    <t>LH ELECSYS COBAS E 100</t>
  </si>
  <si>
    <t>Hormona luteinizante</t>
  </si>
  <si>
    <t>MYOGLOBIN STAT ELECSYS COBAS E 100</t>
  </si>
  <si>
    <t xml:space="preserve">Mioglobina </t>
  </si>
  <si>
    <t>N-MID OSTEOCALCIN ELECSYS COBAS E 100</t>
  </si>
  <si>
    <t>Osteocalcina N-MID</t>
  </si>
  <si>
    <t xml:space="preserve">NSE ELECSYS COBAS E 100 </t>
  </si>
  <si>
    <t>Enolasa neuronal específica</t>
  </si>
  <si>
    <t xml:space="preserve">PAPP-A ELECSYS COBAS E 100 V2 </t>
  </si>
  <si>
    <t>Proteina Plasmatica A</t>
  </si>
  <si>
    <t>PCT BRAHMS-ROCHE ELECSYS COBAS E100 V2.1</t>
  </si>
  <si>
    <t>Procalcitonina</t>
  </si>
  <si>
    <t>PIGF ELECSYS COBAS E 100</t>
  </si>
  <si>
    <t>Preeclampsia</t>
  </si>
  <si>
    <t>PROBNP G2 ELECSYS COBAS E 100 V2</t>
  </si>
  <si>
    <t>Péptidos natriuréticos</t>
  </si>
  <si>
    <t>PROBNP G2 STAT ELECSYS COBAS E 100 V2</t>
  </si>
  <si>
    <t>Péptidos natriuréticos STAT</t>
  </si>
  <si>
    <t>PROGESTERONE G3 ELECSYS COBAS E 100</t>
  </si>
  <si>
    <t>Progesterona</t>
  </si>
  <si>
    <t>PROGRP ELECSYS COBAS E 100 V2</t>
  </si>
  <si>
    <t>Péptido liberador de gastrina</t>
  </si>
  <si>
    <t>PROLACTIN G2 ELECSYS COBAS E 100 V2.1</t>
  </si>
  <si>
    <t>Prolactina</t>
  </si>
  <si>
    <t xml:space="preserve">PTH (1-84) ELECSYS COBAS E 100 V2 </t>
  </si>
  <si>
    <t>Parathormona 1-84</t>
  </si>
  <si>
    <t>PTH ELECSYS COBAS E 100</t>
  </si>
  <si>
    <t>Parathormona</t>
  </si>
  <si>
    <t>RUBELLA IGG ELECSYS COBAS E 100</t>
  </si>
  <si>
    <t>Rubéola Inmunoglobina G</t>
  </si>
  <si>
    <t>RUBELLA IGM ELECSYS COBAS E100</t>
  </si>
  <si>
    <t>Rubéola Inmunoglobina M</t>
  </si>
  <si>
    <t>SARS-COV-2 AG ELECSYS COBAS E 200</t>
  </si>
  <si>
    <t>Antigeno corona virus 2</t>
  </si>
  <si>
    <t>SCC ELECSYS COBAS E 100</t>
  </si>
  <si>
    <t>Antígeno del Carcinoma de Células Escamosas</t>
  </si>
  <si>
    <t>SFLT1 ELECSYS COBAS E 100</t>
  </si>
  <si>
    <t>Tirosina quinasa -1</t>
  </si>
  <si>
    <t xml:space="preserve">SHBG ELECSYS COBAS E 100 </t>
  </si>
  <si>
    <t>Globulina Fijadora de Hormonas Sexuales</t>
  </si>
  <si>
    <t>SYPHILIS ELECSYS COBAS E 100 V2</t>
  </si>
  <si>
    <t>Anticuerpos Treponema Pallidum</t>
  </si>
  <si>
    <t>T3 ELECSYS COBAS E 200 V2</t>
  </si>
  <si>
    <t>Triyodotironina</t>
  </si>
  <si>
    <t>T4 ELECSYS COBAS E 200 V3</t>
  </si>
  <si>
    <t xml:space="preserve"> Tiroxina</t>
  </si>
  <si>
    <t>Testosterone</t>
  </si>
  <si>
    <t>Testosterona</t>
  </si>
  <si>
    <t>TG G2 ELECSYS COBAS E 100 V2</t>
  </si>
  <si>
    <t>Tiroglobulina</t>
  </si>
  <si>
    <t>TOTAL PSA ELECSYS COBAS E 100 V3</t>
  </si>
  <si>
    <t>Antigeno Prostatico Especifico Total</t>
  </si>
  <si>
    <t xml:space="preserve">TOXO IGG AVIDITY ELECSYS COBAS E 100 </t>
  </si>
  <si>
    <t>Toxoplasma Inmunoglobinas G Avidity</t>
  </si>
  <si>
    <t>TOXO IGG ELECSYS COBAS E 100</t>
  </si>
  <si>
    <t>Toxoplasma Inmunoglobinas G</t>
  </si>
  <si>
    <t>TOXO IGM ELECSYS COBAS E 100</t>
  </si>
  <si>
    <t>Toxoplasma Inmunoglobinas M</t>
  </si>
  <si>
    <t>TROPONIN I STAT ELECSYS COBAS E 100</t>
  </si>
  <si>
    <t xml:space="preserve">Troponina I Cardiaca </t>
  </si>
  <si>
    <t>TROPONIN T HS ELECSYS COBAS E 200 V2.1</t>
  </si>
  <si>
    <t>Troponina T Cardiaca High Sensitive</t>
  </si>
  <si>
    <t>TROPONIN T HS STAT ELECSYS COBAS E100 V2</t>
  </si>
  <si>
    <t>Troponina T Cardiaca High Sensitive STAT</t>
  </si>
  <si>
    <t>TSH ELECSYS COBAS E 200 V2</t>
  </si>
  <si>
    <t>Hormona Estimulante de Tiroides</t>
  </si>
  <si>
    <t>VITAMIN B12 G2 ELECSYS COBAS E 100</t>
  </si>
  <si>
    <t>Vitamina B12</t>
  </si>
  <si>
    <t>VITAMIN D TOTAL G3 ELECSYS COBAS E 100</t>
  </si>
  <si>
    <t>Vitamina D</t>
  </si>
  <si>
    <t>DIAS ESTABILDAD</t>
  </si>
  <si>
    <t>ACTH CS ELECSYS V2</t>
  </si>
  <si>
    <t>-</t>
  </si>
  <si>
    <t>AFP G2 CS ELECSYS V3</t>
  </si>
  <si>
    <t>AMH PLUS CS ELECSYS</t>
  </si>
  <si>
    <t>Anti SARS-COV-2-S CS</t>
  </si>
  <si>
    <t>ANTI-TG CS ELECSYS</t>
  </si>
  <si>
    <t>ANTI-TPO CS ELECSYS</t>
  </si>
  <si>
    <t>ANTI-TSHR CS</t>
  </si>
  <si>
    <t>B-CrossLaps CS</t>
  </si>
  <si>
    <t>CA 125 CS</t>
  </si>
  <si>
    <t>CA 15-3 G2 CS ELECSYS</t>
  </si>
  <si>
    <t>CA 19-9 CS</t>
  </si>
  <si>
    <t>CA 72-4 CS ELECSYS V2</t>
  </si>
  <si>
    <t>CEA CS</t>
  </si>
  <si>
    <t> 5957656190</t>
  </si>
  <si>
    <t>CK-MB STAT CS</t>
  </si>
  <si>
    <t>Cortisol CS</t>
  </si>
  <si>
    <t>C-PEPTIDE CS ELECSYS</t>
  </si>
  <si>
    <t>CYFRA 21-1 CS</t>
  </si>
  <si>
    <t>DHEA-S CS ELECSYS</t>
  </si>
  <si>
    <t>DIGOXIN CS</t>
  </si>
  <si>
    <t>ESTRADIOL G3 CS ELECYSS</t>
  </si>
  <si>
    <t>Ferritina CS</t>
  </si>
  <si>
    <t>Folate G3 CS</t>
  </si>
  <si>
    <t>FREE B HCG CS</t>
  </si>
  <si>
    <t>Free PSA Calset</t>
  </si>
  <si>
    <t>FSH CS Elecsys V3.1</t>
  </si>
  <si>
    <t>FT3 Calset</t>
  </si>
  <si>
    <t>FT4 Calset</t>
  </si>
  <si>
    <t> 7125941190</t>
  </si>
  <si>
    <t>GDF-15 CS</t>
  </si>
  <si>
    <t>HCG STAT CS</t>
  </si>
  <si>
    <t>HCG+B CalSet</t>
  </si>
  <si>
    <t> 5950945190</t>
  </si>
  <si>
    <t>HE4 CS</t>
  </si>
  <si>
    <t> 5390133190</t>
  </si>
  <si>
    <t>HGH CS</t>
  </si>
  <si>
    <t>IgE CS</t>
  </si>
  <si>
    <t>IGF-1 CS</t>
  </si>
  <si>
    <t>IGFBP-3 CS</t>
  </si>
  <si>
    <t>IL 6 CS ELECSYS</t>
  </si>
  <si>
    <t>Insulina CS</t>
  </si>
  <si>
    <t>LH Calset</t>
  </si>
  <si>
    <t>MYOGLOBIN STAT CS</t>
  </si>
  <si>
    <t>N-MID OSTEOCALCIN CS</t>
  </si>
  <si>
    <t>NSE CS</t>
  </si>
  <si>
    <t>PAPP-A CS</t>
  </si>
  <si>
    <t>PIGF CS</t>
  </si>
  <si>
    <t>proBNP CS</t>
  </si>
  <si>
    <t>proBNP STAT CS</t>
  </si>
  <si>
    <t>Progesterona Calset</t>
  </si>
  <si>
    <t>ProGRP CS</t>
  </si>
  <si>
    <t>Prolactin CalSet</t>
  </si>
  <si>
    <t>PTH (1-84) CS</t>
  </si>
  <si>
    <t>PTH CS ELECSYS V2</t>
  </si>
  <si>
    <t>SCC CS</t>
  </si>
  <si>
    <t> 5109531190</t>
  </si>
  <si>
    <t>sFLT-1 CS</t>
  </si>
  <si>
    <t>SHBG CS</t>
  </si>
  <si>
    <t>T3 Calset</t>
  </si>
  <si>
    <t>T4 Calset</t>
  </si>
  <si>
    <t>Testosterone Calset</t>
  </si>
  <si>
    <t>TG G2 CS ELECSYS V2</t>
  </si>
  <si>
    <t>Total PSA CalSet</t>
  </si>
  <si>
    <t> 5094801190</t>
  </si>
  <si>
    <t>TROPONIN I STAT CS</t>
  </si>
  <si>
    <t>TROPONIN T HS CS ELECSYS V1.1</t>
  </si>
  <si>
    <t>TROPONIN T HS STAT CS ELECSYS V1.1</t>
  </si>
  <si>
    <t>TSH CalSet</t>
  </si>
  <si>
    <t>VITAMIN B12 G2 CS ELECSYS V2</t>
  </si>
  <si>
    <t>Vitamina D CS</t>
  </si>
  <si>
    <t> 9216928190</t>
  </si>
  <si>
    <t>ANTI-SARS-COV-2 PC ELECSYS</t>
  </si>
  <si>
    <t>CMV IgG Avidity PC Elecsys</t>
  </si>
  <si>
    <t>HCV Duo PC Elecsys</t>
  </si>
  <si>
    <t>Maternal Care Gen.2 PC Elecsys</t>
  </si>
  <si>
    <t>PreciControl AMH</t>
  </si>
  <si>
    <t>PreciControl AMH Plus</t>
  </si>
  <si>
    <t xml:space="preserve">PreciControl Anti‑CCP  </t>
  </si>
  <si>
    <t>PreciControl Anti‑HAV IgM</t>
  </si>
  <si>
    <t xml:space="preserve">PreciControl Anti‑HAV II  </t>
  </si>
  <si>
    <t>PreciControl Anti‑HBc IgM</t>
  </si>
  <si>
    <t xml:space="preserve">PreciControl Anti‑HBc II  </t>
  </si>
  <si>
    <t>PreciControl Anti‑HBe</t>
  </si>
  <si>
    <t>PreciControl Anti‑HBs</t>
  </si>
  <si>
    <t>PreciControl Anti‑HCV</t>
  </si>
  <si>
    <t>PreciControl Anti‑SARS‑CoV‑2</t>
  </si>
  <si>
    <t xml:space="preserve">PreciControl Cardiac II  </t>
  </si>
  <si>
    <t>PreciControl Chagas</t>
  </si>
  <si>
    <t>PreciControl CMV IgG</t>
  </si>
  <si>
    <t>PreciControl CMV IgM</t>
  </si>
  <si>
    <t xml:space="preserve">PreciControl EBV EBNA IgG </t>
  </si>
  <si>
    <t>PreciControl EBV IgM/VCA IgG</t>
  </si>
  <si>
    <t>PreciControl Everolimus</t>
  </si>
  <si>
    <t>PreciControl Growth</t>
  </si>
  <si>
    <t>PreciControl HBeAg</t>
  </si>
  <si>
    <t xml:space="preserve">PreciControl HBsAg II </t>
  </si>
  <si>
    <t xml:space="preserve">PreciControl HBsAg II quant </t>
  </si>
  <si>
    <t xml:space="preserve">PreciControl HE4 </t>
  </si>
  <si>
    <t>PreciControl HIV Gen II</t>
  </si>
  <si>
    <t xml:space="preserve">PreciControl HSV </t>
  </si>
  <si>
    <t>PreciControl HTLV</t>
  </si>
  <si>
    <t>PreciControl ISD</t>
  </si>
  <si>
    <t xml:space="preserve">PreciControl Lung Cancer  </t>
  </si>
  <si>
    <t>PreciControl Maternal Care p</t>
  </si>
  <si>
    <t>PreciControl Multimarker Elecsys,cobas e</t>
  </si>
  <si>
    <t>PreciControl ProGRP</t>
  </si>
  <si>
    <t>PreciControl Rubella IgG</t>
  </si>
  <si>
    <t>PreciControl Rubella IgM</t>
  </si>
  <si>
    <t>PreciControl SARS‑CoV‑2 Antigen</t>
  </si>
  <si>
    <t>PreciControl Syphilis</t>
  </si>
  <si>
    <t>PreciControl ThyroAB</t>
  </si>
  <si>
    <t xml:space="preserve">PreciControl Toxo IgG </t>
  </si>
  <si>
    <t>PreciControl Toxo IgG Avidity</t>
  </si>
  <si>
    <t>PreciControl Toxo IgM</t>
  </si>
  <si>
    <t>PreciControl Troponin</t>
  </si>
  <si>
    <t>PreciControl Tumor Marker Elec</t>
  </si>
  <si>
    <t>PreciControl Universal</t>
  </si>
  <si>
    <t>PreciControl Varia Elecsys</t>
  </si>
  <si>
    <t xml:space="preserve">PreciControl Vitamin D total III  </t>
  </si>
  <si>
    <t xml:space="preserve">ASSAY CUP </t>
  </si>
  <si>
    <t xml:space="preserve">ASSY TIP </t>
  </si>
  <si>
    <t>Copillas de muestra Hitachi</t>
  </si>
  <si>
    <t>Elecsys Clean-Cell</t>
  </si>
  <si>
    <t>Elecsys ProCell</t>
  </si>
  <si>
    <t>Elecsys Sys Wash</t>
  </si>
  <si>
    <t xml:space="preserve">ISE CLEANING SOLUTION </t>
  </si>
  <si>
    <t>Measuring CELL</t>
  </si>
  <si>
    <t>UNIVERSAL DILUENT 2X16ML ELECSYS,COBAS E</t>
  </si>
  <si>
    <t>UNIVERSAL DILUENT 2X36ML ELECSYS,COBAS E</t>
  </si>
  <si>
    <t>CLEAN-LINER</t>
  </si>
  <si>
    <t>COBAS PURE c303</t>
  </si>
  <si>
    <t>COBAS PRO c503</t>
  </si>
  <si>
    <t>PRODUCTO A ENVIAR</t>
  </si>
  <si>
    <t>ÁCIDO ÚRICO</t>
  </si>
  <si>
    <t>UA2, 1300T, cobas c pack green</t>
  </si>
  <si>
    <t>ALBÚMINA RUTINA</t>
  </si>
  <si>
    <t>ALB2, 750T, cobas c pack green</t>
  </si>
  <si>
    <t>Amilasa Serica</t>
  </si>
  <si>
    <t>AMYL2, 750T, cobas c pack green</t>
  </si>
  <si>
    <t>Amilasa Pancreatica</t>
  </si>
  <si>
    <t>AMY-P, 450T, cobas c pack green</t>
  </si>
  <si>
    <t>BILIRRUBINA TOTAL</t>
  </si>
  <si>
    <t>BILT3, 1050T, cobas c pack green</t>
  </si>
  <si>
    <t>Bilirrubina Directa Alto Rendimiento</t>
  </si>
  <si>
    <t>BILD2, 1000T, cobas c pack green</t>
  </si>
  <si>
    <t>CALCIO</t>
  </si>
  <si>
    <t>CA2, 1500T, cobas c pack green</t>
  </si>
  <si>
    <t>COLESTEROL</t>
  </si>
  <si>
    <t>CHOL2, 2600T, cobas c pack green</t>
  </si>
  <si>
    <t>Colinesterasa Gen 2</t>
  </si>
  <si>
    <t>CHE2, 1050T, cobas c pack green</t>
  </si>
  <si>
    <t>CREATIN KINASA</t>
  </si>
  <si>
    <t>CK, 500T, cobas c pack green</t>
  </si>
  <si>
    <t>FOSFATASA ALCALINA</t>
  </si>
  <si>
    <t>ALP2, 1100T, cobas c pack green</t>
  </si>
  <si>
    <t>FOSFORO TOTAL</t>
  </si>
  <si>
    <t>PHOS2, 750T, cobas c pack green</t>
  </si>
  <si>
    <t>γ-Glutamyltransferasa ver. 2</t>
  </si>
  <si>
    <t>GGT-2, 400T, cobas c pack green</t>
  </si>
  <si>
    <t>GLUCOSA</t>
  </si>
  <si>
    <t>GLUC3, 3300T, cobas c pack green</t>
  </si>
  <si>
    <t>HIERRO SÉRICO</t>
  </si>
  <si>
    <t>IRON2, 700T, cobas c pack green</t>
  </si>
  <si>
    <t>Lactato</t>
  </si>
  <si>
    <t>LACT2, 100T, cobas c pack green</t>
  </si>
  <si>
    <t>LDHI2, 850T, cobas c pack green</t>
  </si>
  <si>
    <t>LIPC, 200T, cobas c pack green</t>
  </si>
  <si>
    <t>MAGNESIO</t>
  </si>
  <si>
    <t>MG2, 690T, cobas c pack green</t>
  </si>
  <si>
    <t>ALT (PYP en el mismo reactivo)</t>
  </si>
  <si>
    <t>ALTP2, 800T, cobas c pack green</t>
  </si>
  <si>
    <t>AST (PYP en el mismo reactivo)</t>
  </si>
  <si>
    <t>ASTP2, 800T, cobas c pack green</t>
  </si>
  <si>
    <t>TRIGLICÉRIDOS</t>
  </si>
  <si>
    <t>TRIGL, 1000T, cobas c pack green</t>
  </si>
  <si>
    <t>UREA</t>
  </si>
  <si>
    <t>UREAL, 600T, cobas c pack green</t>
  </si>
  <si>
    <t>α-Hydroxybutyrate Dehydrogenase  Gen.2</t>
  </si>
  <si>
    <t>HBDH, 300T, cobas c pack green</t>
  </si>
  <si>
    <t>Albumin BC</t>
  </si>
  <si>
    <t>ALBP, 500T, cobas c pack green</t>
  </si>
  <si>
    <t>PROTEÍNAS TOTALES</t>
  </si>
  <si>
    <t>TP2, 1050T, cobas c pack green</t>
  </si>
  <si>
    <t>Creatinina Enzimatica</t>
  </si>
  <si>
    <t>CREP2, 600T, cobas c pack green</t>
  </si>
  <si>
    <t>Creatinina Jaffe</t>
  </si>
  <si>
    <t>CREAJ2, 2500T, cobas c pack green</t>
  </si>
  <si>
    <t>COLESTEROL HDL</t>
  </si>
  <si>
    <t>HDLC4, 700T, cobas c pack green</t>
  </si>
  <si>
    <t>COLESTEROL LDL</t>
  </si>
  <si>
    <t>LDLC3, 600T, cobas c pack green</t>
  </si>
  <si>
    <t>Apoliproteina A-1</t>
  </si>
  <si>
    <t>APOAT, 250T, cobas c pack green</t>
  </si>
  <si>
    <t>Apoliproteina B</t>
  </si>
  <si>
    <t>APOBT, 250T, cobas c pack green</t>
  </si>
  <si>
    <t>Indices Sericos</t>
  </si>
  <si>
    <t>SI2, 14500T, cobas c pack green</t>
  </si>
  <si>
    <t>Creatinin Kinasa MB</t>
  </si>
  <si>
    <t>CKMB, 150T, cobas c pack green</t>
  </si>
  <si>
    <t>MICROALBUMINURIA</t>
  </si>
  <si>
    <t>ALBT2, 500T, cobas c pack green</t>
  </si>
  <si>
    <t>Proteinas en Orina y LCR</t>
  </si>
  <si>
    <t>TPUC3, 650T, cobas c pack green</t>
  </si>
  <si>
    <t>Inmunoglobulina G (Ig G)</t>
  </si>
  <si>
    <t>IGG-2, 300T, cobas c pack green</t>
  </si>
  <si>
    <t>Anti-Estreptolisina O (ASO)</t>
  </si>
  <si>
    <t>ASLOT, 200T, cobas c pack green</t>
  </si>
  <si>
    <t>Ceruloplasmina</t>
  </si>
  <si>
    <t>CERU, 200T, cobas c pack green</t>
  </si>
  <si>
    <t>Prealbumina</t>
  </si>
  <si>
    <t>PREA, 200T, cobas c pack green</t>
  </si>
  <si>
    <t>Tina-quant IgM  CSF</t>
  </si>
  <si>
    <t>IGM-C, 150T, cobas c pack green</t>
  </si>
  <si>
    <t>Tina-quant IgA  CSF</t>
  </si>
  <si>
    <t>IGA-C, 150T, cobas c pack green</t>
  </si>
  <si>
    <t>UIBC</t>
  </si>
  <si>
    <t>UIBC, 100T, cobas c pack green</t>
  </si>
  <si>
    <t>CRP CUANTITATIVA*</t>
  </si>
  <si>
    <t>CRP4, 500T, cobas c pack green</t>
  </si>
  <si>
    <t>Complemento C4</t>
  </si>
  <si>
    <t>C4-2, 150T, cobas c pack green</t>
  </si>
  <si>
    <t>Haptoglobina</t>
  </si>
  <si>
    <t>HAPT2, 200T, cobas c pack green</t>
  </si>
  <si>
    <t>Complemento C3</t>
  </si>
  <si>
    <t>C3C-2, 150T, cobas c pack green</t>
  </si>
  <si>
    <t>Cadenas Ligeras Totales Kappa</t>
  </si>
  <si>
    <t>KAPP2, 100T, cobas c pack green</t>
  </si>
  <si>
    <t>Cadenas Ligeras Totales Lambda</t>
  </si>
  <si>
    <t>LAMB2, 100T, cobas c pack green</t>
  </si>
  <si>
    <t>Tina-quant α1-Antitrypsin  ver.2</t>
  </si>
  <si>
    <t>AAT2, 200T, cobas c pack green</t>
  </si>
  <si>
    <t>Transferrina</t>
  </si>
  <si>
    <t>TRSF2, 500T, cobas c pack green</t>
  </si>
  <si>
    <t>Tina-quant Ferritin  Gen.4</t>
  </si>
  <si>
    <t>FERR4, 400T, cobas c pack green</t>
  </si>
  <si>
    <t>Inmunoglobulina M (Ig M) en suero</t>
  </si>
  <si>
    <t>IGM-2, 300T, cobas c pack green</t>
  </si>
  <si>
    <t>8057915190</t>
  </si>
  <si>
    <t>Inmunoglobulina G (Ig G) en suero</t>
  </si>
  <si>
    <t>Inmunoglobulina A (Ig A) en suero</t>
  </si>
  <si>
    <t>IGA-2, 300T, cobas c pack green</t>
  </si>
  <si>
    <t>Hemoglobina Glicosilada alto rendimiento</t>
  </si>
  <si>
    <t>A1CX3, 500T, cobas c pack green</t>
  </si>
  <si>
    <t>Hemoglobina Glicosilada bajo rendimiento</t>
  </si>
  <si>
    <t>A1CX3, 200T, cobas c pack green</t>
  </si>
  <si>
    <t>DIMERO D</t>
  </si>
  <si>
    <t>D-Dimer Gen.2,100Test,cobas c pack green</t>
  </si>
  <si>
    <t>B2-Microglobulina</t>
  </si>
  <si>
    <t>B2MG, 150T, cobas c pack green</t>
  </si>
  <si>
    <t>Lipoproteina A</t>
  </si>
  <si>
    <t>LPA2, 150T, cobas c pack green</t>
  </si>
  <si>
    <t>Cistatina C</t>
  </si>
  <si>
    <t>CYSC2, 250T, cobas c pack green</t>
  </si>
  <si>
    <t>Homocisteina</t>
  </si>
  <si>
    <t>HCYS, 100T, cobas c pack green</t>
  </si>
  <si>
    <t>Bicarbonato</t>
  </si>
  <si>
    <t>CO2-L, 250T, cobas c pack green</t>
  </si>
  <si>
    <t>Amonio Plasmatico</t>
  </si>
  <si>
    <t>NH3L2, 300T cobas c pack green</t>
  </si>
  <si>
    <t>Etanol alto rendimiento</t>
  </si>
  <si>
    <t>ETOH2, 850T, cobas c pack green</t>
  </si>
  <si>
    <t>Etanol bajo rendimiento</t>
  </si>
  <si>
    <t>ETOH2, 150T, cobas c pack green</t>
  </si>
  <si>
    <t>FRUCTOSAMINA</t>
  </si>
  <si>
    <t>FRA, 550T, cobas c pack green</t>
  </si>
  <si>
    <t>Tina-quant Myoglobin  Gen.2</t>
  </si>
  <si>
    <t>MYO2, 200T, cobas c pack green</t>
  </si>
  <si>
    <t>Factor Reumatoideo cuantitativo*</t>
  </si>
  <si>
    <t>RF-II, 400T, cobas c pack green</t>
  </si>
  <si>
    <t>Fenitoína  libre y total</t>
  </si>
  <si>
    <t>PHNY2, 100T, cobas c pack green</t>
  </si>
  <si>
    <t>Fenobarbital</t>
  </si>
  <si>
    <t>PHNO2, 200T, cobas c pack green</t>
  </si>
  <si>
    <t>CARBAMAZEPINA</t>
  </si>
  <si>
    <t>CARB4, 500T, cobas c pack green</t>
  </si>
  <si>
    <t>Ácido valproico</t>
  </si>
  <si>
    <t>VALP2, 200T, cobas c pack green</t>
  </si>
  <si>
    <t>Vancomicina</t>
  </si>
  <si>
    <t>VANC3, 200T, cobas c pack green</t>
  </si>
  <si>
    <t>CONTROLES Y CALIBRADORES</t>
  </si>
  <si>
    <t>Cfas Lipids 3x1ML</t>
  </si>
  <si>
    <t>Cfas CK.MB 3x1ML</t>
  </si>
  <si>
    <t>C.f.a.s. PUC</t>
  </si>
  <si>
    <t>PreciControl ClinChem Multi 1,20x5ml</t>
  </si>
  <si>
    <t>PreciControl ClinChem Multi 2,20x5ml</t>
  </si>
  <si>
    <t>PreciControl ClinChem Multi 1 QCS,20x5ml</t>
  </si>
  <si>
    <t>PreciControl ClinChem Multi 2 QCS,20x5ml</t>
  </si>
  <si>
    <t>NH3/ETH/CO2 Calibrator</t>
  </si>
  <si>
    <t>NH3/ETH/CO2 Control N</t>
  </si>
  <si>
    <t>NH3/ETH/CO2 Control A</t>
  </si>
  <si>
    <t>PRECIMAT FRUC 3x1ML</t>
  </si>
  <si>
    <t>C.f.a.s. Myoglobin</t>
  </si>
  <si>
    <t>Myoglobin Control Set (Nivel I, II)</t>
  </si>
  <si>
    <t>HITACHI I PRECISET TDM 1</t>
  </si>
  <si>
    <t>TDM Control Set</t>
  </si>
  <si>
    <t>Reaction Cell for c 503 / c 513*</t>
  </si>
  <si>
    <t xml:space="preserve">Caja </t>
  </si>
  <si>
    <t>Reaction Cell for c303</t>
  </si>
  <si>
    <t>ECO-D, 40T, cobas c pack green c303</t>
  </si>
  <si>
    <t>Cassette</t>
  </si>
  <si>
    <t>ECO-D, 40T, cobas c pack green c503</t>
  </si>
  <si>
    <t>NaOH-D, cobas c pack green c303</t>
  </si>
  <si>
    <t>NaOH-D, cobas c pack green c503</t>
  </si>
  <si>
    <t>NACl, cobas c pack green</t>
  </si>
  <si>
    <t>SMS, cobas c pack green</t>
  </si>
  <si>
    <t>Acid Wash 2x2 L c303</t>
  </si>
  <si>
    <t>Caja por 02 galoneras de 2L</t>
  </si>
  <si>
    <t>Acid Wash 2x2 L c503</t>
  </si>
  <si>
    <t>SCCS, 50mL, cobas c pack green</t>
  </si>
  <si>
    <t>Basic Wash 2x2 L c303</t>
  </si>
  <si>
    <t>Basic Wash 2x2 L c503</t>
  </si>
  <si>
    <t>funda de 250</t>
  </si>
  <si>
    <t>A1CD, cobas c pack green</t>
  </si>
  <si>
    <t>Antigen Excess  Reagent  (START)</t>
  </si>
  <si>
    <t>START, 1000T, cobas c pack green</t>
  </si>
  <si>
    <t>Barcode Label 2,5x5,1cm</t>
  </si>
  <si>
    <t>rollo</t>
  </si>
  <si>
    <t>A4 PRINTER PAPER</t>
  </si>
  <si>
    <t>resma</t>
  </si>
  <si>
    <t>RD Standard False Bottom Tube</t>
  </si>
  <si>
    <t>SISTEMA PARA ELECTROLITOS-ISE</t>
  </si>
  <si>
    <t>ISE DEPROTEINIZER cobas integra (6x21ML)</t>
  </si>
  <si>
    <t>ISE Diluent Gen.2, 2x2 Liter</t>
  </si>
  <si>
    <t>ISE Internal Stand Gen.2, 2x2 Liter</t>
  </si>
  <si>
    <t>ISE Reference Electrolyte, 2L</t>
  </si>
  <si>
    <t>ISE Reference Electrolyte 500ML</t>
  </si>
  <si>
    <t>COBAS PURE e402</t>
  </si>
  <si>
    <t>COBAS PRO e801</t>
  </si>
  <si>
    <t>TSH Elecsys E2G 300 V2</t>
  </si>
  <si>
    <t>T3 Elecsys E2G 300 V2</t>
  </si>
  <si>
    <t>T4 Elecsys E2G 300 V2</t>
  </si>
  <si>
    <t>FT3 G3 Elecsys E2G 300</t>
  </si>
  <si>
    <t>FT4 G3 Elecsys E2G 300</t>
  </si>
  <si>
    <t>TG G2 Elecsys E2G 300 V2</t>
  </si>
  <si>
    <t>Anti-TPO Elecsys E2G 300</t>
  </si>
  <si>
    <t>Anti-TG Elecsys E2G 300</t>
  </si>
  <si>
    <t>Anti-TSHR Elecsys E2G 300 V2</t>
  </si>
  <si>
    <t>LH Elecsys E2G 300</t>
  </si>
  <si>
    <t>FSH Elecsys E2G 300</t>
  </si>
  <si>
    <t>Estradiol G3 Elecsys E2G 300</t>
  </si>
  <si>
    <t>Progesterone G3 Elecsys E2G 300</t>
  </si>
  <si>
    <t>Prolactin G2 Elecsys E2G 300</t>
  </si>
  <si>
    <t>Testosterone G2 Elecsys E2G 300</t>
  </si>
  <si>
    <t>SHBG Elecsys E2G 300</t>
  </si>
  <si>
    <t>DHEA-S Elecsys E2G 100</t>
  </si>
  <si>
    <t>HCG+beta Elecsys E2G 300</t>
  </si>
  <si>
    <t>hCG STAT Elecsys E2G 100 V2</t>
  </si>
  <si>
    <t>Free HCGbeta Elecsys E2G 100 V2</t>
  </si>
  <si>
    <t>PAPP-A Elecsys E2G 100 V2</t>
  </si>
  <si>
    <t>PLGF Elecsys E2G 100</t>
  </si>
  <si>
    <t>sFLT1 Elecsys E2G 100</t>
  </si>
  <si>
    <t>C-Peptide Elecsys E2G 100</t>
  </si>
  <si>
    <t>Insulin Elecsys E2G 100</t>
  </si>
  <si>
    <t>Cortisol G2 Elecsys E2G 300</t>
  </si>
  <si>
    <t>Cortisol III Elecsys E2G 300</t>
  </si>
  <si>
    <t>ACTH Elecsys E2G 100</t>
  </si>
  <si>
    <t>hGH Elecsys E2G 100</t>
  </si>
  <si>
    <t>AMH plus Elecsys E2G 100 V2</t>
  </si>
  <si>
    <t>Total PSA Elecsys E2G 300 V2</t>
  </si>
  <si>
    <t>free PSA Elecsys E2G 300 V2</t>
  </si>
  <si>
    <t>AFP Elecsys E2G 300</t>
  </si>
  <si>
    <t>CEA Elecsys E2G 300</t>
  </si>
  <si>
    <t>CA 125 G2 Elecsys E2G 300</t>
  </si>
  <si>
    <t>CA 15-3 G2 Elecsys E2G 300</t>
  </si>
  <si>
    <t>CA 19-9 Elecsys E2G 300</t>
  </si>
  <si>
    <t>Cyfra 21-1 Elecsys E2G 300</t>
  </si>
  <si>
    <t>CA 72-4 Elecsys E2G 300</t>
  </si>
  <si>
    <t>NSE Elecsys E2G 300</t>
  </si>
  <si>
    <t>S100 Elecsys E2G 100 V2</t>
  </si>
  <si>
    <t>HE4 Elecsys E2G 100</t>
  </si>
  <si>
    <t>PIVKAII Elecsys E2G 300</t>
  </si>
  <si>
    <t>proGRP Elecsys E2G 100 V2</t>
  </si>
  <si>
    <t>SCC Elecsys E2G 100</t>
  </si>
  <si>
    <t>Digoxin Elecsys E2G 100</t>
  </si>
  <si>
    <t>CK-MB Elecsys E2G 100</t>
  </si>
  <si>
    <t>Myoglobin Elecsys E2G 100</t>
  </si>
  <si>
    <t>GDF-15 Elecsys E2G 100 V2</t>
  </si>
  <si>
    <t>Troponin T hs Elecsys E2G 300 V2.1</t>
  </si>
  <si>
    <t>Troponin I Elecsys E2G 300</t>
  </si>
  <si>
    <t>9315284190</t>
  </si>
  <si>
    <t>proBNP G2 Elecsys E2G 300 V2.1</t>
  </si>
  <si>
    <t>Calcitonin Elecsys E2G 100</t>
  </si>
  <si>
    <t>IL 6 Elecsys E2G 100 V2</t>
  </si>
  <si>
    <t>Ferritin Elecsys E2G 300</t>
  </si>
  <si>
    <t>Folate G3 Elecsys E2G 300</t>
  </si>
  <si>
    <t>Vitamin B12 G2 Elecsys E2G 300</t>
  </si>
  <si>
    <t>Active B12 Elecsys cobas E2G 300</t>
  </si>
  <si>
    <t>IgE G2 Elecsys E2G 100</t>
  </si>
  <si>
    <t>PTH Elecsys E2G 300</t>
  </si>
  <si>
    <t>PTH (1-84) Elecsys E2G 100</t>
  </si>
  <si>
    <t>Total P1NP Elecsys E2G 100</t>
  </si>
  <si>
    <t>9005781190</t>
  </si>
  <si>
    <t>B-CrossLaps/serum Elecsys E2G 100</t>
  </si>
  <si>
    <t>N-MID Osteocalcin Elecsys E2G 100</t>
  </si>
  <si>
    <t>7251670190</t>
  </si>
  <si>
    <t>Anti-CCP Elecsys E2G 100 V1</t>
  </si>
  <si>
    <t>9318747190</t>
  </si>
  <si>
    <t>PCT Brahms-Roche Elecsys E2G 300 V</t>
  </si>
  <si>
    <t>Vitamin D total G2 Elecsys E2G 300</t>
  </si>
  <si>
    <t>IGF-1 Elecsys E2G 100</t>
  </si>
  <si>
    <t>IGFBP-3 Elecsys E2G 100</t>
  </si>
  <si>
    <t>HIV duo Elecsys E2G 300 V2</t>
  </si>
  <si>
    <t>HCV Duo Elecsys E2G 300</t>
  </si>
  <si>
    <t>Anti-HAV G2 Elecsys E2G 300</t>
  </si>
  <si>
    <t>Anti-HAV IgM Elecsys E2G 300</t>
  </si>
  <si>
    <t>HBsAg G2 Elecsys E2G 300 V2</t>
  </si>
  <si>
    <t>Anti-HBs G2 Elecsys E2G 300 V2</t>
  </si>
  <si>
    <t>HBeAg Elecsys E2G 300</t>
  </si>
  <si>
    <t>Anti-HBe Elecsys E2G 300</t>
  </si>
  <si>
    <t>Anti-HBc G2 Elecsys E2G 300</t>
  </si>
  <si>
    <t>Anti-HBc IgM Elecsys E2G 300</t>
  </si>
  <si>
    <t>Anti-HCV G2 Elecsys E2G 300 V2</t>
  </si>
  <si>
    <t>Rubella IgG Elecsys E2G 300</t>
  </si>
  <si>
    <t>Rubella IgM Elecsys E2G 300</t>
  </si>
  <si>
    <t>Toxo IgG Elecsys E2G 300</t>
  </si>
  <si>
    <t>Toxo IgG Avidity Elecsys E2G 100</t>
  </si>
  <si>
    <t>Toxo IgM Elecsys E2G 300</t>
  </si>
  <si>
    <t>CMV IgG Elecsys E2G 300 V2</t>
  </si>
  <si>
    <t>CMV IgG Avidity Elecsys E2G 100 V2</t>
  </si>
  <si>
    <t>CMV IgM Elecsys E2G 300</t>
  </si>
  <si>
    <t>HSV-1 IgG Elecsys E2G 100 V2</t>
  </si>
  <si>
    <t>HSV-2 IgG Elecsys E2G 100 V2</t>
  </si>
  <si>
    <t>EBV IGM ELECSYS E2G 300</t>
  </si>
  <si>
    <t>EBV VCA IGG ELECSYS E2G 300</t>
  </si>
  <si>
    <t>EBV EBNA IGG ELECSYS E2G 300</t>
  </si>
  <si>
    <t>HTLV Elecsys E2G 300 V2</t>
  </si>
  <si>
    <t>SYPHILIS ELECSYS E2G 300 V2</t>
  </si>
  <si>
    <t>Chagas Elecsys E2G 300 V2</t>
  </si>
  <si>
    <t>Anti-SARS-CoV-2 Elecsys E2G 300</t>
  </si>
  <si>
    <t>Anti-SARS-CoV-2 S Elecsys E2G 300</t>
  </si>
  <si>
    <t>SARS-CoV-2 Ag Elecsys E2G 300</t>
  </si>
  <si>
    <t>Cyclosporine Elecsys E2G 300</t>
  </si>
  <si>
    <t>Everolimus Elecsys E2G 100</t>
  </si>
  <si>
    <t>Sirolimus Elecsys E2G 100</t>
  </si>
  <si>
    <t>Tacrolimus Elecsys E2G 300</t>
  </si>
  <si>
    <t xml:space="preserve">PRESENTACION </t>
  </si>
  <si>
    <t>T3 CalSet</t>
  </si>
  <si>
    <t>T4 CalSet</t>
  </si>
  <si>
    <t>FT3 III CalSet</t>
  </si>
  <si>
    <t>CalSet FT4 III</t>
  </si>
  <si>
    <t>Tg II CalSet</t>
  </si>
  <si>
    <t xml:space="preserve">Anti‑TPO CalSet </t>
  </si>
  <si>
    <t>Anti‑Tg CalSet</t>
  </si>
  <si>
    <t>CalSet Anti‑TSHR</t>
  </si>
  <si>
    <t>LH CalSet II</t>
  </si>
  <si>
    <t>FSH CS Elecsys V3</t>
  </si>
  <si>
    <t xml:space="preserve">Estradiol III CalSet </t>
  </si>
  <si>
    <t>Progesterone III CalSet</t>
  </si>
  <si>
    <t>Prolactin II CalSet</t>
  </si>
  <si>
    <t xml:space="preserve">Testosterone II CalSet II </t>
  </si>
  <si>
    <t>SHBG CalSet</t>
  </si>
  <si>
    <t xml:space="preserve">DHEA‑S CalSet  </t>
  </si>
  <si>
    <t>HCG+β CalSet</t>
  </si>
  <si>
    <t xml:space="preserve">HCG STAT CalSet  </t>
  </si>
  <si>
    <t xml:space="preserve">free βhCG CalSet  </t>
  </si>
  <si>
    <t>PAPP‑A CalSet</t>
  </si>
  <si>
    <t>PlGF CalSet</t>
  </si>
  <si>
    <t xml:space="preserve">sFlt‑1 CalSet  </t>
  </si>
  <si>
    <t>C‑Peptide CalSet</t>
  </si>
  <si>
    <t>Insulin CalSet</t>
  </si>
  <si>
    <t>Cortisol II CalSet</t>
  </si>
  <si>
    <t>CalSet Cortisol III Urine</t>
  </si>
  <si>
    <t>ACTH CalSet</t>
  </si>
  <si>
    <t>hGH CalSet</t>
  </si>
  <si>
    <t>CalSet AMH Plus</t>
  </si>
  <si>
    <t>total PSA CalSet II</t>
  </si>
  <si>
    <t>free PSA CalSet</t>
  </si>
  <si>
    <t>AFP CalSet II</t>
  </si>
  <si>
    <t>CEA CalSet</t>
  </si>
  <si>
    <t>CA 125 II CalSet</t>
  </si>
  <si>
    <t>CA 15-3 II CalSet</t>
  </si>
  <si>
    <t>CA 19‑9 CalSet</t>
  </si>
  <si>
    <t>CYFRA 21‑1 CalSet</t>
  </si>
  <si>
    <t>CA 72‑4 CalSet</t>
  </si>
  <si>
    <t xml:space="preserve">NSE CalSet  </t>
  </si>
  <si>
    <t xml:space="preserve">S100 CalSet </t>
  </si>
  <si>
    <t>HE4 CalSet</t>
  </si>
  <si>
    <t xml:space="preserve">CalSet PIVKA‑II  </t>
  </si>
  <si>
    <t>ProGRP CalSet</t>
  </si>
  <si>
    <t>SCC CalSet</t>
  </si>
  <si>
    <t>Digoxin CalSet</t>
  </si>
  <si>
    <t>CalSet CK‑MB</t>
  </si>
  <si>
    <t>CalSet Myoglobin</t>
  </si>
  <si>
    <t xml:space="preserve">CalSet GDF‑15 </t>
  </si>
  <si>
    <t>Troponin T hs CS Elecsys E2G V1.1</t>
  </si>
  <si>
    <t xml:space="preserve">CalSet Troponin I  </t>
  </si>
  <si>
    <t>9315314190</t>
  </si>
  <si>
    <t>proBNP G2 CS Elecsys E2G V2.1</t>
  </si>
  <si>
    <t>Calcitonin CalSet</t>
  </si>
  <si>
    <t>Elecsys IL 6 Calset</t>
  </si>
  <si>
    <t>Ferritin CalSet</t>
  </si>
  <si>
    <t>CalSet Folate</t>
  </si>
  <si>
    <t>Vitamin B12 II CalSet</t>
  </si>
  <si>
    <t xml:space="preserve">CalSet Active B12 </t>
  </si>
  <si>
    <t>IgE CalSet</t>
  </si>
  <si>
    <t>CalSet PTH</t>
  </si>
  <si>
    <t>PTH (1‑84) CalSet</t>
  </si>
  <si>
    <t>total P1NP CalSet</t>
  </si>
  <si>
    <t>β‑CrossLaps CalSet</t>
  </si>
  <si>
    <t xml:space="preserve">N‑MID Osteocalcin CalSet  </t>
  </si>
  <si>
    <t>CalSet Vitamin D total III</t>
  </si>
  <si>
    <t>CalSet IGF‑1</t>
  </si>
  <si>
    <t xml:space="preserve">CalSet IGFBP‑3  </t>
  </si>
  <si>
    <t>CalSet Anti‑SARS‑CoV‑2 S</t>
  </si>
  <si>
    <t>Cyclosporine CalSet</t>
  </si>
  <si>
    <t xml:space="preserve">Everolimus CalSet </t>
  </si>
  <si>
    <t xml:space="preserve">Sirolimus CalSet  </t>
  </si>
  <si>
    <t>Tacrolimus CalSet</t>
  </si>
  <si>
    <t>PreciControl Cortisol Urine</t>
  </si>
  <si>
    <t>PreciControl Active B12</t>
  </si>
  <si>
    <t>PreciControl HCC</t>
  </si>
  <si>
    <t>AssayTip/AssayCup tray</t>
  </si>
  <si>
    <t>Diluent MultiAssay E2G</t>
  </si>
  <si>
    <t>Diluent Universal E2G</t>
  </si>
  <si>
    <t>Elecsys Progesteron Diluent</t>
  </si>
  <si>
    <t>PreClean M G2 2x2L Elecsys E2G e801</t>
  </si>
  <si>
    <t>PreClean M G2 2x2L Elecsys E2G e402</t>
  </si>
  <si>
    <t>CleanCell M 2x2 L Elecsys,cobas e801</t>
  </si>
  <si>
    <t>CleanCell M 2x2 L Elecsys,cobas e402</t>
  </si>
  <si>
    <t>ProCell M G2 2x2L Elecsys E2G e801</t>
  </si>
  <si>
    <t>ProCell M G2 2x2L Elecsys E2G e402</t>
  </si>
  <si>
    <t>BlankCell High Elecsys E2G</t>
  </si>
  <si>
    <t>CellCheck Gen2 Elecsys E2G</t>
  </si>
  <si>
    <t>HBQ Sample Set Elecsys,cobas e</t>
  </si>
  <si>
    <t>Cobas sample cup 5000pcs</t>
  </si>
  <si>
    <t>ControlSet Vials Elecsys,cobas e</t>
  </si>
  <si>
    <t>ISD Sample PT Elecsys cobas e 100</t>
  </si>
  <si>
    <t>Folate RBC Hemolyzing Elecsys,cobas e</t>
  </si>
  <si>
    <t>SARS-CoV-2 Extraction Solution</t>
  </si>
  <si>
    <t>SARS-CoV-2 Extraction Solution C</t>
  </si>
  <si>
    <t>HBsAg Confirmatory Elecsys cobas e</t>
  </si>
  <si>
    <t>Reservoir cup Assy</t>
  </si>
  <si>
    <t>PW LFC CUP ASSY</t>
  </si>
  <si>
    <t>ISE CLEANING SOLUTION</t>
  </si>
  <si>
    <t>cobas t411</t>
  </si>
  <si>
    <t>PT screen cobas t411 (10x10ml)</t>
  </si>
  <si>
    <t>aPTT MedS cobas t411 (20x5ml)</t>
  </si>
  <si>
    <t>aPTT LowS cobas t411 (10x10ml)</t>
  </si>
  <si>
    <t>PT Calibrator Set cobas t411 (5x1x1ml)</t>
  </si>
  <si>
    <t>Control 1 cobas t411 (20x1ml)</t>
  </si>
  <si>
    <t>Control 2 cobas t411 (20x1ml)</t>
  </si>
  <si>
    <t>Control 4 cobas t411 (20x1ml)</t>
  </si>
  <si>
    <t>D-Dimer Gen. 2 cobas t411</t>
  </si>
  <si>
    <t>D-Dimer Gen.2 Control I/II for t411</t>
  </si>
  <si>
    <t>D-Dimer Gen.2 Calibrator for t411</t>
  </si>
  <si>
    <t>CC 25mM cobas t411 (10x15ml)</t>
  </si>
  <si>
    <t>Day Clean (12x11ml)</t>
  </si>
  <si>
    <t>CleanSol cobas t411 (12x5ml)</t>
  </si>
  <si>
    <t>CPC / t 411 Cuvette bar</t>
  </si>
  <si>
    <t>SAMPLE CUP</t>
  </si>
  <si>
    <t>FAM4</t>
  </si>
  <si>
    <t>AGUA DESTILADA X GALON</t>
  </si>
  <si>
    <t>AMPOLLA DE AGUA BIDESTILADA</t>
  </si>
  <si>
    <t>cobas h 232</t>
  </si>
  <si>
    <t>Roche Cardiac Dimero D</t>
  </si>
  <si>
    <t>ROCHE CARDIAC CK-MB 10 TESTS (COBAS)</t>
  </si>
  <si>
    <t>ROCHE CARDIAC PROBNP+ 10 TESTS (COBAS)</t>
  </si>
  <si>
    <t>ROCHE CARDIAC POC TROP T FOR NEW SW VER.</t>
  </si>
  <si>
    <t xml:space="preserve">Tubo tapa verde </t>
  </si>
  <si>
    <t>AVL 9180</t>
  </si>
  <si>
    <t>SNAPPAK, 9180 9181</t>
  </si>
  <si>
    <t>DEPROTEINIZER (125 ML)</t>
  </si>
  <si>
    <t>CLEANING SOLUTION 988-4</t>
  </si>
  <si>
    <t xml:space="preserve">SODIUM CONDITIONER </t>
  </si>
  <si>
    <t>URINE DILUENT, 125ML (tiempo en uso 5 meses)</t>
  </si>
  <si>
    <t>ISETROL ELECTROLYTE CTRL L 1-3</t>
  </si>
  <si>
    <t>PAPER 91XX SERIES PRINTER 5/PKG</t>
  </si>
  <si>
    <t>AVL NA+ ELECTRODE</t>
  </si>
  <si>
    <t>AVL K+ ELECTRODE</t>
  </si>
  <si>
    <t>AVL CA+ ELECTRODE</t>
  </si>
  <si>
    <t>AVL CL ECTRODE</t>
  </si>
  <si>
    <t>ELECTRODE, ISE REFERENCE, 91XX</t>
  </si>
  <si>
    <t>REFERENCE HOUSING</t>
  </si>
  <si>
    <t>cobas b123</t>
  </si>
  <si>
    <t>ESTABILIDAD</t>
  </si>
  <si>
    <t>FLUID PACK COOX 200</t>
  </si>
  <si>
    <t>Combitrol Plus B, Level 2, 30 pcs</t>
  </si>
  <si>
    <t>Combitrol Plus B, Level 1, 30 pcs</t>
  </si>
  <si>
    <t>Combitrol Plus B, Level 3, 30 pcs</t>
  </si>
  <si>
    <t>Sensor Cartridge, BG/ISE/GLU/LAC</t>
  </si>
  <si>
    <t>Printer paper,  b123</t>
  </si>
  <si>
    <t>CLOT CATCHER PRO</t>
  </si>
  <si>
    <t>AMPOULE ADAPTER (150 PCS)</t>
  </si>
  <si>
    <t>COBAS B101 HBA1C TEST 10PC (DIA CLAIM)</t>
  </si>
  <si>
    <t>COBAS B 101 LIPID PANEL 10PC</t>
  </si>
  <si>
    <t>cobas u6500</t>
  </si>
  <si>
    <t>DET AÑO/PROCESO</t>
  </si>
  <si>
    <t>cobas u cuvette (400 pc)</t>
  </si>
  <si>
    <t>cobas u pack (400 strips)</t>
  </si>
  <si>
    <t>cobas U Calibration Strip, 25 Str.</t>
  </si>
  <si>
    <t>25 (1 UN AÑO)</t>
  </si>
  <si>
    <t>12 MESES</t>
  </si>
  <si>
    <t>DIP &amp; SPIN URINE CONTROL (1470-01)</t>
  </si>
  <si>
    <t>2 MESES</t>
  </si>
  <si>
    <t>WASTE BOX CARTON</t>
  </si>
  <si>
    <t>#REF!</t>
  </si>
  <si>
    <t>#ERROR!</t>
  </si>
  <si>
    <t xml:space="preserve">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</si>
</sst>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-&quot;$&quot;* #,##0.00_-;\-&quot;$&quot;* #,##0.00_-;_-&quot;$&quot;* &quot;-&quot;??_-;_-@"/>
    <numFmt numFmtId="165" formatCode="_(&quot;$&quot;\ * #,##0.00_);_(&quot;$&quot;\ * \(#,##0.00\);_(&quot;$&quot;\ * &quot;-&quot;??_);_(@_)"/>
    <numFmt numFmtId="166" formatCode="0.000000000"/>
    <numFmt numFmtId="167" formatCode="0.0"/>
  </numFmts>
  <fonts count="12" x14ac:knownFonts="1">
    <font>
      <sz val="11"/>
      <color theme="1"/>
      <name val="Calibri"/>
      <scheme val="minor"/>
    </font>
    <font>
      <b/>
      <sz val="8"/>
      <color rgb="FF000000"/>
      <name val="Calibri"/>
    </font>
    <font>
      <sz val="11"/>
      <name val="Calibri"/>
    </font>
    <font>
      <sz val="8"/>
      <color rgb="FF000000"/>
      <name val="Calibri"/>
    </font>
    <font>
      <sz val="8"/>
      <color rgb="FF222222"/>
      <name val="Calibri"/>
    </font>
    <font>
      <sz val="11"/>
      <color rgb="FF000000"/>
      <name val="Calibri"/>
    </font>
    <font>
      <vertAlign val="superscript"/>
      <sz val="8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333333"/>
      <name val="Calibri"/>
    </font>
    <font>
      <u/>
      <sz val="8"/>
      <color rgb="FF000000"/>
      <name val="Calibri"/>
      <family val="2"/>
    </font>
    <font>
      <sz val="8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ECCFA"/>
        <bgColor rgb="FFFECCFA"/>
      </patternFill>
    </fill>
    <fill>
      <patternFill patternType="solid">
        <fgColor rgb="FFE7E6E6"/>
        <bgColor rgb="FFE7E6E6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E5E5E5"/>
        <bgColor rgb="FFE5E5E5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164" fontId="3" fillId="0" borderId="6" xfId="0" applyNumberFormat="1" applyFont="1" applyBorder="1" applyAlignment="1">
      <alignment horizontal="left" wrapText="1"/>
    </xf>
    <xf numFmtId="164" fontId="1" fillId="3" borderId="13" xfId="0" applyNumberFormat="1" applyFont="1" applyFill="1" applyBorder="1" applyAlignment="1">
      <alignment horizontal="left" wrapText="1"/>
    </xf>
    <xf numFmtId="0" fontId="3" fillId="3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164" fontId="3" fillId="0" borderId="5" xfId="0" applyNumberFormat="1" applyFont="1" applyBorder="1" applyAlignment="1">
      <alignment horizontal="left" wrapText="1"/>
    </xf>
    <xf numFmtId="164" fontId="1" fillId="3" borderId="5" xfId="0" applyNumberFormat="1" applyFont="1" applyFill="1" applyBorder="1" applyAlignment="1">
      <alignment horizontal="left" wrapText="1"/>
    </xf>
    <xf numFmtId="0" fontId="3" fillId="3" borderId="5" xfId="0" applyFont="1" applyFill="1" applyBorder="1" applyAlignment="1">
      <alignment wrapText="1"/>
    </xf>
    <xf numFmtId="164" fontId="3" fillId="3" borderId="5" xfId="0" applyNumberFormat="1" applyFont="1" applyFill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wrapText="1"/>
    </xf>
    <xf numFmtId="0" fontId="3" fillId="3" borderId="5" xfId="0" applyFont="1" applyFill="1" applyBorder="1"/>
    <xf numFmtId="164" fontId="1" fillId="3" borderId="14" xfId="0" applyNumberFormat="1" applyFont="1" applyFill="1" applyBorder="1" applyAlignment="1">
      <alignment horizontal="left" wrapText="1"/>
    </xf>
    <xf numFmtId="0" fontId="3" fillId="0" borderId="5" xfId="0" applyFont="1" applyBorder="1"/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1" fillId="2" borderId="17" xfId="0" applyFont="1" applyFill="1" applyBorder="1" applyAlignment="1">
      <alignment horizontal="left" wrapText="1"/>
    </xf>
    <xf numFmtId="164" fontId="1" fillId="3" borderId="18" xfId="0" applyNumberFormat="1" applyFont="1" applyFill="1" applyBorder="1" applyAlignment="1">
      <alignment horizontal="left" wrapText="1"/>
    </xf>
    <xf numFmtId="0" fontId="3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9" fontId="1" fillId="2" borderId="21" xfId="0" applyNumberFormat="1" applyFont="1" applyFill="1" applyBorder="1" applyAlignment="1">
      <alignment horizontal="left" wrapText="1"/>
    </xf>
    <xf numFmtId="164" fontId="1" fillId="3" borderId="22" xfId="0" applyNumberFormat="1" applyFont="1" applyFill="1" applyBorder="1" applyAlignment="1">
      <alignment horizontal="left" wrapText="1"/>
    </xf>
    <xf numFmtId="0" fontId="1" fillId="2" borderId="23" xfId="0" applyFont="1" applyFill="1" applyBorder="1" applyAlignment="1">
      <alignment horizontal="left" wrapText="1"/>
    </xf>
    <xf numFmtId="164" fontId="1" fillId="3" borderId="24" xfId="0" applyNumberFormat="1" applyFont="1" applyFill="1" applyBorder="1" applyAlignment="1">
      <alignment horizontal="left" wrapText="1"/>
    </xf>
    <xf numFmtId="0" fontId="3" fillId="0" borderId="10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5" fontId="1" fillId="0" borderId="0" xfId="0" applyNumberFormat="1" applyFont="1"/>
    <xf numFmtId="164" fontId="3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1" fillId="4" borderId="28" xfId="0" applyFont="1" applyFill="1" applyBorder="1" applyAlignment="1">
      <alignment horizontal="left"/>
    </xf>
    <xf numFmtId="0" fontId="1" fillId="4" borderId="28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29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5" borderId="5" xfId="0" applyNumberFormat="1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3" fillId="4" borderId="28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/>
    </xf>
    <xf numFmtId="2" fontId="3" fillId="5" borderId="13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3" fillId="5" borderId="5" xfId="0" applyFont="1" applyFill="1" applyBorder="1"/>
    <xf numFmtId="0" fontId="3" fillId="5" borderId="5" xfId="0" applyFont="1" applyFill="1" applyBorder="1" applyAlignment="1">
      <alignment horizontal="left" wrapText="1"/>
    </xf>
    <xf numFmtId="0" fontId="3" fillId="6" borderId="5" xfId="0" applyFont="1" applyFill="1" applyBorder="1" applyAlignment="1">
      <alignment horizontal="left" wrapText="1"/>
    </xf>
    <xf numFmtId="0" fontId="3" fillId="6" borderId="5" xfId="0" applyFont="1" applyFill="1" applyBorder="1" applyAlignment="1">
      <alignment wrapText="1"/>
    </xf>
    <xf numFmtId="0" fontId="3" fillId="6" borderId="5" xfId="0" applyFont="1" applyFill="1" applyBorder="1" applyAlignment="1">
      <alignment horizontal="center"/>
    </xf>
    <xf numFmtId="2" fontId="3" fillId="6" borderId="5" xfId="0" applyNumberFormat="1" applyFont="1" applyFill="1" applyBorder="1" applyAlignment="1">
      <alignment horizontal="center"/>
    </xf>
    <xf numFmtId="2" fontId="3" fillId="6" borderId="14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/>
    </xf>
    <xf numFmtId="2" fontId="3" fillId="7" borderId="5" xfId="0" applyNumberFormat="1" applyFont="1" applyFill="1" applyBorder="1" applyAlignment="1">
      <alignment horizontal="center"/>
    </xf>
    <xf numFmtId="2" fontId="3" fillId="7" borderId="32" xfId="0" applyNumberFormat="1" applyFont="1" applyFill="1" applyBorder="1" applyAlignment="1">
      <alignment horizontal="center"/>
    </xf>
    <xf numFmtId="2" fontId="3" fillId="7" borderId="33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wrapText="1"/>
    </xf>
    <xf numFmtId="2" fontId="3" fillId="5" borderId="14" xfId="0" applyNumberFormat="1" applyFont="1" applyFill="1" applyBorder="1" applyAlignment="1">
      <alignment horizontal="center"/>
    </xf>
    <xf numFmtId="0" fontId="3" fillId="8" borderId="5" xfId="0" applyFont="1" applyFill="1" applyBorder="1" applyAlignment="1">
      <alignment horizontal="left" wrapText="1"/>
    </xf>
    <xf numFmtId="0" fontId="3" fillId="8" borderId="5" xfId="0" applyFont="1" applyFill="1" applyBorder="1" applyAlignment="1">
      <alignment wrapText="1"/>
    </xf>
    <xf numFmtId="0" fontId="3" fillId="8" borderId="5" xfId="0" applyFont="1" applyFill="1" applyBorder="1" applyAlignment="1">
      <alignment horizontal="center"/>
    </xf>
    <xf numFmtId="2" fontId="3" fillId="8" borderId="5" xfId="0" applyNumberFormat="1" applyFont="1" applyFill="1" applyBorder="1" applyAlignment="1">
      <alignment horizontal="center"/>
    </xf>
    <xf numFmtId="2" fontId="3" fillId="8" borderId="32" xfId="0" applyNumberFormat="1" applyFont="1" applyFill="1" applyBorder="1" applyAlignment="1">
      <alignment horizontal="center"/>
    </xf>
    <xf numFmtId="2" fontId="3" fillId="8" borderId="33" xfId="0" applyNumberFormat="1" applyFont="1" applyFill="1" applyBorder="1" applyAlignment="1">
      <alignment horizontal="center"/>
    </xf>
    <xf numFmtId="2" fontId="3" fillId="8" borderId="34" xfId="0" applyNumberFormat="1" applyFont="1" applyFill="1" applyBorder="1" applyAlignment="1">
      <alignment horizontal="center"/>
    </xf>
    <xf numFmtId="2" fontId="3" fillId="8" borderId="24" xfId="0" applyNumberFormat="1" applyFont="1" applyFill="1" applyBorder="1" applyAlignment="1">
      <alignment horizontal="center"/>
    </xf>
    <xf numFmtId="2" fontId="3" fillId="6" borderId="13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2" fontId="3" fillId="7" borderId="11" xfId="0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1" fillId="9" borderId="28" xfId="0" applyFont="1" applyFill="1" applyBorder="1" applyAlignment="1">
      <alignment wrapText="1"/>
    </xf>
    <xf numFmtId="0" fontId="1" fillId="9" borderId="28" xfId="0" applyFont="1" applyFill="1" applyBorder="1" applyAlignment="1">
      <alignment horizontal="right" wrapText="1"/>
    </xf>
    <xf numFmtId="0" fontId="5" fillId="9" borderId="28" xfId="0" applyFont="1" applyFill="1" applyBorder="1" applyAlignment="1">
      <alignment wrapText="1"/>
    </xf>
    <xf numFmtId="0" fontId="1" fillId="4" borderId="35" xfId="0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/>
    </xf>
    <xf numFmtId="2" fontId="3" fillId="0" borderId="36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3" fillId="0" borderId="5" xfId="0" applyFont="1" applyBorder="1" applyAlignment="1">
      <alignment vertical="top"/>
    </xf>
    <xf numFmtId="0" fontId="3" fillId="0" borderId="36" xfId="0" applyFont="1" applyBorder="1" applyAlignment="1">
      <alignment vertical="top"/>
    </xf>
    <xf numFmtId="1" fontId="3" fillId="0" borderId="29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 vertical="top"/>
    </xf>
    <xf numFmtId="0" fontId="3" fillId="0" borderId="37" xfId="0" applyFont="1" applyBorder="1" applyAlignment="1">
      <alignment vertical="top"/>
    </xf>
    <xf numFmtId="0" fontId="3" fillId="8" borderId="13" xfId="0" applyFont="1" applyFill="1" applyBorder="1" applyAlignment="1">
      <alignment vertical="top"/>
    </xf>
    <xf numFmtId="0" fontId="3" fillId="8" borderId="13" xfId="0" applyFont="1" applyFill="1" applyBorder="1" applyAlignment="1">
      <alignment horizontal="left" vertical="top"/>
    </xf>
    <xf numFmtId="1" fontId="1" fillId="8" borderId="13" xfId="0" applyNumberFormat="1" applyFont="1" applyFill="1" applyBorder="1"/>
    <xf numFmtId="1" fontId="1" fillId="8" borderId="13" xfId="0" applyNumberFormat="1" applyFont="1" applyFill="1" applyBorder="1" applyAlignment="1">
      <alignment horizontal="center"/>
    </xf>
    <xf numFmtId="1" fontId="3" fillId="8" borderId="13" xfId="0" applyNumberFormat="1" applyFont="1" applyFill="1" applyBorder="1" applyAlignment="1">
      <alignment horizontal="center"/>
    </xf>
    <xf numFmtId="1" fontId="3" fillId="8" borderId="38" xfId="0" applyNumberFormat="1" applyFont="1" applyFill="1" applyBorder="1" applyAlignment="1">
      <alignment horizontal="center"/>
    </xf>
    <xf numFmtId="1" fontId="3" fillId="8" borderId="5" xfId="0" applyNumberFormat="1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3" fillId="10" borderId="13" xfId="0" applyFont="1" applyFill="1" applyBorder="1" applyAlignment="1">
      <alignment horizontal="left"/>
    </xf>
    <xf numFmtId="0" fontId="3" fillId="10" borderId="13" xfId="0" applyFont="1" applyFill="1" applyBorder="1" applyAlignment="1">
      <alignment horizontal="center"/>
    </xf>
    <xf numFmtId="2" fontId="3" fillId="10" borderId="13" xfId="0" applyNumberFormat="1" applyFont="1" applyFill="1" applyBorder="1"/>
    <xf numFmtId="1" fontId="3" fillId="10" borderId="13" xfId="0" applyNumberFormat="1" applyFont="1" applyFill="1" applyBorder="1" applyAlignment="1">
      <alignment horizontal="center"/>
    </xf>
    <xf numFmtId="1" fontId="3" fillId="10" borderId="5" xfId="0" applyNumberFormat="1" applyFont="1" applyFill="1" applyBorder="1" applyAlignment="1">
      <alignment horizontal="center"/>
    </xf>
    <xf numFmtId="165" fontId="3" fillId="10" borderId="39" xfId="0" applyNumberFormat="1" applyFont="1" applyFill="1" applyBorder="1"/>
    <xf numFmtId="165" fontId="3" fillId="10" borderId="5" xfId="0" applyNumberFormat="1" applyFont="1" applyFill="1" applyBorder="1"/>
    <xf numFmtId="0" fontId="3" fillId="0" borderId="7" xfId="0" applyFont="1" applyBorder="1" applyAlignment="1">
      <alignment horizontal="left" vertical="top"/>
    </xf>
    <xf numFmtId="0" fontId="3" fillId="0" borderId="29" xfId="0" applyFont="1" applyBorder="1" applyAlignment="1">
      <alignment vertical="top"/>
    </xf>
    <xf numFmtId="0" fontId="3" fillId="0" borderId="36" xfId="0" applyFont="1" applyBorder="1" applyAlignment="1">
      <alignment horizontal="center"/>
    </xf>
    <xf numFmtId="0" fontId="1" fillId="10" borderId="5" xfId="0" applyFont="1" applyFill="1" applyBorder="1" applyAlignment="1">
      <alignment horizontal="center" vertical="top"/>
    </xf>
    <xf numFmtId="0" fontId="3" fillId="10" borderId="5" xfId="0" applyFont="1" applyFill="1" applyBorder="1" applyAlignment="1">
      <alignment horizontal="left" vertical="top"/>
    </xf>
    <xf numFmtId="0" fontId="3" fillId="10" borderId="5" xfId="0" applyFont="1" applyFill="1" applyBorder="1" applyAlignment="1">
      <alignment horizontal="center"/>
    </xf>
    <xf numFmtId="2" fontId="3" fillId="10" borderId="5" xfId="0" applyNumberFormat="1" applyFont="1" applyFill="1" applyBorder="1" applyAlignment="1">
      <alignment horizontal="center"/>
    </xf>
    <xf numFmtId="0" fontId="3" fillId="10" borderId="39" xfId="0" applyFont="1" applyFill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166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vertical="top"/>
    </xf>
    <xf numFmtId="0" fontId="3" fillId="0" borderId="6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11" borderId="5" xfId="0" applyFont="1" applyFill="1" applyBorder="1" applyAlignment="1">
      <alignment horizontal="center" vertical="center"/>
    </xf>
    <xf numFmtId="0" fontId="3" fillId="11" borderId="40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0" fontId="3" fillId="11" borderId="39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left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2" xfId="0" applyFont="1" applyBorder="1" applyAlignment="1">
      <alignment horizontal="left"/>
    </xf>
    <xf numFmtId="0" fontId="3" fillId="8" borderId="5" xfId="0" applyFont="1" applyFill="1" applyBorder="1" applyAlignment="1">
      <alignment vertical="top"/>
    </xf>
    <xf numFmtId="0" fontId="3" fillId="8" borderId="5" xfId="0" applyFont="1" applyFill="1" applyBorder="1" applyAlignment="1">
      <alignment horizontal="left" vertical="top"/>
    </xf>
    <xf numFmtId="1" fontId="1" fillId="8" borderId="5" xfId="0" applyNumberFormat="1" applyFont="1" applyFill="1" applyBorder="1"/>
    <xf numFmtId="0" fontId="3" fillId="11" borderId="3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vertical="center"/>
    </xf>
    <xf numFmtId="0" fontId="5" fillId="0" borderId="0" xfId="0" applyFont="1"/>
    <xf numFmtId="0" fontId="1" fillId="9" borderId="28" xfId="0" applyFont="1" applyFill="1" applyBorder="1"/>
    <xf numFmtId="0" fontId="1" fillId="9" borderId="28" xfId="0" applyFont="1" applyFill="1" applyBorder="1" applyAlignment="1">
      <alignment horizontal="center"/>
    </xf>
    <xf numFmtId="0" fontId="1" fillId="9" borderId="28" xfId="0" applyFont="1" applyFill="1" applyBorder="1" applyAlignment="1">
      <alignment horizontal="right"/>
    </xf>
    <xf numFmtId="0" fontId="5" fillId="9" borderId="28" xfId="0" applyFont="1" applyFill="1" applyBorder="1"/>
    <xf numFmtId="0" fontId="1" fillId="9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 wrapText="1"/>
    </xf>
    <xf numFmtId="0" fontId="3" fillId="0" borderId="29" xfId="0" applyFont="1" applyBorder="1" applyAlignment="1">
      <alignment horizontal="right"/>
    </xf>
    <xf numFmtId="0" fontId="1" fillId="13" borderId="5" xfId="0" applyFont="1" applyFill="1" applyBorder="1" applyAlignment="1">
      <alignment horizontal="center"/>
    </xf>
    <xf numFmtId="2" fontId="1" fillId="13" borderId="5" xfId="0" applyNumberFormat="1" applyFont="1" applyFill="1" applyBorder="1" applyAlignment="1">
      <alignment horizontal="center"/>
    </xf>
    <xf numFmtId="0" fontId="3" fillId="13" borderId="5" xfId="0" applyFont="1" applyFill="1" applyBorder="1"/>
    <xf numFmtId="0" fontId="1" fillId="14" borderId="5" xfId="0" applyFont="1" applyFill="1" applyBorder="1"/>
    <xf numFmtId="0" fontId="1" fillId="14" borderId="5" xfId="0" applyFont="1" applyFill="1" applyBorder="1" applyAlignment="1">
      <alignment horizontal="center"/>
    </xf>
    <xf numFmtId="2" fontId="1" fillId="14" borderId="5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right" vertical="top"/>
    </xf>
    <xf numFmtId="14" fontId="3" fillId="0" borderId="0" xfId="0" applyNumberFormat="1" applyFont="1" applyAlignment="1">
      <alignment horizontal="right" wrapText="1"/>
    </xf>
    <xf numFmtId="0" fontId="1" fillId="15" borderId="28" xfId="0" applyFont="1" applyFill="1" applyBorder="1"/>
    <xf numFmtId="0" fontId="1" fillId="15" borderId="5" xfId="0" applyFont="1" applyFill="1" applyBorder="1" applyAlignment="1">
      <alignment horizontal="right"/>
    </xf>
    <xf numFmtId="0" fontId="1" fillId="12" borderId="5" xfId="0" applyFont="1" applyFill="1" applyBorder="1" applyAlignment="1">
      <alignment horizontal="center"/>
    </xf>
    <xf numFmtId="2" fontId="3" fillId="0" borderId="0" xfId="0" applyNumberFormat="1" applyFont="1"/>
    <xf numFmtId="0" fontId="1" fillId="9" borderId="1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29" xfId="0" applyFont="1" applyBorder="1"/>
    <xf numFmtId="0" fontId="3" fillId="0" borderId="36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49" fontId="3" fillId="0" borderId="5" xfId="0" applyNumberFormat="1" applyFont="1" applyBorder="1" applyAlignment="1">
      <alignment horizontal="right"/>
    </xf>
    <xf numFmtId="49" fontId="3" fillId="0" borderId="5" xfId="0" applyNumberFormat="1" applyFont="1" applyBorder="1"/>
    <xf numFmtId="0" fontId="3" fillId="0" borderId="7" xfId="0" applyFont="1" applyBorder="1" applyAlignment="1">
      <alignment horizontal="right"/>
    </xf>
    <xf numFmtId="1" fontId="1" fillId="8" borderId="5" xfId="0" applyNumberFormat="1" applyFont="1" applyFill="1" applyBorder="1" applyAlignment="1">
      <alignment horizontal="right"/>
    </xf>
    <xf numFmtId="1" fontId="1" fillId="8" borderId="5" xfId="0" applyNumberFormat="1" applyFont="1" applyFill="1" applyBorder="1" applyAlignment="1">
      <alignment horizontal="center"/>
    </xf>
    <xf numFmtId="0" fontId="1" fillId="9" borderId="5" xfId="0" applyFont="1" applyFill="1" applyBorder="1"/>
    <xf numFmtId="0" fontId="1" fillId="9" borderId="5" xfId="0" applyFont="1" applyFill="1" applyBorder="1" applyAlignment="1">
      <alignment horizontal="center"/>
    </xf>
    <xf numFmtId="2" fontId="1" fillId="9" borderId="5" xfId="0" applyNumberFormat="1" applyFont="1" applyFill="1" applyBorder="1" applyAlignment="1">
      <alignment horizontal="center"/>
    </xf>
    <xf numFmtId="43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0" fontId="3" fillId="0" borderId="36" xfId="0" applyFont="1" applyBorder="1"/>
    <xf numFmtId="2" fontId="3" fillId="0" borderId="5" xfId="0" applyNumberFormat="1" applyFont="1" applyBorder="1" applyAlignment="1">
      <alignment horizontal="center" wrapText="1"/>
    </xf>
    <xf numFmtId="43" fontId="3" fillId="0" borderId="0" xfId="0" applyNumberFormat="1" applyFont="1" applyAlignment="1">
      <alignment horizontal="center" wrapText="1"/>
    </xf>
    <xf numFmtId="0" fontId="1" fillId="9" borderId="5" xfId="0" applyFont="1" applyFill="1" applyBorder="1" applyAlignment="1">
      <alignment wrapText="1"/>
    </xf>
    <xf numFmtId="0" fontId="1" fillId="9" borderId="5" xfId="0" applyFont="1" applyFill="1" applyBorder="1" applyAlignment="1">
      <alignment horizontal="right" wrapText="1"/>
    </xf>
    <xf numFmtId="0" fontId="3" fillId="12" borderId="5" xfId="0" applyFont="1" applyFill="1" applyBorder="1" applyAlignment="1">
      <alignment wrapText="1"/>
    </xf>
    <xf numFmtId="49" fontId="3" fillId="0" borderId="5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horizontal="right" wrapText="1"/>
    </xf>
    <xf numFmtId="0" fontId="3" fillId="9" borderId="5" xfId="0" applyFont="1" applyFill="1" applyBorder="1"/>
    <xf numFmtId="43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12" borderId="28" xfId="0" applyFont="1" applyFill="1" applyBorder="1"/>
    <xf numFmtId="0" fontId="7" fillId="12" borderId="28" xfId="0" applyFont="1" applyFill="1" applyBorder="1" applyAlignment="1">
      <alignment horizontal="center"/>
    </xf>
    <xf numFmtId="0" fontId="8" fillId="12" borderId="28" xfId="0" applyFont="1" applyFill="1" applyBorder="1"/>
    <xf numFmtId="0" fontId="8" fillId="12" borderId="28" xfId="0" applyFont="1" applyFill="1" applyBorder="1" applyAlignment="1">
      <alignment horizontal="center"/>
    </xf>
    <xf numFmtId="9" fontId="3" fillId="0" borderId="0" xfId="0" applyNumberFormat="1" applyFont="1" applyAlignment="1">
      <alignment horizontal="right"/>
    </xf>
    <xf numFmtId="0" fontId="1" fillId="9" borderId="14" xfId="0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/>
    </xf>
    <xf numFmtId="0" fontId="3" fillId="16" borderId="35" xfId="0" applyFont="1" applyFill="1" applyBorder="1" applyAlignment="1">
      <alignment horizontal="center"/>
    </xf>
    <xf numFmtId="2" fontId="3" fillId="16" borderId="5" xfId="0" applyNumberFormat="1" applyFont="1" applyFill="1" applyBorder="1" applyAlignment="1">
      <alignment horizontal="center"/>
    </xf>
    <xf numFmtId="2" fontId="3" fillId="16" borderId="5" xfId="0" applyNumberFormat="1" applyFont="1" applyFill="1" applyBorder="1" applyAlignment="1">
      <alignment horizontal="center" vertical="center"/>
    </xf>
    <xf numFmtId="2" fontId="3" fillId="16" borderId="39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3" fillId="0" borderId="36" xfId="0" applyNumberFormat="1" applyFont="1" applyBorder="1" applyAlignment="1">
      <alignment horizontal="center" vertical="center"/>
    </xf>
    <xf numFmtId="2" fontId="3" fillId="16" borderId="39" xfId="0" applyNumberFormat="1" applyFont="1" applyFill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0" fontId="1" fillId="12" borderId="28" xfId="0" applyFont="1" applyFill="1" applyBorder="1" applyAlignment="1">
      <alignment horizontal="center"/>
    </xf>
    <xf numFmtId="0" fontId="3" fillId="12" borderId="2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17" borderId="28" xfId="0" applyFont="1" applyFill="1" applyBorder="1"/>
    <xf numFmtId="0" fontId="1" fillId="17" borderId="28" xfId="0" applyFont="1" applyFill="1" applyBorder="1" applyAlignment="1">
      <alignment horizontal="center"/>
    </xf>
    <xf numFmtId="0" fontId="3" fillId="17" borderId="2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1" fillId="12" borderId="28" xfId="0" applyFont="1" applyFill="1" applyBorder="1"/>
    <xf numFmtId="0" fontId="1" fillId="12" borderId="28" xfId="0" applyFont="1" applyFill="1" applyBorder="1" applyAlignment="1">
      <alignment horizontal="left"/>
    </xf>
    <xf numFmtId="0" fontId="3" fillId="12" borderId="28" xfId="0" applyFont="1" applyFill="1" applyBorder="1"/>
    <xf numFmtId="0" fontId="1" fillId="9" borderId="3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165" fontId="1" fillId="9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/>
    </xf>
    <xf numFmtId="0" fontId="3" fillId="9" borderId="5" xfId="0" applyFont="1" applyFill="1" applyBorder="1" applyAlignment="1">
      <alignment horizontal="center"/>
    </xf>
    <xf numFmtId="167" fontId="3" fillId="9" borderId="5" xfId="0" applyNumberFormat="1" applyFont="1" applyFill="1" applyBorder="1" applyAlignment="1">
      <alignment horizontal="center"/>
    </xf>
    <xf numFmtId="0" fontId="3" fillId="9" borderId="39" xfId="0" applyFont="1" applyFill="1" applyBorder="1"/>
    <xf numFmtId="0" fontId="10" fillId="5" borderId="5" xfId="0" applyFont="1" applyFill="1" applyBorder="1" applyAlignment="1">
      <alignment horizontal="center"/>
    </xf>
    <xf numFmtId="0" fontId="11" fillId="4" borderId="28" xfId="0" applyFont="1" applyFill="1" applyBorder="1" applyAlignment="1">
      <alignment horizontal="center"/>
    </xf>
    <xf numFmtId="0" fontId="11" fillId="3" borderId="1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25" xfId="0" applyFont="1" applyBorder="1" applyAlignment="1">
      <alignment horizontal="left" vertical="center"/>
    </xf>
    <xf numFmtId="0" fontId="2" fillId="0" borderId="26" xfId="0" applyFont="1" applyBorder="1"/>
    <xf numFmtId="0" fontId="2" fillId="0" borderId="27" xfId="0" applyFont="1" applyBorder="1"/>
    <xf numFmtId="0" fontId="3" fillId="0" borderId="7" xfId="0" applyFont="1" applyBorder="1" applyAlignment="1">
      <alignment horizontal="center" vertical="center" wrapText="1"/>
    </xf>
    <xf numFmtId="0" fontId="2" fillId="0" borderId="30" xfId="0" applyFont="1" applyBorder="1"/>
    <xf numFmtId="0" fontId="2" fillId="0" borderId="6" xfId="0" applyFont="1" applyBorder="1"/>
    <xf numFmtId="0" fontId="3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/>
    <xf numFmtId="0" fontId="1" fillId="11" borderId="36" xfId="0" applyFont="1" applyFill="1" applyBorder="1" applyAlignment="1">
      <alignment horizontal="center" wrapText="1"/>
    </xf>
    <xf numFmtId="0" fontId="2" fillId="0" borderId="29" xfId="0" applyFont="1" applyBorder="1"/>
    <xf numFmtId="0" fontId="1" fillId="13" borderId="36" xfId="0" applyFont="1" applyFill="1" applyBorder="1" applyAlignment="1">
      <alignment horizontal="right"/>
    </xf>
    <xf numFmtId="0" fontId="2" fillId="0" borderId="43" xfId="0" applyFont="1" applyBorder="1"/>
    <xf numFmtId="0" fontId="1" fillId="9" borderId="36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32385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7622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7622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4" zoomScale="85" zoomScaleNormal="85" workbookViewId="0">
      <selection activeCell="A57" sqref="A57:F57"/>
    </sheetView>
  </sheetViews>
  <sheetFormatPr baseColWidth="10" defaultColWidth="14.44140625" defaultRowHeight="15" customHeight="1" x14ac:dyDescent="0.3"/>
  <cols>
    <col min="1" max="1" width="47.6640625" customWidth="1"/>
    <col min="2" max="2" width="43.109375" customWidth="1"/>
    <col min="3" max="4" width="11.44140625" customWidth="1"/>
    <col min="5" max="5" width="35.33203125" customWidth="1"/>
    <col min="6" max="6" width="11.44140625" customWidth="1"/>
    <col min="7" max="26" width="10.6640625" customWidth="1"/>
  </cols>
  <sheetData>
    <row r="1" spans="1:26" ht="13.5" customHeight="1" x14ac:dyDescent="0.3">
      <c r="A1" s="263" t="s">
        <v>0</v>
      </c>
      <c r="B1" s="264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">
      <c r="A2" s="3" t="s">
        <v>1</v>
      </c>
      <c r="B2" s="4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">
      <c r="A3" s="5" t="s">
        <v>2</v>
      </c>
      <c r="B3" s="6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">
      <c r="A4" s="7" t="s">
        <v>3</v>
      </c>
      <c r="B4" s="8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">
      <c r="A5" s="9" t="s">
        <v>4</v>
      </c>
      <c r="B5" s="10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">
      <c r="A6" s="11" t="s">
        <v>5</v>
      </c>
      <c r="B6" s="12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">
      <c r="A7" s="11" t="s">
        <v>6</v>
      </c>
      <c r="B7" s="12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">
      <c r="A8" s="11" t="s">
        <v>7</v>
      </c>
      <c r="B8" s="12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">
      <c r="A9" s="11" t="s">
        <v>8</v>
      </c>
      <c r="B9" s="12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">
      <c r="A10" s="13" t="s">
        <v>9</v>
      </c>
      <c r="B10" s="8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">
      <c r="A11" s="11" t="s">
        <v>10</v>
      </c>
      <c r="B11" s="12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">
      <c r="A12" s="11" t="s">
        <v>11</v>
      </c>
      <c r="B12" s="12"/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">
      <c r="A13" s="11" t="s">
        <v>12</v>
      </c>
      <c r="B13" s="12"/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">
      <c r="A14" s="11" t="s">
        <v>13</v>
      </c>
      <c r="B14" s="12"/>
      <c r="C14" s="1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">
      <c r="A15" s="11" t="s">
        <v>14</v>
      </c>
      <c r="B15" s="12"/>
      <c r="C15" s="1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">
      <c r="A16" s="11" t="s">
        <v>15</v>
      </c>
      <c r="B16" s="12"/>
      <c r="C16" s="1"/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">
      <c r="A17" s="11" t="s">
        <v>16</v>
      </c>
      <c r="B17" s="12"/>
      <c r="C17" s="1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">
      <c r="A18" s="11" t="s">
        <v>17</v>
      </c>
      <c r="B18" s="12"/>
      <c r="C18" s="1"/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3" t="s">
        <v>18</v>
      </c>
      <c r="B19" s="8"/>
      <c r="C19" s="1"/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4" t="s">
        <v>19</v>
      </c>
      <c r="B20" s="12"/>
      <c r="C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1" t="s">
        <v>20</v>
      </c>
      <c r="C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">
      <c r="A22" s="11" t="s">
        <v>21</v>
      </c>
      <c r="B22" s="12"/>
      <c r="C22" s="1"/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1" t="s">
        <v>22</v>
      </c>
      <c r="B23" s="12"/>
      <c r="C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1" t="s">
        <v>23</v>
      </c>
      <c r="B24" s="12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1" t="s">
        <v>24</v>
      </c>
      <c r="B25" s="12"/>
      <c r="C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1" t="s">
        <v>25</v>
      </c>
      <c r="B26" s="12"/>
      <c r="C26" s="1"/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1" t="s">
        <v>26</v>
      </c>
      <c r="B27" s="12"/>
      <c r="C27" s="1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1" t="s">
        <v>27</v>
      </c>
      <c r="B28" s="12"/>
      <c r="C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1" t="s">
        <v>28</v>
      </c>
      <c r="B29" s="12"/>
      <c r="C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1" t="s">
        <v>29</v>
      </c>
      <c r="B30" s="12"/>
      <c r="C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3" t="s">
        <v>30</v>
      </c>
      <c r="B31" s="8"/>
      <c r="C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11" t="s">
        <v>31</v>
      </c>
      <c r="B32" s="12"/>
      <c r="C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11" t="s">
        <v>32</v>
      </c>
      <c r="B33" s="12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11" t="s">
        <v>33</v>
      </c>
      <c r="B34" s="12"/>
      <c r="C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11" t="s">
        <v>34</v>
      </c>
      <c r="B35" s="12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14" t="s">
        <v>35</v>
      </c>
      <c r="B36" s="12"/>
      <c r="C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11" t="s">
        <v>36</v>
      </c>
      <c r="B37" s="12"/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11" t="s">
        <v>37</v>
      </c>
      <c r="B38" s="12"/>
      <c r="C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11" t="s">
        <v>33</v>
      </c>
      <c r="B39" s="12"/>
      <c r="C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14" t="s">
        <v>38</v>
      </c>
      <c r="B40" s="12"/>
      <c r="C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11" t="s">
        <v>39</v>
      </c>
      <c r="B41" s="12"/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11" t="s">
        <v>39</v>
      </c>
      <c r="B42" s="12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11" t="s">
        <v>39</v>
      </c>
      <c r="B43" s="12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13" t="s">
        <v>40</v>
      </c>
      <c r="B44" s="8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11" t="s">
        <v>41</v>
      </c>
      <c r="B45" s="12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11" t="s">
        <v>42</v>
      </c>
      <c r="B46" s="12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11" t="s">
        <v>43</v>
      </c>
      <c r="B47" s="12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13" t="s">
        <v>44</v>
      </c>
      <c r="B48" s="8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11" t="s">
        <v>45</v>
      </c>
      <c r="B49" s="12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11" t="s">
        <v>46</v>
      </c>
      <c r="B50" s="12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12" t="s">
        <v>47</v>
      </c>
      <c r="B51" s="12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13" t="s">
        <v>48</v>
      </c>
      <c r="B52" s="8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11" t="s">
        <v>49</v>
      </c>
      <c r="B53" s="12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11" t="s">
        <v>50</v>
      </c>
      <c r="B54" s="12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12" t="s">
        <v>51</v>
      </c>
      <c r="B55" s="12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15"/>
      <c r="B56" s="16" t="str">
        <f ca="1">IFERROR(__xludf.DUMMYFUNCTION("REGEXREPLACE(LOWER(A56),""[^a-z0-9]+"",""_"")"),"")</f>
        <v/>
      </c>
      <c r="C56" s="1"/>
      <c r="D56" s="17"/>
      <c r="E56" s="18"/>
      <c r="F56" s="1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19" t="s">
        <v>52</v>
      </c>
      <c r="B57" s="20" t="s">
        <v>53</v>
      </c>
      <c r="C57" s="20" t="s">
        <v>54</v>
      </c>
      <c r="D57" s="20" t="s">
        <v>55</v>
      </c>
      <c r="E57" s="20" t="s">
        <v>56</v>
      </c>
      <c r="F57" s="21" t="s">
        <v>57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62" t="s">
        <v>58</v>
      </c>
      <c r="B58" s="22"/>
      <c r="C58" s="22"/>
      <c r="D58" s="23"/>
      <c r="E58" s="24"/>
      <c r="F58" s="25" t="s">
        <v>59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6" t="s">
        <v>60</v>
      </c>
      <c r="B59" s="22"/>
      <c r="C59" s="27"/>
      <c r="D59" s="28"/>
      <c r="E59" s="29"/>
      <c r="F59" s="30" t="s">
        <v>59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6" t="s">
        <v>61</v>
      </c>
      <c r="B60" s="22"/>
      <c r="C60" s="31"/>
      <c r="D60" s="28"/>
      <c r="E60" s="29"/>
      <c r="F60" s="30" t="s">
        <v>59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6" t="s">
        <v>62</v>
      </c>
      <c r="B61" s="22"/>
      <c r="C61" s="31"/>
      <c r="D61" s="28"/>
      <c r="E61" s="29"/>
      <c r="F61" s="30" t="s">
        <v>59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6" t="s">
        <v>63</v>
      </c>
      <c r="B62" s="22"/>
      <c r="C62" s="12"/>
      <c r="D62" s="28"/>
      <c r="E62" s="29"/>
      <c r="F62" s="30" t="s">
        <v>59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6" t="s">
        <v>64</v>
      </c>
      <c r="B63" s="22"/>
      <c r="C63" s="12"/>
      <c r="D63" s="28"/>
      <c r="E63" s="24"/>
      <c r="F63" s="30" t="s">
        <v>59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6" t="s">
        <v>65</v>
      </c>
      <c r="B64" s="22"/>
      <c r="C64" s="12"/>
      <c r="D64" s="28"/>
      <c r="E64" s="29"/>
      <c r="F64" s="30" t="s">
        <v>59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6" t="s">
        <v>66</v>
      </c>
      <c r="B65" s="22"/>
      <c r="C65" s="12"/>
      <c r="D65" s="28"/>
      <c r="E65" s="29"/>
      <c r="F65" s="30" t="s">
        <v>59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6" t="s">
        <v>67</v>
      </c>
      <c r="B66" s="22"/>
      <c r="C66" s="12"/>
      <c r="D66" s="28"/>
      <c r="E66" s="29"/>
      <c r="F66" s="30" t="s">
        <v>59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6" t="s">
        <v>68</v>
      </c>
      <c r="B67" s="22"/>
      <c r="C67" s="12"/>
      <c r="D67" s="28"/>
      <c r="E67" s="29"/>
      <c r="F67" s="30" t="s">
        <v>59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6" t="s">
        <v>69</v>
      </c>
      <c r="B68" s="22"/>
      <c r="C68" s="12"/>
      <c r="D68" s="28"/>
      <c r="E68" s="24"/>
      <c r="F68" s="3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6" t="s">
        <v>70</v>
      </c>
      <c r="B69" s="22"/>
      <c r="C69" s="12"/>
      <c r="D69" s="28"/>
      <c r="E69" s="29"/>
      <c r="F69" s="30" t="s">
        <v>59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6" t="s">
        <v>71</v>
      </c>
      <c r="B70" s="22"/>
      <c r="C70" s="12"/>
      <c r="D70" s="28"/>
      <c r="E70" s="29"/>
      <c r="F70" s="3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6" t="s">
        <v>72</v>
      </c>
      <c r="B71" s="22"/>
      <c r="C71" s="12"/>
      <c r="D71" s="28"/>
      <c r="E71" s="29"/>
      <c r="F71" s="30" t="s">
        <v>59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6" t="s">
        <v>73</v>
      </c>
      <c r="B72" s="22"/>
      <c r="C72" s="12"/>
      <c r="D72" s="28"/>
      <c r="E72" s="29"/>
      <c r="F72" s="30" t="s">
        <v>59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6" t="s">
        <v>74</v>
      </c>
      <c r="B73" s="22"/>
      <c r="C73" s="12"/>
      <c r="D73" s="28"/>
      <c r="E73" s="24"/>
      <c r="F73" s="3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6" t="s">
        <v>75</v>
      </c>
      <c r="B74" s="22"/>
      <c r="C74" s="12"/>
      <c r="D74" s="28"/>
      <c r="E74" s="29"/>
      <c r="F74" s="30" t="s">
        <v>59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6" t="s">
        <v>76</v>
      </c>
      <c r="B75" s="22"/>
      <c r="C75" s="12"/>
      <c r="D75" s="28"/>
      <c r="E75" s="29"/>
      <c r="F75" s="3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6" t="s">
        <v>77</v>
      </c>
      <c r="B76" s="22"/>
      <c r="C76" s="12"/>
      <c r="D76" s="33"/>
      <c r="E76" s="29"/>
      <c r="F76" s="30" t="s">
        <v>59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6" t="s">
        <v>78</v>
      </c>
      <c r="B77" s="22"/>
      <c r="C77" s="12"/>
      <c r="D77" s="33"/>
      <c r="E77" s="29"/>
      <c r="F77" s="30" t="s">
        <v>59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6" t="s">
        <v>79</v>
      </c>
      <c r="B78" s="22"/>
      <c r="C78" s="12"/>
      <c r="D78" s="33"/>
      <c r="E78" s="24"/>
      <c r="F78" s="30" t="s">
        <v>59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6" t="s">
        <v>80</v>
      </c>
      <c r="B79" s="22"/>
      <c r="C79" s="12"/>
      <c r="D79" s="33"/>
      <c r="E79" s="29"/>
      <c r="F79" s="3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6" t="s">
        <v>81</v>
      </c>
      <c r="B80" s="22"/>
      <c r="C80" s="12"/>
      <c r="D80" s="33"/>
      <c r="E80" s="29"/>
      <c r="F80" s="3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6" t="s">
        <v>82</v>
      </c>
      <c r="B81" s="22"/>
      <c r="C81" s="12"/>
      <c r="D81" s="28"/>
      <c r="E81" s="29"/>
      <c r="F81" s="30" t="s">
        <v>59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6" t="s">
        <v>83</v>
      </c>
      <c r="B82" s="22"/>
      <c r="C82" s="12"/>
      <c r="D82" s="28"/>
      <c r="E82" s="29"/>
      <c r="F82" s="3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6" t="s">
        <v>84</v>
      </c>
      <c r="B83" s="22"/>
      <c r="C83" s="12"/>
      <c r="D83" s="28"/>
      <c r="E83" s="24"/>
      <c r="F83" s="30" t="s">
        <v>59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6" t="s">
        <v>85</v>
      </c>
      <c r="B84" s="22"/>
      <c r="C84" s="12"/>
      <c r="D84" s="28"/>
      <c r="E84" s="29"/>
      <c r="F84" s="3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6" t="s">
        <v>86</v>
      </c>
      <c r="B85" s="22"/>
      <c r="C85" s="12"/>
      <c r="D85" s="28"/>
      <c r="E85" s="29"/>
      <c r="F85" s="30" t="s">
        <v>59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6" t="s">
        <v>87</v>
      </c>
      <c r="B86" s="22"/>
      <c r="C86" s="12"/>
      <c r="D86" s="28"/>
      <c r="E86" s="29"/>
      <c r="F86" s="30" t="s">
        <v>59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6" t="s">
        <v>88</v>
      </c>
      <c r="B87" s="22"/>
      <c r="C87" s="26"/>
      <c r="D87" s="34"/>
      <c r="E87" s="29"/>
      <c r="F87" s="3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6" t="s">
        <v>89</v>
      </c>
      <c r="B88" s="22"/>
      <c r="C88" s="26"/>
      <c r="D88" s="34"/>
      <c r="E88" s="24"/>
      <c r="F88" s="3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6" t="s">
        <v>90</v>
      </c>
      <c r="B89" s="22"/>
      <c r="C89" s="26"/>
      <c r="D89" s="34"/>
      <c r="E89" s="29"/>
      <c r="F89" s="3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6" t="s">
        <v>91</v>
      </c>
      <c r="B90" s="22"/>
      <c r="C90" s="35"/>
      <c r="D90" s="34"/>
      <c r="E90" s="29"/>
      <c r="F90" s="3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6" t="s">
        <v>92</v>
      </c>
      <c r="B91" s="22"/>
      <c r="C91" s="36"/>
      <c r="D91" s="34"/>
      <c r="E91" s="29"/>
      <c r="F91" s="3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6" t="s">
        <v>93</v>
      </c>
      <c r="B92" s="22"/>
      <c r="C92" s="12"/>
      <c r="D92" s="28"/>
      <c r="E92" s="29"/>
      <c r="F92" s="3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6" t="s">
        <v>94</v>
      </c>
      <c r="B93" s="22"/>
      <c r="C93" s="36"/>
      <c r="D93" s="34"/>
      <c r="E93" s="24"/>
      <c r="F93" s="3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6" t="s">
        <v>95</v>
      </c>
      <c r="B94" s="22"/>
      <c r="C94" s="36"/>
      <c r="D94" s="34"/>
      <c r="E94" s="29"/>
      <c r="F94" s="3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6" t="s">
        <v>96</v>
      </c>
      <c r="B95" s="22"/>
      <c r="C95" s="12"/>
      <c r="D95" s="28"/>
      <c r="E95" s="29"/>
      <c r="F95" s="30" t="s">
        <v>59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6" t="s">
        <v>97</v>
      </c>
      <c r="B96" s="22"/>
      <c r="C96" s="12"/>
      <c r="D96" s="28"/>
      <c r="E96" s="29"/>
      <c r="F96" s="30" t="s">
        <v>59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6" t="s">
        <v>98</v>
      </c>
      <c r="B97" s="22"/>
      <c r="C97" s="12"/>
      <c r="D97" s="28"/>
      <c r="E97" s="29"/>
      <c r="F97" s="30" t="s">
        <v>59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6" t="s">
        <v>99</v>
      </c>
      <c r="B98" s="22"/>
      <c r="C98" s="12"/>
      <c r="D98" s="28"/>
      <c r="E98" s="24"/>
      <c r="F98" s="30" t="s">
        <v>59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6" t="s">
        <v>100</v>
      </c>
      <c r="B99" s="22"/>
      <c r="C99" s="12"/>
      <c r="D99" s="28"/>
      <c r="E99" s="29"/>
      <c r="F99" s="30" t="s">
        <v>59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6" t="s">
        <v>101</v>
      </c>
      <c r="B100" s="22"/>
      <c r="C100" s="12"/>
      <c r="D100" s="28"/>
      <c r="E100" s="29"/>
      <c r="F100" s="30" t="s">
        <v>59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6" t="s">
        <v>102</v>
      </c>
      <c r="B101" s="22"/>
      <c r="C101" s="12"/>
      <c r="D101" s="28"/>
      <c r="E101" s="29"/>
      <c r="F101" s="30" t="s">
        <v>59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6" t="s">
        <v>103</v>
      </c>
      <c r="B102" s="22"/>
      <c r="C102" s="12"/>
      <c r="D102" s="28"/>
      <c r="E102" s="29"/>
      <c r="F102" s="30" t="s">
        <v>59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6" t="s">
        <v>104</v>
      </c>
      <c r="B103" s="22"/>
      <c r="C103" s="12"/>
      <c r="D103" s="28"/>
      <c r="E103" s="24"/>
      <c r="F103" s="30" t="s">
        <v>59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6" t="s">
        <v>105</v>
      </c>
      <c r="B104" s="22"/>
      <c r="C104" s="12"/>
      <c r="D104" s="28"/>
      <c r="E104" s="29"/>
      <c r="F104" s="30" t="s">
        <v>59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6" t="s">
        <v>106</v>
      </c>
      <c r="B105" s="22"/>
      <c r="C105" s="12"/>
      <c r="D105" s="33"/>
      <c r="E105" s="29"/>
      <c r="F105" s="30" t="s">
        <v>59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6" t="s">
        <v>107</v>
      </c>
      <c r="B106" s="22"/>
      <c r="C106" s="12"/>
      <c r="D106" s="33"/>
      <c r="E106" s="29"/>
      <c r="F106" s="3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6" t="s">
        <v>108</v>
      </c>
      <c r="B107" s="22"/>
      <c r="C107" s="12"/>
      <c r="D107" s="33"/>
      <c r="E107" s="29"/>
      <c r="F107" s="30" t="s">
        <v>59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6" t="s">
        <v>109</v>
      </c>
      <c r="B108" s="22"/>
      <c r="C108" s="12"/>
      <c r="D108" s="33"/>
      <c r="E108" s="24"/>
      <c r="F108" s="30" t="s">
        <v>59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6" t="s">
        <v>110</v>
      </c>
      <c r="B109" s="22"/>
      <c r="C109" s="12"/>
      <c r="D109" s="33"/>
      <c r="E109" s="29"/>
      <c r="F109" s="30" t="s">
        <v>59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6" t="s">
        <v>111</v>
      </c>
      <c r="B110" s="22"/>
      <c r="C110" s="12"/>
      <c r="D110" s="33"/>
      <c r="E110" s="29"/>
      <c r="F110" s="30" t="s">
        <v>59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6" t="s">
        <v>112</v>
      </c>
      <c r="B111" s="22"/>
      <c r="C111" s="12"/>
      <c r="D111" s="28"/>
      <c r="E111" s="29"/>
      <c r="F111" s="30" t="s">
        <v>59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6" t="s">
        <v>113</v>
      </c>
      <c r="B112" s="22"/>
      <c r="C112" s="12"/>
      <c r="D112" s="28"/>
      <c r="E112" s="29"/>
      <c r="F112" s="30" t="s">
        <v>59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6" t="s">
        <v>114</v>
      </c>
      <c r="B113" s="22"/>
      <c r="C113" s="12"/>
      <c r="D113" s="28"/>
      <c r="E113" s="24"/>
      <c r="F113" s="30" t="s">
        <v>59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6" t="s">
        <v>115</v>
      </c>
      <c r="B114" s="22"/>
      <c r="C114" s="12"/>
      <c r="D114" s="28"/>
      <c r="E114" s="29"/>
      <c r="F114" s="30" t="s">
        <v>59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6" t="s">
        <v>116</v>
      </c>
      <c r="B115" s="22"/>
      <c r="C115" s="12"/>
      <c r="D115" s="28"/>
      <c r="E115" s="29"/>
      <c r="F115" s="30" t="s">
        <v>59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6" t="s">
        <v>117</v>
      </c>
      <c r="B116" s="22"/>
      <c r="C116" s="12"/>
      <c r="D116" s="28"/>
      <c r="E116" s="29"/>
      <c r="F116" s="30" t="s">
        <v>59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6" t="s">
        <v>118</v>
      </c>
      <c r="B117" s="22"/>
      <c r="C117" s="12"/>
      <c r="D117" s="28"/>
      <c r="E117" s="29"/>
      <c r="F117" s="37" t="s">
        <v>59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38" t="s">
        <v>119</v>
      </c>
      <c r="B118" s="22"/>
      <c r="C118" s="12"/>
      <c r="D118" s="31"/>
      <c r="E118" s="24"/>
      <c r="F118" s="3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12" t="s">
        <v>120</v>
      </c>
      <c r="B119" s="22"/>
      <c r="C119" s="12"/>
      <c r="D119" s="31"/>
      <c r="E119" s="29"/>
      <c r="F119" s="3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39"/>
      <c r="B120" s="39"/>
      <c r="C120" s="39"/>
      <c r="D120" s="40" t="str">
        <f ca="1">IFERROR(__xludf.DUMMYFUNCTION("REGEXREPLACE(LOWER(A120),""[^a-z0-9]+"",""_"")"),"")</f>
        <v/>
      </c>
      <c r="E120" s="41" t="s">
        <v>121</v>
      </c>
      <c r="F120" s="42">
        <f>SUM(F58:F117)</f>
        <v>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43"/>
      <c r="B121" s="43"/>
      <c r="C121" s="43"/>
      <c r="D121" s="44" t="str">
        <f ca="1">IFERROR(__xludf.DUMMYFUNCTION("REGEXREPLACE(LOWER(A121),""[^a-z0-9]+"",""_"")"),"")</f>
        <v/>
      </c>
      <c r="E121" s="45">
        <v>0.15</v>
      </c>
      <c r="F121" s="46" t="s">
        <v>59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1"/>
      <c r="B122" s="1"/>
      <c r="C122" s="1"/>
      <c r="D122" s="1" t="str">
        <f ca="1">IFERROR(__xludf.DUMMYFUNCTION("REGEXREPLACE(LOWER(A122),""[^a-z0-9]+"",""_"")"),"")</f>
        <v/>
      </c>
      <c r="E122" s="47" t="s">
        <v>57</v>
      </c>
      <c r="F122" s="48" t="s">
        <v>59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 t="str">
        <f ca="1">IFERROR(__xludf.DUMMYFUNCTION("REGEXREPLACE(LOWER(A123),""[^a-z0-9]+"",""_"")"),"")</f>
        <v/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49" t="s">
        <v>122</v>
      </c>
      <c r="B124" s="265" t="s">
        <v>123</v>
      </c>
      <c r="C124" s="266"/>
      <c r="D124" s="266"/>
      <c r="E124" s="266"/>
      <c r="F124" s="26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/>
    <row r="326" spans="1:26" ht="15.75" customHeight="1" x14ac:dyDescent="0.3"/>
    <row r="327" spans="1:26" ht="15.75" customHeight="1" x14ac:dyDescent="0.3"/>
    <row r="328" spans="1:26" ht="15.75" customHeight="1" x14ac:dyDescent="0.3"/>
    <row r="329" spans="1:26" ht="15.75" customHeight="1" x14ac:dyDescent="0.3"/>
    <row r="330" spans="1:26" ht="15.75" customHeight="1" x14ac:dyDescent="0.3"/>
    <row r="331" spans="1:26" ht="15.75" customHeight="1" x14ac:dyDescent="0.3"/>
    <row r="332" spans="1:26" ht="15.75" customHeight="1" x14ac:dyDescent="0.3"/>
    <row r="333" spans="1:26" ht="15.75" customHeight="1" x14ac:dyDescent="0.3"/>
    <row r="334" spans="1:26" ht="15.75" customHeight="1" x14ac:dyDescent="0.3"/>
    <row r="335" spans="1:26" ht="15.75" customHeight="1" x14ac:dyDescent="0.3"/>
    <row r="336" spans="1:2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B1"/>
    <mergeCell ref="B124:F12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44140625" defaultRowHeight="15" customHeight="1" x14ac:dyDescent="0.3"/>
  <cols>
    <col min="1" max="1" width="17.109375" customWidth="1"/>
    <col min="2" max="2" width="10.6640625" customWidth="1"/>
    <col min="3" max="3" width="30.109375" customWidth="1"/>
    <col min="4" max="11" width="10.6640625" customWidth="1"/>
  </cols>
  <sheetData>
    <row r="1" spans="1:11" ht="14.4" x14ac:dyDescent="0.3">
      <c r="A1" s="50" t="s">
        <v>5</v>
      </c>
      <c r="B1" s="50"/>
      <c r="C1" s="51"/>
      <c r="D1" s="51"/>
      <c r="E1" s="51"/>
      <c r="F1" s="51"/>
      <c r="G1" s="52"/>
      <c r="H1" s="51"/>
    </row>
    <row r="2" spans="1:11" ht="14.4" x14ac:dyDescent="0.3">
      <c r="A2" s="53" t="s">
        <v>124</v>
      </c>
      <c r="B2" s="50"/>
      <c r="C2" s="51"/>
      <c r="D2" s="52"/>
      <c r="E2" s="52"/>
      <c r="F2" s="52"/>
      <c r="G2" s="52"/>
      <c r="H2" s="51"/>
    </row>
    <row r="3" spans="1:11" ht="14.4" x14ac:dyDescent="0.3">
      <c r="A3" s="53" t="s">
        <v>125</v>
      </c>
      <c r="B3" s="50"/>
      <c r="C3" s="2" t="s">
        <v>126</v>
      </c>
      <c r="D3" s="52"/>
      <c r="E3" s="52"/>
      <c r="F3" s="52"/>
      <c r="G3" s="52"/>
      <c r="H3" s="51"/>
    </row>
    <row r="4" spans="1:11" ht="14.4" x14ac:dyDescent="0.3">
      <c r="A4" s="53" t="s">
        <v>127</v>
      </c>
      <c r="B4" s="50"/>
      <c r="C4" s="51" t="s">
        <v>128</v>
      </c>
      <c r="D4" s="52"/>
      <c r="E4" s="52"/>
      <c r="F4" s="52"/>
      <c r="G4" s="52"/>
      <c r="H4" s="51"/>
    </row>
    <row r="5" spans="1:11" ht="14.4" x14ac:dyDescent="0.3">
      <c r="A5" s="53" t="s">
        <v>129</v>
      </c>
      <c r="B5" s="50"/>
      <c r="C5" s="54" t="s">
        <v>128</v>
      </c>
      <c r="D5" s="55"/>
      <c r="E5" s="55"/>
      <c r="F5" s="55"/>
      <c r="G5" s="51"/>
      <c r="H5" s="51"/>
    </row>
    <row r="6" spans="1:11" ht="14.4" x14ac:dyDescent="0.3">
      <c r="A6" s="56" t="s">
        <v>130</v>
      </c>
      <c r="B6" s="57" t="s">
        <v>131</v>
      </c>
      <c r="C6" s="57"/>
      <c r="D6" s="58"/>
      <c r="E6" s="58"/>
      <c r="F6" s="58"/>
      <c r="G6" s="58"/>
      <c r="H6" s="58"/>
    </row>
    <row r="8" spans="1:11" ht="20.399999999999999" x14ac:dyDescent="0.3">
      <c r="A8" s="59" t="s">
        <v>132</v>
      </c>
      <c r="B8" s="59" t="s">
        <v>133</v>
      </c>
      <c r="C8" s="59" t="s">
        <v>134</v>
      </c>
      <c r="D8" s="59" t="s">
        <v>135</v>
      </c>
      <c r="E8" s="60" t="s">
        <v>136</v>
      </c>
      <c r="F8" s="60" t="s">
        <v>137</v>
      </c>
      <c r="G8" s="60" t="s">
        <v>138</v>
      </c>
      <c r="H8" s="60" t="s">
        <v>139</v>
      </c>
      <c r="I8" s="60" t="s">
        <v>140</v>
      </c>
      <c r="J8" s="60" t="s">
        <v>141</v>
      </c>
      <c r="K8" s="60" t="s">
        <v>142</v>
      </c>
    </row>
    <row r="9" spans="1:11" ht="14.4" x14ac:dyDescent="0.3">
      <c r="A9" s="268" t="s">
        <v>143</v>
      </c>
      <c r="B9" s="61">
        <v>3145611001</v>
      </c>
      <c r="C9" s="38" t="s">
        <v>144</v>
      </c>
      <c r="D9" s="34">
        <v>450</v>
      </c>
      <c r="E9" s="62">
        <v>60</v>
      </c>
      <c r="F9" s="34"/>
      <c r="G9" s="63">
        <f>F9/D9</f>
        <v>0</v>
      </c>
      <c r="H9" s="63" t="s">
        <v>1156</v>
      </c>
      <c r="I9" s="63"/>
      <c r="J9" s="64" t="s">
        <v>145</v>
      </c>
      <c r="K9" s="64"/>
    </row>
    <row r="10" spans="1:11" ht="14.4" x14ac:dyDescent="0.3">
      <c r="A10" s="269"/>
      <c r="B10" s="61">
        <v>12216540001</v>
      </c>
      <c r="C10" s="38" t="s">
        <v>146</v>
      </c>
      <c r="D10" s="34">
        <v>450</v>
      </c>
      <c r="E10" s="62">
        <v>60</v>
      </c>
      <c r="F10" s="34"/>
      <c r="G10" s="63">
        <f>F10/D10</f>
        <v>0</v>
      </c>
      <c r="H10" s="63" t="s">
        <v>1156</v>
      </c>
      <c r="I10" s="63"/>
      <c r="J10" s="64" t="s">
        <v>145</v>
      </c>
      <c r="K10" s="64"/>
    </row>
    <row r="11" spans="1:11" ht="14.4" x14ac:dyDescent="0.3">
      <c r="A11" s="269"/>
      <c r="B11" s="61">
        <v>3134466001</v>
      </c>
      <c r="C11" s="38" t="s">
        <v>147</v>
      </c>
      <c r="D11" s="34">
        <f>(((F9/30)/12)*E11)</f>
        <v>0</v>
      </c>
      <c r="E11" s="65">
        <v>85</v>
      </c>
      <c r="F11" s="66"/>
      <c r="G11" s="67" t="e">
        <f>F11/D11</f>
        <v>#DIV/0!</v>
      </c>
      <c r="H11" s="63" t="s">
        <v>1156</v>
      </c>
      <c r="I11" s="67"/>
      <c r="J11" s="64" t="s">
        <v>148</v>
      </c>
      <c r="K11" s="64"/>
    </row>
    <row r="12" spans="1:11" ht="14.4" x14ac:dyDescent="0.3">
      <c r="A12" s="270"/>
      <c r="B12" s="61">
        <v>3113353180</v>
      </c>
      <c r="C12" s="38" t="s">
        <v>149</v>
      </c>
      <c r="D12" s="34">
        <v>900</v>
      </c>
      <c r="E12" s="62">
        <v>365</v>
      </c>
      <c r="F12" s="34"/>
      <c r="G12" s="63">
        <f>F12/D12</f>
        <v>0</v>
      </c>
      <c r="H12" s="63" t="s">
        <v>1156</v>
      </c>
      <c r="I12" s="63"/>
      <c r="J12" s="64" t="s">
        <v>150</v>
      </c>
      <c r="K12" s="64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9:A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selection activeCell="F18" sqref="F18"/>
    </sheetView>
  </sheetViews>
  <sheetFormatPr baseColWidth="10" defaultColWidth="14.44140625" defaultRowHeight="15" customHeight="1" x14ac:dyDescent="0.3"/>
  <cols>
    <col min="1" max="1" width="19.5546875" customWidth="1"/>
    <col min="2" max="2" width="10.6640625" customWidth="1"/>
    <col min="3" max="3" width="26.33203125" customWidth="1"/>
    <col min="4" max="12" width="10.6640625" customWidth="1"/>
  </cols>
  <sheetData>
    <row r="1" spans="1:12" ht="18.75" customHeight="1" x14ac:dyDescent="0.3">
      <c r="A1" s="50" t="s">
        <v>5</v>
      </c>
      <c r="B1" s="50"/>
      <c r="C1" s="51"/>
      <c r="D1" s="51"/>
      <c r="E1" s="51"/>
      <c r="F1" s="51"/>
      <c r="G1" s="52"/>
      <c r="H1" s="52"/>
      <c r="I1" s="51"/>
      <c r="J1" s="51"/>
    </row>
    <row r="2" spans="1:12" ht="18.75" customHeight="1" x14ac:dyDescent="0.3">
      <c r="A2" s="53" t="s">
        <v>124</v>
      </c>
      <c r="B2" s="50"/>
      <c r="C2" s="51"/>
      <c r="D2" s="52"/>
      <c r="E2" s="52"/>
      <c r="F2" s="52"/>
      <c r="G2" s="52"/>
      <c r="H2" s="52"/>
      <c r="I2" s="51"/>
      <c r="J2" s="51"/>
    </row>
    <row r="3" spans="1:12" ht="18.75" customHeight="1" x14ac:dyDescent="0.3">
      <c r="A3" s="53" t="s">
        <v>125</v>
      </c>
      <c r="C3" s="2" t="s">
        <v>126</v>
      </c>
      <c r="D3" s="52"/>
      <c r="E3" s="52"/>
      <c r="F3" s="52"/>
      <c r="G3" s="52"/>
      <c r="H3" s="52"/>
      <c r="I3" s="51"/>
      <c r="J3" s="51"/>
    </row>
    <row r="4" spans="1:12" ht="18.75" customHeight="1" x14ac:dyDescent="0.3">
      <c r="A4" s="53" t="s">
        <v>127</v>
      </c>
      <c r="B4" s="50"/>
      <c r="C4" s="2" t="s">
        <v>128</v>
      </c>
      <c r="D4" s="52"/>
      <c r="E4" s="52"/>
      <c r="F4" s="52"/>
      <c r="G4" s="52"/>
      <c r="H4" s="52"/>
      <c r="I4" s="51"/>
      <c r="J4" s="51"/>
    </row>
    <row r="5" spans="1:12" ht="18.75" customHeight="1" x14ac:dyDescent="0.3">
      <c r="A5" s="53" t="s">
        <v>129</v>
      </c>
      <c r="B5" s="50"/>
      <c r="C5" s="2" t="s">
        <v>128</v>
      </c>
      <c r="D5" s="55"/>
      <c r="E5" s="55"/>
      <c r="F5" s="55"/>
      <c r="G5" s="51"/>
      <c r="H5" s="52"/>
      <c r="I5" s="51"/>
      <c r="J5" s="51"/>
    </row>
    <row r="6" spans="1:12" ht="18.75" customHeight="1" x14ac:dyDescent="0.3">
      <c r="A6" s="56" t="s">
        <v>130</v>
      </c>
      <c r="B6" s="57" t="s">
        <v>151</v>
      </c>
      <c r="C6" s="57" t="s">
        <v>152</v>
      </c>
      <c r="D6" s="58"/>
      <c r="E6" s="58"/>
      <c r="F6" s="261"/>
      <c r="G6" s="58"/>
      <c r="H6" s="68"/>
      <c r="I6" s="58"/>
      <c r="J6" s="58"/>
    </row>
    <row r="7" spans="1:12" ht="18.75" customHeight="1" x14ac:dyDescent="0.3"/>
    <row r="8" spans="1:12" ht="24" customHeight="1" x14ac:dyDescent="0.3">
      <c r="A8" s="69" t="s">
        <v>132</v>
      </c>
      <c r="B8" s="69" t="s">
        <v>133</v>
      </c>
      <c r="C8" s="69" t="s">
        <v>134</v>
      </c>
      <c r="D8" s="69" t="s">
        <v>135</v>
      </c>
      <c r="E8" s="70" t="s">
        <v>136</v>
      </c>
      <c r="F8" s="70" t="s">
        <v>237</v>
      </c>
      <c r="G8" s="70" t="s">
        <v>138</v>
      </c>
      <c r="H8" s="70" t="s">
        <v>139</v>
      </c>
      <c r="I8" s="70" t="s">
        <v>140</v>
      </c>
      <c r="J8" s="71" t="s">
        <v>140</v>
      </c>
      <c r="K8" s="71" t="s">
        <v>141</v>
      </c>
      <c r="L8" s="72" t="s">
        <v>142</v>
      </c>
    </row>
    <row r="9" spans="1:12" ht="18.75" customHeight="1" x14ac:dyDescent="0.3">
      <c r="A9" s="271" t="s">
        <v>143</v>
      </c>
      <c r="B9" s="73">
        <v>6510167001</v>
      </c>
      <c r="C9" s="73" t="s">
        <v>153</v>
      </c>
      <c r="D9" s="74">
        <v>450</v>
      </c>
      <c r="E9" s="74">
        <v>60</v>
      </c>
      <c r="F9" s="74"/>
      <c r="G9" s="74">
        <f t="shared" ref="G9:G18" si="0">F9/D9</f>
        <v>0</v>
      </c>
      <c r="H9" s="74" t="s">
        <v>1156</v>
      </c>
      <c r="I9" s="64"/>
      <c r="J9" s="75"/>
      <c r="K9" s="75" t="s">
        <v>154</v>
      </c>
      <c r="L9" s="75"/>
    </row>
    <row r="10" spans="1:12" ht="18.75" customHeight="1" x14ac:dyDescent="0.3">
      <c r="A10" s="269"/>
      <c r="B10" s="73">
        <v>3337006001</v>
      </c>
      <c r="C10" s="73" t="s">
        <v>155</v>
      </c>
      <c r="D10" s="74">
        <v>9450</v>
      </c>
      <c r="E10" s="74">
        <v>60</v>
      </c>
      <c r="F10" s="74"/>
      <c r="G10" s="74">
        <f t="shared" si="0"/>
        <v>0</v>
      </c>
      <c r="H10" s="74" t="s">
        <v>1156</v>
      </c>
      <c r="I10" s="64"/>
      <c r="J10" s="64"/>
      <c r="K10" s="64" t="s">
        <v>145</v>
      </c>
      <c r="L10" s="64"/>
    </row>
    <row r="11" spans="1:12" ht="18.75" customHeight="1" x14ac:dyDescent="0.3">
      <c r="A11" s="269"/>
      <c r="B11" s="76">
        <v>12215616001</v>
      </c>
      <c r="C11" s="77" t="s">
        <v>156</v>
      </c>
      <c r="D11" s="74">
        <v>850</v>
      </c>
      <c r="E11" s="74">
        <v>60</v>
      </c>
      <c r="F11" s="74"/>
      <c r="G11" s="74">
        <f t="shared" si="0"/>
        <v>0</v>
      </c>
      <c r="H11" s="74" t="s">
        <v>1156</v>
      </c>
      <c r="I11" s="64"/>
      <c r="J11" s="64"/>
      <c r="K11" s="64" t="s">
        <v>145</v>
      </c>
      <c r="L11" s="64"/>
    </row>
    <row r="12" spans="1:12" ht="18.75" customHeight="1" x14ac:dyDescent="0.3">
      <c r="A12" s="269"/>
      <c r="B12" s="73">
        <v>7837984001</v>
      </c>
      <c r="C12" s="73" t="s">
        <v>157</v>
      </c>
      <c r="D12" s="74">
        <v>2450</v>
      </c>
      <c r="E12" s="74">
        <v>90</v>
      </c>
      <c r="F12" s="74"/>
      <c r="G12" s="74">
        <f t="shared" si="0"/>
        <v>0</v>
      </c>
      <c r="H12" s="74" t="s">
        <v>1156</v>
      </c>
      <c r="I12" s="64"/>
      <c r="J12" s="64"/>
      <c r="K12" s="64" t="s">
        <v>158</v>
      </c>
      <c r="L12" s="64"/>
    </row>
    <row r="13" spans="1:12" ht="18.75" customHeight="1" x14ac:dyDescent="0.3">
      <c r="A13" s="269"/>
      <c r="B13" s="73">
        <v>6510256001</v>
      </c>
      <c r="C13" s="73" t="s">
        <v>159</v>
      </c>
      <c r="D13" s="74">
        <v>3400</v>
      </c>
      <c r="E13" s="74">
        <v>180</v>
      </c>
      <c r="F13" s="74"/>
      <c r="G13" s="260" t="s">
        <v>1158</v>
      </c>
      <c r="H13" s="74" t="s">
        <v>1156</v>
      </c>
      <c r="I13" s="64"/>
      <c r="J13" s="64"/>
      <c r="K13" s="64" t="s">
        <v>160</v>
      </c>
      <c r="L13" s="64"/>
    </row>
    <row r="14" spans="1:12" ht="18.75" customHeight="1" x14ac:dyDescent="0.3">
      <c r="A14" s="269"/>
      <c r="B14" s="73">
        <v>6952291001</v>
      </c>
      <c r="C14" s="73" t="s">
        <v>161</v>
      </c>
      <c r="D14" s="74">
        <f>(((F9/30)/12)*E14)</f>
        <v>0</v>
      </c>
      <c r="E14" s="74">
        <v>150</v>
      </c>
      <c r="F14" s="74"/>
      <c r="G14" s="74" t="e">
        <f t="shared" si="0"/>
        <v>#DIV/0!</v>
      </c>
      <c r="H14" s="74" t="s">
        <v>1156</v>
      </c>
      <c r="I14" s="64"/>
      <c r="J14" s="74"/>
      <c r="K14" s="74" t="s">
        <v>160</v>
      </c>
      <c r="L14" s="74"/>
    </row>
    <row r="15" spans="1:12" ht="18.75" customHeight="1" x14ac:dyDescent="0.3">
      <c r="A15" s="270"/>
      <c r="B15" s="78">
        <v>7051506001</v>
      </c>
      <c r="C15" s="73" t="s">
        <v>162</v>
      </c>
      <c r="D15" s="74">
        <f>(((F9/30)/12)*E15)</f>
        <v>0</v>
      </c>
      <c r="E15" s="74">
        <v>56</v>
      </c>
      <c r="F15" s="74"/>
      <c r="G15" s="74" t="e">
        <f t="shared" si="0"/>
        <v>#DIV/0!</v>
      </c>
      <c r="H15" s="74" t="s">
        <v>1156</v>
      </c>
      <c r="I15" s="64"/>
      <c r="J15" s="74"/>
      <c r="K15" s="74" t="s">
        <v>158</v>
      </c>
      <c r="L15" s="74"/>
    </row>
    <row r="16" spans="1:12" ht="18.75" customHeight="1" x14ac:dyDescent="0.3">
      <c r="A16" s="272" t="s">
        <v>163</v>
      </c>
      <c r="B16" s="79">
        <v>6510272001</v>
      </c>
      <c r="C16" s="80" t="s">
        <v>164</v>
      </c>
      <c r="D16" s="81">
        <v>650</v>
      </c>
      <c r="E16" s="81">
        <v>180</v>
      </c>
      <c r="F16" s="81"/>
      <c r="G16" s="81">
        <f t="shared" si="0"/>
        <v>0</v>
      </c>
      <c r="H16" s="81" t="s">
        <v>1156</v>
      </c>
      <c r="I16" s="82"/>
      <c r="J16" s="82"/>
      <c r="K16" s="82" t="s">
        <v>160</v>
      </c>
      <c r="L16" s="82"/>
    </row>
    <row r="17" spans="1:12" ht="18.75" customHeight="1" x14ac:dyDescent="0.3">
      <c r="A17" s="270"/>
      <c r="B17" s="79">
        <v>9426752001</v>
      </c>
      <c r="C17" s="80" t="s">
        <v>165</v>
      </c>
      <c r="D17" s="81">
        <v>450</v>
      </c>
      <c r="E17" s="81">
        <v>60</v>
      </c>
      <c r="F17" s="81"/>
      <c r="G17" s="81">
        <f t="shared" si="0"/>
        <v>0</v>
      </c>
      <c r="H17" s="81" t="s">
        <v>1156</v>
      </c>
      <c r="I17" s="82"/>
      <c r="J17" s="83"/>
      <c r="K17" s="83" t="s">
        <v>166</v>
      </c>
      <c r="L17" s="83"/>
    </row>
    <row r="18" spans="1:12" ht="18.75" customHeight="1" x14ac:dyDescent="0.3">
      <c r="A18" s="84" t="s">
        <v>167</v>
      </c>
      <c r="B18" s="85">
        <v>7051409001</v>
      </c>
      <c r="C18" s="85" t="s">
        <v>168</v>
      </c>
      <c r="D18" s="86">
        <f>(((F9/30)/12)*E18)</f>
        <v>0</v>
      </c>
      <c r="E18" s="86">
        <v>56</v>
      </c>
      <c r="F18" s="86"/>
      <c r="G18" s="86" t="e">
        <f t="shared" si="0"/>
        <v>#DIV/0!</v>
      </c>
      <c r="H18" s="86" t="s">
        <v>1156</v>
      </c>
      <c r="I18" s="87"/>
      <c r="J18" s="88"/>
      <c r="K18" s="88" t="s">
        <v>160</v>
      </c>
      <c r="L18" s="89"/>
    </row>
    <row r="19" spans="1:12" ht="18.75" customHeight="1" x14ac:dyDescent="0.3"/>
    <row r="20" spans="1:12" ht="18.75" customHeight="1" x14ac:dyDescent="0.3"/>
    <row r="21" spans="1:12" ht="18.75" customHeight="1" x14ac:dyDescent="0.3"/>
    <row r="22" spans="1:12" ht="18.75" customHeight="1" x14ac:dyDescent="0.3"/>
    <row r="23" spans="1:12" ht="18.75" customHeight="1" x14ac:dyDescent="0.3"/>
    <row r="24" spans="1:12" ht="18.75" customHeight="1" x14ac:dyDescent="0.3"/>
    <row r="25" spans="1:12" ht="18.75" customHeight="1" x14ac:dyDescent="0.3"/>
    <row r="26" spans="1:12" ht="18.75" customHeight="1" x14ac:dyDescent="0.3"/>
    <row r="27" spans="1:12" ht="18.75" customHeight="1" x14ac:dyDescent="0.3"/>
    <row r="28" spans="1:12" ht="18.75" customHeight="1" x14ac:dyDescent="0.3"/>
    <row r="29" spans="1:12" ht="18.75" customHeight="1" x14ac:dyDescent="0.3"/>
    <row r="30" spans="1:12" ht="18.75" customHeight="1" x14ac:dyDescent="0.3"/>
    <row r="31" spans="1:12" ht="18.75" customHeight="1" x14ac:dyDescent="0.3"/>
    <row r="32" spans="1:12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9:A15"/>
    <mergeCell ref="A16:A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baseColWidth="10" defaultColWidth="14.44140625" defaultRowHeight="15" customHeight="1" x14ac:dyDescent="0.3"/>
  <cols>
    <col min="1" max="1" width="19.5546875" customWidth="1"/>
    <col min="2" max="2" width="10.6640625" customWidth="1"/>
    <col min="3" max="3" width="26.33203125" customWidth="1"/>
    <col min="4" max="11" width="10.6640625" customWidth="1"/>
  </cols>
  <sheetData>
    <row r="1" spans="1:11" ht="18.75" customHeight="1" x14ac:dyDescent="0.3">
      <c r="A1" s="50" t="s">
        <v>5</v>
      </c>
      <c r="B1" s="50"/>
      <c r="C1" s="51"/>
      <c r="D1" s="51"/>
      <c r="E1" s="51"/>
      <c r="F1" s="51"/>
      <c r="G1" s="52"/>
      <c r="H1" s="52"/>
      <c r="I1" s="51"/>
    </row>
    <row r="2" spans="1:11" ht="18.75" customHeight="1" x14ac:dyDescent="0.3">
      <c r="A2" s="53" t="s">
        <v>124</v>
      </c>
      <c r="B2" s="50"/>
      <c r="C2" s="51"/>
      <c r="D2" s="52"/>
      <c r="E2" s="52"/>
      <c r="F2" s="52"/>
      <c r="G2" s="52"/>
      <c r="H2" s="52"/>
      <c r="I2" s="51"/>
    </row>
    <row r="3" spans="1:11" ht="18.75" customHeight="1" x14ac:dyDescent="0.3">
      <c r="A3" s="53" t="s">
        <v>125</v>
      </c>
      <c r="C3" s="2" t="s">
        <v>126</v>
      </c>
      <c r="D3" s="52"/>
      <c r="E3" s="52"/>
      <c r="F3" s="52"/>
      <c r="G3" s="52"/>
      <c r="H3" s="52"/>
      <c r="I3" s="51"/>
    </row>
    <row r="4" spans="1:11" ht="18.75" customHeight="1" x14ac:dyDescent="0.3">
      <c r="A4" s="53" t="s">
        <v>127</v>
      </c>
      <c r="B4" s="50"/>
      <c r="C4" s="2" t="s">
        <v>128</v>
      </c>
      <c r="D4" s="52"/>
      <c r="E4" s="52"/>
      <c r="F4" s="52"/>
      <c r="G4" s="52"/>
      <c r="H4" s="52"/>
      <c r="I4" s="51"/>
    </row>
    <row r="5" spans="1:11" ht="18.75" customHeight="1" x14ac:dyDescent="0.3">
      <c r="A5" s="53" t="s">
        <v>129</v>
      </c>
      <c r="B5" s="50"/>
      <c r="C5" s="2" t="s">
        <v>128</v>
      </c>
      <c r="D5" s="55"/>
      <c r="E5" s="55"/>
      <c r="F5" s="55"/>
      <c r="G5" s="51"/>
      <c r="H5" s="52"/>
      <c r="I5" s="51"/>
    </row>
    <row r="6" spans="1:11" ht="18.75" customHeight="1" x14ac:dyDescent="0.3">
      <c r="A6" s="56" t="s">
        <v>130</v>
      </c>
      <c r="B6" s="57" t="s">
        <v>169</v>
      </c>
      <c r="C6" s="57">
        <v>1000</v>
      </c>
      <c r="D6" s="58"/>
      <c r="E6" s="58"/>
      <c r="F6" s="58"/>
      <c r="G6" s="58"/>
      <c r="H6" s="68"/>
      <c r="I6" s="58"/>
    </row>
    <row r="7" spans="1:11" ht="18.75" customHeight="1" x14ac:dyDescent="0.3"/>
    <row r="8" spans="1:11" ht="24" customHeight="1" x14ac:dyDescent="0.3">
      <c r="A8" s="69" t="s">
        <v>132</v>
      </c>
      <c r="B8" s="69" t="s">
        <v>133</v>
      </c>
      <c r="C8" s="69" t="s">
        <v>134</v>
      </c>
      <c r="D8" s="69" t="s">
        <v>135</v>
      </c>
      <c r="E8" s="70" t="s">
        <v>136</v>
      </c>
      <c r="F8" s="70" t="s">
        <v>137</v>
      </c>
      <c r="G8" s="70" t="s">
        <v>138</v>
      </c>
      <c r="H8" s="70" t="s">
        <v>139</v>
      </c>
      <c r="I8" s="70" t="s">
        <v>140</v>
      </c>
      <c r="J8" s="71" t="s">
        <v>141</v>
      </c>
      <c r="K8" s="72" t="s">
        <v>142</v>
      </c>
    </row>
    <row r="9" spans="1:11" ht="18.75" customHeight="1" x14ac:dyDescent="0.3">
      <c r="A9" s="271" t="s">
        <v>143</v>
      </c>
      <c r="B9" s="73">
        <v>6510167001</v>
      </c>
      <c r="C9" s="73" t="s">
        <v>153</v>
      </c>
      <c r="D9" s="74">
        <v>450</v>
      </c>
      <c r="E9" s="74">
        <v>60</v>
      </c>
      <c r="F9" s="74"/>
      <c r="G9" s="74">
        <f t="shared" ref="G9:G22" si="0">F9/D9</f>
        <v>0</v>
      </c>
      <c r="H9" s="74" t="s">
        <v>1156</v>
      </c>
      <c r="I9" s="64"/>
      <c r="J9" s="75" t="s">
        <v>160</v>
      </c>
      <c r="K9" s="75"/>
    </row>
    <row r="10" spans="1:11" ht="18.75" customHeight="1" x14ac:dyDescent="0.3">
      <c r="A10" s="269"/>
      <c r="B10" s="73">
        <v>3337006001</v>
      </c>
      <c r="C10" s="73" t="s">
        <v>155</v>
      </c>
      <c r="D10" s="74">
        <v>9450</v>
      </c>
      <c r="E10" s="74">
        <v>60</v>
      </c>
      <c r="F10" s="74"/>
      <c r="G10" s="74">
        <f t="shared" si="0"/>
        <v>0</v>
      </c>
      <c r="H10" s="74" t="s">
        <v>1156</v>
      </c>
      <c r="I10" s="64"/>
      <c r="J10" s="64" t="s">
        <v>170</v>
      </c>
      <c r="K10" s="64"/>
    </row>
    <row r="11" spans="1:11" ht="18.75" customHeight="1" x14ac:dyDescent="0.3">
      <c r="A11" s="269"/>
      <c r="B11" s="76">
        <v>12215616001</v>
      </c>
      <c r="C11" s="77" t="s">
        <v>156</v>
      </c>
      <c r="D11" s="74">
        <v>850</v>
      </c>
      <c r="E11" s="74">
        <v>60</v>
      </c>
      <c r="F11" s="74"/>
      <c r="G11" s="74">
        <f t="shared" si="0"/>
        <v>0</v>
      </c>
      <c r="H11" s="74" t="s">
        <v>1156</v>
      </c>
      <c r="I11" s="64"/>
      <c r="J11" s="64" t="s">
        <v>170</v>
      </c>
      <c r="K11" s="64"/>
    </row>
    <row r="12" spans="1:11" ht="18.75" customHeight="1" x14ac:dyDescent="0.3">
      <c r="A12" s="269"/>
      <c r="B12" s="73">
        <v>7837984001</v>
      </c>
      <c r="C12" s="73" t="s">
        <v>157</v>
      </c>
      <c r="D12" s="74">
        <v>2450</v>
      </c>
      <c r="E12" s="74">
        <v>90</v>
      </c>
      <c r="F12" s="74"/>
      <c r="G12" s="74">
        <f t="shared" si="0"/>
        <v>0</v>
      </c>
      <c r="H12" s="74" t="s">
        <v>1156</v>
      </c>
      <c r="I12" s="64"/>
      <c r="J12" s="64" t="s">
        <v>171</v>
      </c>
      <c r="K12" s="64"/>
    </row>
    <row r="13" spans="1:11" ht="18.75" customHeight="1" x14ac:dyDescent="0.3">
      <c r="A13" s="269"/>
      <c r="B13" s="73">
        <v>6510256001</v>
      </c>
      <c r="C13" s="73" t="s">
        <v>159</v>
      </c>
      <c r="D13" s="74">
        <v>3400</v>
      </c>
      <c r="E13" s="74">
        <v>180</v>
      </c>
      <c r="F13" s="74"/>
      <c r="G13" s="74">
        <f t="shared" si="0"/>
        <v>0</v>
      </c>
      <c r="H13" s="74" t="s">
        <v>1156</v>
      </c>
      <c r="I13" s="64"/>
      <c r="J13" s="64" t="s">
        <v>172</v>
      </c>
      <c r="K13" s="64"/>
    </row>
    <row r="14" spans="1:11" ht="18.75" customHeight="1" x14ac:dyDescent="0.3">
      <c r="A14" s="269"/>
      <c r="B14" s="78">
        <v>6510248001</v>
      </c>
      <c r="C14" s="90" t="s">
        <v>173</v>
      </c>
      <c r="D14" s="74">
        <v>6945</v>
      </c>
      <c r="E14" s="74">
        <v>180</v>
      </c>
      <c r="F14" s="74"/>
      <c r="G14" s="74">
        <f t="shared" si="0"/>
        <v>0</v>
      </c>
      <c r="H14" s="74" t="s">
        <v>1156</v>
      </c>
      <c r="I14" s="64"/>
      <c r="J14" s="74" t="s">
        <v>160</v>
      </c>
      <c r="K14" s="74"/>
    </row>
    <row r="15" spans="1:11" ht="18.75" customHeight="1" x14ac:dyDescent="0.3">
      <c r="A15" s="269"/>
      <c r="B15" s="78">
        <v>7838000001</v>
      </c>
      <c r="C15" s="90" t="s">
        <v>174</v>
      </c>
      <c r="D15" s="74">
        <v>2950</v>
      </c>
      <c r="E15" s="74">
        <v>90</v>
      </c>
      <c r="F15" s="74"/>
      <c r="G15" s="74">
        <f t="shared" si="0"/>
        <v>0</v>
      </c>
      <c r="H15" s="74" t="s">
        <v>1156</v>
      </c>
      <c r="I15" s="64"/>
      <c r="J15" s="74" t="s">
        <v>171</v>
      </c>
      <c r="K15" s="74"/>
    </row>
    <row r="16" spans="1:11" ht="18.75" customHeight="1" x14ac:dyDescent="0.3">
      <c r="A16" s="269"/>
      <c r="B16" s="73">
        <v>6952291001</v>
      </c>
      <c r="C16" s="73" t="s">
        <v>161</v>
      </c>
      <c r="D16" s="74">
        <f>(((F9/30)/12)*E16)</f>
        <v>0</v>
      </c>
      <c r="E16" s="74">
        <v>150</v>
      </c>
      <c r="F16" s="74"/>
      <c r="G16" s="74" t="e">
        <f t="shared" si="0"/>
        <v>#DIV/0!</v>
      </c>
      <c r="H16" s="74" t="s">
        <v>1156</v>
      </c>
      <c r="I16" s="64"/>
      <c r="J16" s="64" t="s">
        <v>172</v>
      </c>
      <c r="K16" s="64"/>
    </row>
    <row r="17" spans="1:11" ht="18.75" customHeight="1" x14ac:dyDescent="0.3">
      <c r="A17" s="270"/>
      <c r="B17" s="78">
        <v>7051506001</v>
      </c>
      <c r="C17" s="73" t="s">
        <v>162</v>
      </c>
      <c r="D17" s="74">
        <f>(((F9/30)/12)*E17)</f>
        <v>0</v>
      </c>
      <c r="E17" s="74">
        <v>56</v>
      </c>
      <c r="F17" s="74"/>
      <c r="G17" s="74" t="e">
        <f t="shared" si="0"/>
        <v>#DIV/0!</v>
      </c>
      <c r="H17" s="74" t="s">
        <v>1156</v>
      </c>
      <c r="I17" s="64"/>
      <c r="J17" s="91" t="s">
        <v>166</v>
      </c>
      <c r="K17" s="91"/>
    </row>
    <row r="18" spans="1:11" ht="18.75" customHeight="1" x14ac:dyDescent="0.3">
      <c r="A18" s="273" t="s">
        <v>175</v>
      </c>
      <c r="B18" s="92">
        <v>6510299001</v>
      </c>
      <c r="C18" s="93" t="s">
        <v>176</v>
      </c>
      <c r="D18" s="94">
        <v>650</v>
      </c>
      <c r="E18" s="94">
        <v>180</v>
      </c>
      <c r="F18" s="94"/>
      <c r="G18" s="94">
        <f t="shared" si="0"/>
        <v>0</v>
      </c>
      <c r="H18" s="94" t="s">
        <v>1156</v>
      </c>
      <c r="I18" s="95"/>
      <c r="J18" s="96" t="s">
        <v>160</v>
      </c>
      <c r="K18" s="97"/>
    </row>
    <row r="19" spans="1:11" ht="18.75" customHeight="1" x14ac:dyDescent="0.3">
      <c r="A19" s="270"/>
      <c r="B19" s="92">
        <v>9426752001</v>
      </c>
      <c r="C19" s="93" t="s">
        <v>165</v>
      </c>
      <c r="D19" s="94">
        <v>450</v>
      </c>
      <c r="E19" s="94">
        <v>60</v>
      </c>
      <c r="F19" s="94"/>
      <c r="G19" s="94">
        <f t="shared" si="0"/>
        <v>0</v>
      </c>
      <c r="H19" s="94" t="s">
        <v>1156</v>
      </c>
      <c r="I19" s="95"/>
      <c r="J19" s="98" t="s">
        <v>160</v>
      </c>
      <c r="K19" s="99"/>
    </row>
    <row r="20" spans="1:11" ht="18.75" customHeight="1" x14ac:dyDescent="0.3">
      <c r="A20" s="272" t="s">
        <v>163</v>
      </c>
      <c r="B20" s="79">
        <v>6510272001</v>
      </c>
      <c r="C20" s="80" t="s">
        <v>164</v>
      </c>
      <c r="D20" s="81">
        <v>650</v>
      </c>
      <c r="E20" s="81">
        <v>180</v>
      </c>
      <c r="F20" s="81"/>
      <c r="G20" s="81">
        <f t="shared" si="0"/>
        <v>0</v>
      </c>
      <c r="H20" s="81" t="s">
        <v>1156</v>
      </c>
      <c r="I20" s="82"/>
      <c r="J20" s="100" t="s">
        <v>160</v>
      </c>
      <c r="K20" s="100"/>
    </row>
    <row r="21" spans="1:11" ht="18.75" customHeight="1" x14ac:dyDescent="0.3">
      <c r="A21" s="270"/>
      <c r="B21" s="79">
        <v>9426752001</v>
      </c>
      <c r="C21" s="80" t="s">
        <v>165</v>
      </c>
      <c r="D21" s="81">
        <v>450</v>
      </c>
      <c r="E21" s="81">
        <v>60</v>
      </c>
      <c r="F21" s="81"/>
      <c r="G21" s="81">
        <f t="shared" si="0"/>
        <v>0</v>
      </c>
      <c r="H21" s="81" t="s">
        <v>1156</v>
      </c>
      <c r="I21" s="82"/>
      <c r="J21" s="101" t="s">
        <v>160</v>
      </c>
      <c r="K21" s="101"/>
    </row>
    <row r="22" spans="1:11" ht="18.75" customHeight="1" x14ac:dyDescent="0.3">
      <c r="A22" s="84" t="s">
        <v>167</v>
      </c>
      <c r="B22" s="85">
        <v>7051409001</v>
      </c>
      <c r="C22" s="85" t="s">
        <v>168</v>
      </c>
      <c r="D22" s="86">
        <f>(((F9/30)/12)*E22)</f>
        <v>0</v>
      </c>
      <c r="E22" s="86">
        <v>56</v>
      </c>
      <c r="F22" s="86"/>
      <c r="G22" s="86" t="e">
        <f t="shared" si="0"/>
        <v>#DIV/0!</v>
      </c>
      <c r="H22" s="86" t="s">
        <v>1156</v>
      </c>
      <c r="I22" s="87"/>
      <c r="J22" s="102" t="s">
        <v>166</v>
      </c>
      <c r="K22" s="102"/>
    </row>
    <row r="23" spans="1:11" ht="18.75" customHeight="1" x14ac:dyDescent="0.3"/>
    <row r="24" spans="1:11" ht="18.75" customHeight="1" x14ac:dyDescent="0.3"/>
    <row r="25" spans="1:11" ht="18.75" customHeight="1" x14ac:dyDescent="0.3"/>
    <row r="26" spans="1:11" ht="18.75" customHeight="1" x14ac:dyDescent="0.3"/>
    <row r="27" spans="1:11" ht="18.75" customHeight="1" x14ac:dyDescent="0.3"/>
    <row r="28" spans="1:11" ht="18.75" customHeight="1" x14ac:dyDescent="0.3"/>
    <row r="29" spans="1:11" ht="18.75" customHeight="1" x14ac:dyDescent="0.3"/>
    <row r="30" spans="1:11" ht="18.75" customHeight="1" x14ac:dyDescent="0.3"/>
    <row r="31" spans="1:11" ht="18.75" customHeight="1" x14ac:dyDescent="0.3"/>
    <row r="32" spans="1:11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9:A17"/>
    <mergeCell ref="A18:A19"/>
    <mergeCell ref="A20:A2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topLeftCell="A4" workbookViewId="0">
      <selection activeCell="E37" sqref="E37"/>
    </sheetView>
  </sheetViews>
  <sheetFormatPr baseColWidth="10" defaultColWidth="14.44140625" defaultRowHeight="15" customHeight="1" x14ac:dyDescent="0.3"/>
  <cols>
    <col min="1" max="1" width="9.44140625" customWidth="1"/>
    <col min="2" max="2" width="24.44140625" customWidth="1"/>
    <col min="3" max="3" width="7.109375" customWidth="1"/>
    <col min="4" max="4" width="8.44140625" customWidth="1"/>
    <col min="5" max="5" width="9.6640625" customWidth="1"/>
    <col min="6" max="6" width="8" customWidth="1"/>
    <col min="7" max="7" width="9.44140625" customWidth="1"/>
    <col min="8" max="8" width="8.5546875" customWidth="1"/>
  </cols>
  <sheetData>
    <row r="1" spans="1:8" ht="15" customHeight="1" x14ac:dyDescent="0.3">
      <c r="A1" s="103" t="s">
        <v>5</v>
      </c>
      <c r="B1" s="104"/>
      <c r="C1" s="105"/>
      <c r="D1" s="105"/>
      <c r="E1" s="105"/>
      <c r="F1" s="105"/>
    </row>
    <row r="2" spans="1:8" ht="15" customHeight="1" x14ac:dyDescent="0.3">
      <c r="A2" s="103" t="s">
        <v>124</v>
      </c>
      <c r="B2" s="104"/>
      <c r="C2" s="105"/>
      <c r="D2" s="105"/>
      <c r="E2" s="105"/>
      <c r="F2" s="105"/>
    </row>
    <row r="3" spans="1:8" ht="15" customHeight="1" x14ac:dyDescent="0.3">
      <c r="A3" s="103" t="s">
        <v>125</v>
      </c>
      <c r="B3" s="274"/>
      <c r="C3" s="275"/>
      <c r="D3" s="275"/>
      <c r="E3" s="275"/>
      <c r="F3" s="275"/>
    </row>
    <row r="4" spans="1:8" ht="15" customHeight="1" x14ac:dyDescent="0.3">
      <c r="A4" s="103" t="s">
        <v>127</v>
      </c>
      <c r="B4" s="104"/>
      <c r="C4" s="1" t="s">
        <v>128</v>
      </c>
      <c r="D4" s="105"/>
      <c r="E4" s="105"/>
      <c r="F4" s="105"/>
    </row>
    <row r="5" spans="1:8" ht="15" customHeight="1" x14ac:dyDescent="0.3">
      <c r="A5" s="103" t="s">
        <v>129</v>
      </c>
      <c r="B5" s="104"/>
      <c r="C5" s="1" t="s">
        <v>128</v>
      </c>
      <c r="D5" s="105"/>
      <c r="E5" s="105"/>
      <c r="F5" s="105"/>
    </row>
    <row r="6" spans="1:8" ht="15" customHeight="1" x14ac:dyDescent="0.3">
      <c r="A6" s="106" t="s">
        <v>130</v>
      </c>
      <c r="B6" s="107" t="s">
        <v>177</v>
      </c>
      <c r="C6" s="108"/>
      <c r="D6" s="108"/>
      <c r="E6" s="108"/>
      <c r="F6" s="108"/>
    </row>
    <row r="8" spans="1:8" ht="30.75" customHeight="1" x14ac:dyDescent="0.3">
      <c r="A8" s="59" t="s">
        <v>133</v>
      </c>
      <c r="B8" s="59" t="s">
        <v>178</v>
      </c>
      <c r="C8" s="59" t="s">
        <v>135</v>
      </c>
      <c r="D8" s="60" t="s">
        <v>136</v>
      </c>
      <c r="E8" s="60" t="s">
        <v>179</v>
      </c>
      <c r="F8" s="60" t="s">
        <v>138</v>
      </c>
      <c r="G8" s="109" t="s">
        <v>139</v>
      </c>
      <c r="H8" s="70" t="s">
        <v>140</v>
      </c>
    </row>
    <row r="9" spans="1:8" ht="15" customHeight="1" x14ac:dyDescent="0.3">
      <c r="A9" s="61">
        <v>4657527190</v>
      </c>
      <c r="B9" s="38" t="s">
        <v>180</v>
      </c>
      <c r="C9" s="34">
        <v>400</v>
      </c>
      <c r="D9" s="110">
        <v>120</v>
      </c>
      <c r="E9" s="110"/>
      <c r="F9" s="63">
        <f t="shared" ref="F9:F36" si="0">E9/C9</f>
        <v>0</v>
      </c>
      <c r="G9" s="111">
        <f t="shared" ref="G9:G36" si="1">365/D9</f>
        <v>3.0416666666666665</v>
      </c>
      <c r="H9" s="63"/>
    </row>
    <row r="10" spans="1:8" ht="15" customHeight="1" x14ac:dyDescent="0.3">
      <c r="A10" s="61">
        <v>4657616190</v>
      </c>
      <c r="B10" s="38" t="s">
        <v>181</v>
      </c>
      <c r="C10" s="34">
        <v>400</v>
      </c>
      <c r="D10" s="110">
        <v>120</v>
      </c>
      <c r="E10" s="110"/>
      <c r="F10" s="63">
        <f t="shared" si="0"/>
        <v>0</v>
      </c>
      <c r="G10" s="111">
        <f t="shared" si="1"/>
        <v>3.0416666666666665</v>
      </c>
      <c r="H10" s="63"/>
    </row>
    <row r="11" spans="1:8" ht="15" customHeight="1" x14ac:dyDescent="0.3">
      <c r="A11" s="61">
        <v>5401755190</v>
      </c>
      <c r="B11" s="38" t="s">
        <v>182</v>
      </c>
      <c r="C11" s="34">
        <v>400</v>
      </c>
      <c r="D11" s="110">
        <v>120</v>
      </c>
      <c r="E11" s="110"/>
      <c r="F11" s="63">
        <f t="shared" si="0"/>
        <v>0</v>
      </c>
      <c r="G11" s="111">
        <f t="shared" si="1"/>
        <v>3.0416666666666665</v>
      </c>
      <c r="H11" s="63"/>
    </row>
    <row r="12" spans="1:8" ht="15" customHeight="1" x14ac:dyDescent="0.3">
      <c r="A12" s="61">
        <v>4657608190</v>
      </c>
      <c r="B12" s="38" t="s">
        <v>183</v>
      </c>
      <c r="C12" s="34">
        <v>400</v>
      </c>
      <c r="D12" s="110">
        <v>120</v>
      </c>
      <c r="E12" s="110"/>
      <c r="F12" s="63">
        <f t="shared" si="0"/>
        <v>0</v>
      </c>
      <c r="G12" s="111">
        <f t="shared" si="1"/>
        <v>3.0416666666666665</v>
      </c>
      <c r="H12" s="63"/>
    </row>
    <row r="13" spans="1:8" ht="15" customHeight="1" x14ac:dyDescent="0.3">
      <c r="A13" s="61">
        <v>4718917190</v>
      </c>
      <c r="B13" s="38" t="s">
        <v>184</v>
      </c>
      <c r="C13" s="34">
        <v>400</v>
      </c>
      <c r="D13" s="110">
        <v>120</v>
      </c>
      <c r="E13" s="112"/>
      <c r="F13" s="63">
        <f t="shared" si="0"/>
        <v>0</v>
      </c>
      <c r="G13" s="111">
        <f t="shared" si="1"/>
        <v>3.0416666666666665</v>
      </c>
      <c r="H13" s="63"/>
    </row>
    <row r="14" spans="1:8" ht="15" customHeight="1" x14ac:dyDescent="0.3">
      <c r="A14" s="61">
        <v>4657594190</v>
      </c>
      <c r="B14" s="38" t="s">
        <v>185</v>
      </c>
      <c r="C14" s="34">
        <v>200</v>
      </c>
      <c r="D14" s="110">
        <v>120</v>
      </c>
      <c r="E14" s="110"/>
      <c r="F14" s="63">
        <f t="shared" si="0"/>
        <v>0</v>
      </c>
      <c r="G14" s="111">
        <f t="shared" si="1"/>
        <v>3.0416666666666665</v>
      </c>
      <c r="H14" s="63"/>
    </row>
    <row r="15" spans="1:8" ht="15" customHeight="1" x14ac:dyDescent="0.3">
      <c r="A15" s="61">
        <v>4718569190</v>
      </c>
      <c r="B15" s="38" t="s">
        <v>186</v>
      </c>
      <c r="C15" s="34">
        <v>400</v>
      </c>
      <c r="D15" s="110">
        <v>120</v>
      </c>
      <c r="E15" s="110"/>
      <c r="F15" s="63">
        <f t="shared" si="0"/>
        <v>0</v>
      </c>
      <c r="G15" s="111">
        <f t="shared" si="1"/>
        <v>3.0416666666666665</v>
      </c>
      <c r="H15" s="63"/>
    </row>
    <row r="16" spans="1:8" ht="15" customHeight="1" x14ac:dyDescent="0.3">
      <c r="A16" s="61">
        <v>4657543190</v>
      </c>
      <c r="B16" s="38" t="s">
        <v>187</v>
      </c>
      <c r="C16" s="34">
        <v>400</v>
      </c>
      <c r="D16" s="110">
        <v>120</v>
      </c>
      <c r="E16" s="110"/>
      <c r="F16" s="63">
        <f t="shared" si="0"/>
        <v>0</v>
      </c>
      <c r="G16" s="111">
        <f t="shared" si="1"/>
        <v>3.0416666666666665</v>
      </c>
      <c r="H16" s="63"/>
    </row>
    <row r="17" spans="1:8" ht="15" customHeight="1" x14ac:dyDescent="0.3">
      <c r="A17" s="61">
        <v>4657373190</v>
      </c>
      <c r="B17" s="38" t="s">
        <v>188</v>
      </c>
      <c r="C17" s="34">
        <v>200</v>
      </c>
      <c r="D17" s="110">
        <v>120</v>
      </c>
      <c r="E17" s="110"/>
      <c r="F17" s="63">
        <f t="shared" si="0"/>
        <v>0</v>
      </c>
      <c r="G17" s="111">
        <f t="shared" si="1"/>
        <v>3.0416666666666665</v>
      </c>
      <c r="H17" s="63"/>
    </row>
    <row r="18" spans="1:8" ht="15" customHeight="1" x14ac:dyDescent="0.3">
      <c r="A18" s="113">
        <v>5795648190</v>
      </c>
      <c r="B18" s="38" t="s">
        <v>189</v>
      </c>
      <c r="C18" s="34">
        <v>400</v>
      </c>
      <c r="D18" s="110">
        <v>120</v>
      </c>
      <c r="E18" s="110"/>
      <c r="F18" s="63">
        <f t="shared" si="0"/>
        <v>0</v>
      </c>
      <c r="G18" s="111">
        <f t="shared" si="1"/>
        <v>3.0416666666666665</v>
      </c>
      <c r="H18" s="63"/>
    </row>
    <row r="19" spans="1:8" ht="15" customHeight="1" x14ac:dyDescent="0.3">
      <c r="A19" s="61">
        <v>5589134190</v>
      </c>
      <c r="B19" s="38" t="s">
        <v>190</v>
      </c>
      <c r="C19" s="34">
        <v>100</v>
      </c>
      <c r="D19" s="110">
        <v>60</v>
      </c>
      <c r="E19" s="110"/>
      <c r="F19" s="63">
        <f t="shared" si="0"/>
        <v>0</v>
      </c>
      <c r="G19" s="111">
        <f t="shared" si="1"/>
        <v>6.083333333333333</v>
      </c>
      <c r="H19" s="63"/>
    </row>
    <row r="20" spans="1:8" ht="15" customHeight="1" x14ac:dyDescent="0.3">
      <c r="A20" s="61">
        <v>7528604190</v>
      </c>
      <c r="B20" s="38" t="s">
        <v>191</v>
      </c>
      <c r="C20" s="34">
        <v>200</v>
      </c>
      <c r="D20" s="110">
        <v>60</v>
      </c>
      <c r="E20" s="110"/>
      <c r="F20" s="63">
        <f t="shared" si="0"/>
        <v>0</v>
      </c>
      <c r="G20" s="111">
        <f t="shared" si="1"/>
        <v>6.083333333333333</v>
      </c>
      <c r="H20" s="63"/>
    </row>
    <row r="21" spans="1:8" ht="15" customHeight="1" x14ac:dyDescent="0.3">
      <c r="A21" s="114">
        <v>5401496190</v>
      </c>
      <c r="B21" s="11" t="s">
        <v>192</v>
      </c>
      <c r="C21" s="34">
        <v>200</v>
      </c>
      <c r="D21" s="110">
        <v>60</v>
      </c>
      <c r="E21" s="110"/>
      <c r="F21" s="63">
        <f t="shared" si="0"/>
        <v>0</v>
      </c>
      <c r="G21" s="111">
        <f t="shared" si="1"/>
        <v>6.083333333333333</v>
      </c>
      <c r="H21" s="63"/>
    </row>
    <row r="22" spans="1:8" ht="15" customHeight="1" x14ac:dyDescent="0.3">
      <c r="A22" s="114">
        <v>5401704190</v>
      </c>
      <c r="B22" s="11" t="s">
        <v>193</v>
      </c>
      <c r="C22" s="34">
        <v>100</v>
      </c>
      <c r="D22" s="110">
        <v>60</v>
      </c>
      <c r="E22" s="110"/>
      <c r="F22" s="63">
        <f t="shared" si="0"/>
        <v>0</v>
      </c>
      <c r="G22" s="111">
        <f t="shared" si="1"/>
        <v>6.083333333333333</v>
      </c>
      <c r="H22" s="63"/>
    </row>
    <row r="23" spans="1:8" ht="15" customHeight="1" x14ac:dyDescent="0.3">
      <c r="A23" s="114">
        <v>5401461190</v>
      </c>
      <c r="B23" s="61" t="s">
        <v>194</v>
      </c>
      <c r="C23" s="34">
        <v>200</v>
      </c>
      <c r="D23" s="110">
        <v>60</v>
      </c>
      <c r="E23" s="110"/>
      <c r="F23" s="63">
        <f t="shared" si="0"/>
        <v>0</v>
      </c>
      <c r="G23" s="111">
        <f t="shared" si="1"/>
        <v>6.083333333333333</v>
      </c>
      <c r="H23" s="63"/>
    </row>
    <row r="24" spans="1:8" ht="15" customHeight="1" x14ac:dyDescent="0.3">
      <c r="A24" s="115">
        <v>4657357190</v>
      </c>
      <c r="B24" s="116" t="s">
        <v>195</v>
      </c>
      <c r="C24" s="34">
        <v>400</v>
      </c>
      <c r="D24" s="110">
        <v>120</v>
      </c>
      <c r="E24" s="110"/>
      <c r="F24" s="63">
        <f t="shared" si="0"/>
        <v>0</v>
      </c>
      <c r="G24" s="111">
        <f t="shared" si="1"/>
        <v>3.0416666666666665</v>
      </c>
      <c r="H24" s="63"/>
    </row>
    <row r="25" spans="1:8" ht="15" customHeight="1" x14ac:dyDescent="0.3">
      <c r="A25" s="61">
        <v>7005806190</v>
      </c>
      <c r="B25" s="38" t="s">
        <v>196</v>
      </c>
      <c r="C25" s="34">
        <v>100</v>
      </c>
      <c r="D25" s="110">
        <v>60</v>
      </c>
      <c r="E25" s="110"/>
      <c r="F25" s="63">
        <f t="shared" si="0"/>
        <v>0</v>
      </c>
      <c r="G25" s="111">
        <f t="shared" si="1"/>
        <v>6.083333333333333</v>
      </c>
      <c r="H25" s="63"/>
    </row>
    <row r="26" spans="1:8" ht="15" customHeight="1" x14ac:dyDescent="0.3">
      <c r="A26" s="113">
        <v>5061504190</v>
      </c>
      <c r="B26" s="117" t="s">
        <v>197</v>
      </c>
      <c r="C26" s="34">
        <v>400</v>
      </c>
      <c r="D26" s="110">
        <v>120</v>
      </c>
      <c r="E26" s="110"/>
      <c r="F26" s="63">
        <f t="shared" si="0"/>
        <v>0</v>
      </c>
      <c r="G26" s="111">
        <f t="shared" si="1"/>
        <v>3.0416666666666665</v>
      </c>
      <c r="H26" s="63"/>
    </row>
    <row r="27" spans="1:8" ht="15" customHeight="1" x14ac:dyDescent="0.3">
      <c r="A27" s="113">
        <v>7442017190</v>
      </c>
      <c r="B27" s="117" t="s">
        <v>198</v>
      </c>
      <c r="C27" s="34">
        <v>200</v>
      </c>
      <c r="D27" s="110">
        <v>60</v>
      </c>
      <c r="E27" s="110"/>
      <c r="F27" s="63">
        <f t="shared" si="0"/>
        <v>0</v>
      </c>
      <c r="G27" s="111">
        <f t="shared" si="1"/>
        <v>6.083333333333333</v>
      </c>
      <c r="H27" s="63"/>
    </row>
    <row r="28" spans="1:8" ht="15" customHeight="1" x14ac:dyDescent="0.3">
      <c r="A28" s="113">
        <v>5401674190</v>
      </c>
      <c r="B28" s="117" t="s">
        <v>199</v>
      </c>
      <c r="C28" s="34">
        <v>100</v>
      </c>
      <c r="D28" s="110">
        <v>60</v>
      </c>
      <c r="E28" s="110"/>
      <c r="F28" s="63">
        <f t="shared" si="0"/>
        <v>0</v>
      </c>
      <c r="G28" s="111">
        <f t="shared" si="1"/>
        <v>6.083333333333333</v>
      </c>
      <c r="H28" s="63"/>
    </row>
    <row r="29" spans="1:8" ht="15" customHeight="1" x14ac:dyDescent="0.3">
      <c r="A29" s="113">
        <v>5336180190</v>
      </c>
      <c r="B29" s="117" t="s">
        <v>200</v>
      </c>
      <c r="C29" s="34">
        <v>200</v>
      </c>
      <c r="D29" s="110">
        <v>60</v>
      </c>
      <c r="E29" s="110"/>
      <c r="F29" s="63">
        <f t="shared" si="0"/>
        <v>0</v>
      </c>
      <c r="G29" s="111">
        <f t="shared" si="1"/>
        <v>6.083333333333333</v>
      </c>
      <c r="H29" s="63"/>
    </row>
    <row r="30" spans="1:8" ht="15" customHeight="1" x14ac:dyDescent="0.3">
      <c r="A30" s="113">
        <v>5401658190</v>
      </c>
      <c r="B30" s="117" t="s">
        <v>201</v>
      </c>
      <c r="C30" s="34">
        <v>100</v>
      </c>
      <c r="D30" s="110">
        <v>60</v>
      </c>
      <c r="E30" s="110"/>
      <c r="F30" s="63">
        <f t="shared" si="0"/>
        <v>0</v>
      </c>
      <c r="G30" s="111">
        <f t="shared" si="1"/>
        <v>6.083333333333333</v>
      </c>
      <c r="H30" s="63"/>
    </row>
    <row r="31" spans="1:8" ht="15" customHeight="1" x14ac:dyDescent="0.3">
      <c r="A31" s="113">
        <v>4657586190</v>
      </c>
      <c r="B31" s="117" t="s">
        <v>202</v>
      </c>
      <c r="C31" s="34">
        <v>400</v>
      </c>
      <c r="D31" s="110">
        <v>120</v>
      </c>
      <c r="E31" s="110"/>
      <c r="F31" s="63">
        <f t="shared" si="0"/>
        <v>0</v>
      </c>
      <c r="G31" s="111">
        <f t="shared" si="1"/>
        <v>3.0416666666666665</v>
      </c>
      <c r="H31" s="63"/>
    </row>
    <row r="32" spans="1:8" ht="15" customHeight="1" x14ac:dyDescent="0.3">
      <c r="A32" s="113">
        <v>7876432190</v>
      </c>
      <c r="B32" s="38" t="s">
        <v>203</v>
      </c>
      <c r="C32" s="34">
        <v>200</v>
      </c>
      <c r="D32" s="110">
        <v>60</v>
      </c>
      <c r="E32" s="110"/>
      <c r="F32" s="63">
        <f t="shared" si="0"/>
        <v>0</v>
      </c>
      <c r="G32" s="111">
        <f t="shared" si="1"/>
        <v>6.083333333333333</v>
      </c>
      <c r="H32" s="63"/>
    </row>
    <row r="33" spans="1:8" ht="15" customHeight="1" x14ac:dyDescent="0.3">
      <c r="A33" s="113">
        <v>5077753190</v>
      </c>
      <c r="B33" s="118" t="s">
        <v>204</v>
      </c>
      <c r="C33" s="34">
        <v>200</v>
      </c>
      <c r="D33" s="119">
        <v>120</v>
      </c>
      <c r="E33" s="110"/>
      <c r="F33" s="63">
        <f t="shared" si="0"/>
        <v>0</v>
      </c>
      <c r="G33" s="111">
        <f t="shared" si="1"/>
        <v>3.0416666666666665</v>
      </c>
      <c r="H33" s="63"/>
    </row>
    <row r="34" spans="1:8" ht="15" customHeight="1" x14ac:dyDescent="0.3">
      <c r="A34" s="113">
        <v>5401780190</v>
      </c>
      <c r="B34" s="118" t="s">
        <v>205</v>
      </c>
      <c r="C34" s="34">
        <v>100</v>
      </c>
      <c r="D34" s="119">
        <v>60</v>
      </c>
      <c r="E34" s="110"/>
      <c r="F34" s="63">
        <f t="shared" si="0"/>
        <v>0</v>
      </c>
      <c r="G34" s="111">
        <f t="shared" si="1"/>
        <v>6.083333333333333</v>
      </c>
      <c r="H34" s="63"/>
    </row>
    <row r="35" spans="1:8" ht="15" customHeight="1" x14ac:dyDescent="0.3">
      <c r="A35" s="120">
        <v>5401739190</v>
      </c>
      <c r="B35" s="121" t="s">
        <v>206</v>
      </c>
      <c r="C35" s="34">
        <v>100</v>
      </c>
      <c r="D35" s="110">
        <v>56</v>
      </c>
      <c r="E35" s="110"/>
      <c r="F35" s="63">
        <f t="shared" si="0"/>
        <v>0</v>
      </c>
      <c r="G35" s="111">
        <f t="shared" si="1"/>
        <v>6.5178571428571432</v>
      </c>
      <c r="H35" s="63"/>
    </row>
    <row r="36" spans="1:8" ht="15" customHeight="1" x14ac:dyDescent="0.3">
      <c r="A36" s="120">
        <v>7442050190</v>
      </c>
      <c r="B36" s="121" t="s">
        <v>207</v>
      </c>
      <c r="C36" s="34">
        <v>100</v>
      </c>
      <c r="D36" s="34">
        <v>60</v>
      </c>
      <c r="E36" s="110"/>
      <c r="F36" s="63">
        <f t="shared" si="0"/>
        <v>0</v>
      </c>
      <c r="G36" s="111">
        <f t="shared" si="1"/>
        <v>6.083333333333333</v>
      </c>
      <c r="H36" s="63"/>
    </row>
    <row r="37" spans="1:8" ht="15" customHeight="1" x14ac:dyDescent="0.3">
      <c r="A37" s="122"/>
      <c r="B37" s="123"/>
      <c r="C37" s="124" t="s">
        <v>208</v>
      </c>
      <c r="D37" s="124"/>
      <c r="E37" s="125">
        <f>SUM(E9:E36)</f>
        <v>0</v>
      </c>
      <c r="F37" s="126"/>
      <c r="G37" s="127"/>
      <c r="H37" s="128"/>
    </row>
    <row r="38" spans="1:8" ht="15" customHeight="1" x14ac:dyDescent="0.3">
      <c r="A38" s="129" t="s">
        <v>209</v>
      </c>
      <c r="B38" s="130"/>
      <c r="C38" s="131"/>
      <c r="D38" s="132"/>
      <c r="E38" s="133"/>
      <c r="F38" s="134"/>
      <c r="G38" s="135"/>
      <c r="H38" s="136"/>
    </row>
    <row r="39" spans="1:8" ht="15" customHeight="1" x14ac:dyDescent="0.3">
      <c r="A39" s="61">
        <v>10759350190</v>
      </c>
      <c r="B39" s="38" t="s">
        <v>210</v>
      </c>
      <c r="C39" s="34">
        <v>12</v>
      </c>
      <c r="D39" s="110">
        <v>28</v>
      </c>
      <c r="E39" s="34"/>
      <c r="F39" s="52"/>
      <c r="G39" s="111">
        <f t="shared" ref="G39:G45" si="2">(365/D39)/C39</f>
        <v>1.0863095238095239</v>
      </c>
      <c r="H39" s="34"/>
    </row>
    <row r="40" spans="1:8" ht="15" customHeight="1" x14ac:dyDescent="0.3">
      <c r="A40" s="61">
        <v>12172623122</v>
      </c>
      <c r="B40" s="38" t="s">
        <v>211</v>
      </c>
      <c r="C40" s="34">
        <v>3</v>
      </c>
      <c r="D40" s="110">
        <v>28</v>
      </c>
      <c r="E40" s="34"/>
      <c r="F40" s="34"/>
      <c r="G40" s="111">
        <f t="shared" si="2"/>
        <v>4.3452380952380958</v>
      </c>
      <c r="H40" s="34"/>
    </row>
    <row r="41" spans="1:8" ht="15" customHeight="1" x14ac:dyDescent="0.3">
      <c r="A41" s="113">
        <v>11355279216</v>
      </c>
      <c r="B41" s="117" t="s">
        <v>212</v>
      </c>
      <c r="C41" s="34">
        <v>5</v>
      </c>
      <c r="D41" s="110">
        <v>28</v>
      </c>
      <c r="E41" s="34"/>
      <c r="F41" s="34"/>
      <c r="G41" s="111">
        <f t="shared" si="2"/>
        <v>2.6071428571428572</v>
      </c>
      <c r="H41" s="34"/>
    </row>
    <row r="42" spans="1:8" ht="15" customHeight="1" x14ac:dyDescent="0.3">
      <c r="A42" s="137">
        <v>4528417190</v>
      </c>
      <c r="B42" s="117" t="s">
        <v>213</v>
      </c>
      <c r="C42" s="34">
        <v>3</v>
      </c>
      <c r="D42" s="110">
        <v>84</v>
      </c>
      <c r="E42" s="34"/>
      <c r="F42" s="34"/>
      <c r="G42" s="111">
        <f t="shared" si="2"/>
        <v>1.4484126984126984</v>
      </c>
      <c r="H42" s="34"/>
    </row>
    <row r="43" spans="1:8" ht="15" customHeight="1" x14ac:dyDescent="0.3">
      <c r="A43" s="113">
        <v>20751995190</v>
      </c>
      <c r="B43" s="138" t="s">
        <v>214</v>
      </c>
      <c r="C43" s="34">
        <v>2</v>
      </c>
      <c r="D43" s="110">
        <v>56</v>
      </c>
      <c r="E43" s="34"/>
      <c r="F43" s="34"/>
      <c r="G43" s="111">
        <f t="shared" si="2"/>
        <v>3.2589285714285716</v>
      </c>
      <c r="H43" s="34"/>
    </row>
    <row r="44" spans="1:8" ht="15" customHeight="1" x14ac:dyDescent="0.3">
      <c r="A44" s="120">
        <v>5050901190</v>
      </c>
      <c r="B44" s="117" t="s">
        <v>215</v>
      </c>
      <c r="C44" s="34">
        <v>1</v>
      </c>
      <c r="D44" s="110">
        <v>84</v>
      </c>
      <c r="E44" s="34"/>
      <c r="F44" s="34"/>
      <c r="G44" s="111">
        <f t="shared" si="2"/>
        <v>4.3452380952380949</v>
      </c>
      <c r="H44" s="34"/>
    </row>
    <row r="45" spans="1:8" ht="15" customHeight="1" x14ac:dyDescent="0.3">
      <c r="A45" s="113">
        <v>11447394216</v>
      </c>
      <c r="B45" s="117" t="s">
        <v>216</v>
      </c>
      <c r="C45" s="34">
        <v>3</v>
      </c>
      <c r="D45" s="34">
        <v>28</v>
      </c>
      <c r="E45" s="34"/>
      <c r="F45" s="34"/>
      <c r="G45" s="111">
        <f t="shared" si="2"/>
        <v>4.3452380952380958</v>
      </c>
      <c r="H45" s="139"/>
    </row>
    <row r="46" spans="1:8" ht="15" customHeight="1" x14ac:dyDescent="0.3">
      <c r="A46" s="140" t="s">
        <v>217</v>
      </c>
      <c r="B46" s="141"/>
      <c r="C46" s="142"/>
      <c r="D46" s="143"/>
      <c r="E46" s="142"/>
      <c r="F46" s="142"/>
      <c r="G46" s="144"/>
      <c r="H46" s="142"/>
    </row>
    <row r="47" spans="1:8" ht="15" customHeight="1" x14ac:dyDescent="0.3">
      <c r="A47" s="145">
        <v>5947626190</v>
      </c>
      <c r="B47" s="146" t="s">
        <v>218</v>
      </c>
      <c r="C47" s="34">
        <v>4</v>
      </c>
      <c r="D47" s="110">
        <v>14</v>
      </c>
      <c r="E47" s="34"/>
      <c r="F47" s="34"/>
      <c r="G47" s="111">
        <f t="shared" ref="G47:G53" si="3">(365/D47)/C47</f>
        <v>6.5178571428571432</v>
      </c>
      <c r="H47" s="34"/>
    </row>
    <row r="48" spans="1:8" ht="15" customHeight="1" x14ac:dyDescent="0.3">
      <c r="A48" s="145">
        <v>5947774190</v>
      </c>
      <c r="B48" s="146" t="s">
        <v>219</v>
      </c>
      <c r="C48" s="34">
        <v>4</v>
      </c>
      <c r="D48" s="110">
        <v>14</v>
      </c>
      <c r="E48" s="34"/>
      <c r="F48" s="34"/>
      <c r="G48" s="111">
        <f t="shared" si="3"/>
        <v>6.5178571428571432</v>
      </c>
      <c r="H48" s="34"/>
    </row>
    <row r="49" spans="1:8" ht="15" customHeight="1" x14ac:dyDescent="0.3">
      <c r="A49" s="113">
        <v>5479207190</v>
      </c>
      <c r="B49" s="117" t="s">
        <v>220</v>
      </c>
      <c r="C49" s="34">
        <v>4</v>
      </c>
      <c r="D49" s="110">
        <v>28</v>
      </c>
      <c r="E49" s="34"/>
      <c r="F49" s="147"/>
      <c r="G49" s="111">
        <f t="shared" si="3"/>
        <v>3.2589285714285716</v>
      </c>
      <c r="H49" s="34"/>
    </row>
    <row r="50" spans="1:8" ht="15" customHeight="1" x14ac:dyDescent="0.3">
      <c r="A50" s="51">
        <v>5912504190</v>
      </c>
      <c r="B50" s="2" t="s">
        <v>221</v>
      </c>
      <c r="C50" s="66">
        <v>4</v>
      </c>
      <c r="D50" s="110">
        <v>28</v>
      </c>
      <c r="E50" s="34"/>
      <c r="F50" s="147"/>
      <c r="G50" s="111">
        <f t="shared" si="3"/>
        <v>3.2589285714285716</v>
      </c>
      <c r="H50" s="34"/>
    </row>
    <row r="51" spans="1:8" ht="15" customHeight="1" x14ac:dyDescent="0.3">
      <c r="A51" s="61">
        <v>20752401190</v>
      </c>
      <c r="B51" s="38" t="s">
        <v>222</v>
      </c>
      <c r="C51" s="34">
        <v>5</v>
      </c>
      <c r="D51" s="119">
        <v>56</v>
      </c>
      <c r="E51" s="34"/>
      <c r="F51" s="147"/>
      <c r="G51" s="111">
        <f t="shared" si="3"/>
        <v>1.3035714285714286</v>
      </c>
      <c r="H51" s="34"/>
    </row>
    <row r="52" spans="1:8" ht="15" customHeight="1" x14ac:dyDescent="0.3">
      <c r="A52" s="61">
        <v>20753009190</v>
      </c>
      <c r="B52" s="38" t="s">
        <v>222</v>
      </c>
      <c r="C52" s="34">
        <v>5</v>
      </c>
      <c r="D52" s="119">
        <v>56</v>
      </c>
      <c r="E52" s="34"/>
      <c r="F52" s="147"/>
      <c r="G52" s="111">
        <f t="shared" si="3"/>
        <v>1.3035714285714286</v>
      </c>
      <c r="H52" s="34"/>
    </row>
    <row r="53" spans="1:8" ht="15" customHeight="1" x14ac:dyDescent="0.3">
      <c r="A53" s="120">
        <v>5050936190</v>
      </c>
      <c r="B53" s="148" t="s">
        <v>223</v>
      </c>
      <c r="C53" s="149">
        <v>2</v>
      </c>
      <c r="D53" s="110">
        <v>84</v>
      </c>
      <c r="E53" s="34"/>
      <c r="F53" s="34"/>
      <c r="G53" s="111">
        <f t="shared" si="3"/>
        <v>2.1726190476190474</v>
      </c>
      <c r="H53" s="34"/>
    </row>
    <row r="54" spans="1:8" ht="15" customHeight="1" x14ac:dyDescent="0.3">
      <c r="A54" s="140" t="s">
        <v>224</v>
      </c>
      <c r="B54" s="141"/>
      <c r="C54" s="142"/>
      <c r="D54" s="134"/>
      <c r="E54" s="142"/>
      <c r="F54" s="142"/>
      <c r="G54" s="144"/>
      <c r="H54" s="142"/>
    </row>
    <row r="55" spans="1:8" ht="15" customHeight="1" x14ac:dyDescent="0.3">
      <c r="A55" s="61">
        <v>4774230190</v>
      </c>
      <c r="B55" s="38" t="s">
        <v>225</v>
      </c>
      <c r="C55" s="34">
        <v>4</v>
      </c>
      <c r="D55" s="110">
        <v>28</v>
      </c>
      <c r="E55" s="34"/>
      <c r="F55" s="34"/>
      <c r="G55" s="111">
        <f t="shared" ref="G55:G63" si="4">(365/D55)/C55</f>
        <v>3.2589285714285716</v>
      </c>
      <c r="H55" s="34"/>
    </row>
    <row r="56" spans="1:8" ht="15" customHeight="1" x14ac:dyDescent="0.3">
      <c r="A56" s="113">
        <v>5007232190</v>
      </c>
      <c r="B56" s="117" t="s">
        <v>226</v>
      </c>
      <c r="C56" s="34">
        <v>8</v>
      </c>
      <c r="D56" s="110">
        <v>10</v>
      </c>
      <c r="E56" s="34"/>
      <c r="F56" s="34"/>
      <c r="G56" s="111">
        <f t="shared" si="4"/>
        <v>4.5625</v>
      </c>
      <c r="H56" s="34"/>
    </row>
    <row r="57" spans="1:8" ht="15" customHeight="1" x14ac:dyDescent="0.3">
      <c r="A57" s="61">
        <v>4663632190</v>
      </c>
      <c r="B57" s="38" t="s">
        <v>227</v>
      </c>
      <c r="C57" s="34">
        <v>9</v>
      </c>
      <c r="D57" s="110">
        <v>12</v>
      </c>
      <c r="E57" s="34"/>
      <c r="F57" s="34"/>
      <c r="G57" s="111">
        <f t="shared" si="4"/>
        <v>3.3796296296296298</v>
      </c>
      <c r="H57" s="34"/>
    </row>
    <row r="58" spans="1:8" ht="15" customHeight="1" x14ac:dyDescent="0.3">
      <c r="A58" s="61">
        <v>11298500316</v>
      </c>
      <c r="B58" s="38" t="s">
        <v>228</v>
      </c>
      <c r="C58" s="34">
        <v>5</v>
      </c>
      <c r="D58" s="110">
        <v>73</v>
      </c>
      <c r="E58" s="34"/>
      <c r="F58" s="34"/>
      <c r="G58" s="111">
        <f t="shared" si="4"/>
        <v>1</v>
      </c>
      <c r="H58" s="34"/>
    </row>
    <row r="59" spans="1:8" ht="15.75" customHeight="1" x14ac:dyDescent="0.3">
      <c r="A59" s="61">
        <v>20754765322</v>
      </c>
      <c r="B59" s="38" t="s">
        <v>229</v>
      </c>
      <c r="C59" s="34">
        <v>1</v>
      </c>
      <c r="D59" s="110">
        <v>84</v>
      </c>
      <c r="E59" s="34"/>
      <c r="F59" s="34"/>
      <c r="G59" s="111">
        <f t="shared" si="4"/>
        <v>4.3452380952380949</v>
      </c>
      <c r="H59" s="34"/>
    </row>
    <row r="60" spans="1:8" ht="15.75" customHeight="1" x14ac:dyDescent="0.3">
      <c r="A60" s="61">
        <v>4357108001</v>
      </c>
      <c r="B60" s="38" t="s">
        <v>230</v>
      </c>
      <c r="C60" s="34">
        <v>1</v>
      </c>
      <c r="D60" s="110">
        <v>365</v>
      </c>
      <c r="E60" s="34"/>
      <c r="F60" s="34"/>
      <c r="G60" s="111">
        <f t="shared" si="4"/>
        <v>1</v>
      </c>
      <c r="H60" s="34"/>
    </row>
    <row r="61" spans="1:8" ht="15.75" customHeight="1" x14ac:dyDescent="0.3">
      <c r="A61" s="51">
        <v>4444191001</v>
      </c>
      <c r="B61" s="38" t="s">
        <v>231</v>
      </c>
      <c r="C61" s="34">
        <v>1</v>
      </c>
      <c r="D61" s="110">
        <v>365</v>
      </c>
      <c r="E61" s="34"/>
      <c r="F61" s="150"/>
      <c r="G61" s="111">
        <f t="shared" si="4"/>
        <v>1</v>
      </c>
      <c r="H61" s="34"/>
    </row>
    <row r="62" spans="1:8" ht="15.75" customHeight="1" x14ac:dyDescent="0.3">
      <c r="A62" s="61">
        <v>4352483001</v>
      </c>
      <c r="B62" s="38" t="s">
        <v>232</v>
      </c>
      <c r="C62" s="34">
        <v>5</v>
      </c>
      <c r="D62" s="110">
        <v>365</v>
      </c>
      <c r="E62" s="34"/>
      <c r="F62" s="34"/>
      <c r="G62" s="111">
        <f t="shared" si="4"/>
        <v>0.2</v>
      </c>
      <c r="H62" s="34"/>
    </row>
    <row r="63" spans="1:8" ht="15.75" customHeight="1" x14ac:dyDescent="0.3">
      <c r="A63" s="61">
        <v>5344620001</v>
      </c>
      <c r="B63" s="38" t="s">
        <v>233</v>
      </c>
      <c r="C63" s="34">
        <v>1</v>
      </c>
      <c r="D63" s="110">
        <v>365</v>
      </c>
      <c r="E63" s="34"/>
      <c r="F63" s="34"/>
      <c r="G63" s="111">
        <f t="shared" si="4"/>
        <v>1</v>
      </c>
      <c r="H63" s="34"/>
    </row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3:F3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8.6640625" customWidth="1"/>
    <col min="2" max="2" width="29.33203125" customWidth="1"/>
    <col min="3" max="3" width="12" customWidth="1"/>
    <col min="4" max="4" width="11" customWidth="1"/>
    <col min="5" max="5" width="12" customWidth="1"/>
    <col min="6" max="6" width="14.33203125" customWidth="1"/>
    <col min="7" max="7" width="16.6640625" customWidth="1"/>
    <col min="8" max="8" width="14.5546875" customWidth="1"/>
    <col min="9" max="26" width="10.6640625" customWidth="1"/>
  </cols>
  <sheetData>
    <row r="1" spans="1:26" ht="13.5" customHeight="1" x14ac:dyDescent="0.3">
      <c r="A1" s="103" t="s">
        <v>5</v>
      </c>
      <c r="B1" s="104"/>
      <c r="C1" s="105"/>
      <c r="D1" s="105"/>
      <c r="E1" s="105"/>
      <c r="F1" s="10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">
      <c r="A2" s="103" t="s">
        <v>124</v>
      </c>
      <c r="B2" s="104"/>
      <c r="C2" s="105"/>
      <c r="D2" s="105"/>
      <c r="E2" s="105"/>
      <c r="F2" s="10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">
      <c r="A3" s="103" t="s">
        <v>125</v>
      </c>
      <c r="B3" s="274"/>
      <c r="C3" s="275"/>
      <c r="D3" s="275"/>
      <c r="E3" s="275"/>
      <c r="F3" s="27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">
      <c r="A4" s="103" t="s">
        <v>127</v>
      </c>
      <c r="B4" s="104"/>
      <c r="C4" s="1" t="s">
        <v>128</v>
      </c>
      <c r="D4" s="105"/>
      <c r="E4" s="105"/>
      <c r="F4" s="10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">
      <c r="A5" s="103" t="s">
        <v>129</v>
      </c>
      <c r="B5" s="104"/>
      <c r="C5" s="1" t="s">
        <v>128</v>
      </c>
      <c r="D5" s="105"/>
      <c r="E5" s="105"/>
      <c r="F5" s="10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">
      <c r="A6" s="106" t="s">
        <v>130</v>
      </c>
      <c r="B6" s="107" t="s">
        <v>234</v>
      </c>
      <c r="C6" s="108"/>
      <c r="D6" s="108"/>
      <c r="E6" s="108"/>
      <c r="F6" s="10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">
      <c r="A7" s="2"/>
      <c r="B7" s="15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">
      <c r="A8" s="152" t="s">
        <v>235</v>
      </c>
      <c r="B8" s="153" t="s">
        <v>236</v>
      </c>
      <c r="C8" s="152" t="s">
        <v>135</v>
      </c>
      <c r="D8" s="152" t="s">
        <v>136</v>
      </c>
      <c r="E8" s="154" t="s">
        <v>237</v>
      </c>
      <c r="F8" s="155" t="s">
        <v>138</v>
      </c>
      <c r="G8" s="155" t="s">
        <v>139</v>
      </c>
      <c r="H8" s="156" t="s">
        <v>140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">
      <c r="A9" s="34">
        <v>6750052190</v>
      </c>
      <c r="B9" s="157" t="s">
        <v>238</v>
      </c>
      <c r="C9" s="158">
        <v>200</v>
      </c>
      <c r="D9" s="158">
        <v>84</v>
      </c>
      <c r="E9" s="158"/>
      <c r="F9" s="63">
        <f t="shared" ref="F9:F73" si="0">E9/C9</f>
        <v>0</v>
      </c>
      <c r="G9" s="63">
        <f t="shared" ref="G9:G73" si="1">365/D9</f>
        <v>4.3452380952380949</v>
      </c>
      <c r="H9" s="6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">
      <c r="A10" s="34">
        <v>3005771322</v>
      </c>
      <c r="B10" s="157" t="s">
        <v>239</v>
      </c>
      <c r="C10" s="158">
        <v>100</v>
      </c>
      <c r="D10" s="158">
        <v>84</v>
      </c>
      <c r="E10" s="158"/>
      <c r="F10" s="63">
        <f t="shared" si="0"/>
        <v>0</v>
      </c>
      <c r="G10" s="63">
        <f t="shared" si="1"/>
        <v>4.3452380952380949</v>
      </c>
      <c r="H10" s="6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">
      <c r="A11" s="34">
        <v>4375351190</v>
      </c>
      <c r="B11" s="157" t="s">
        <v>240</v>
      </c>
      <c r="C11" s="158">
        <v>400</v>
      </c>
      <c r="D11" s="158">
        <v>84</v>
      </c>
      <c r="E11" s="158"/>
      <c r="F11" s="63">
        <f t="shared" si="0"/>
        <v>0</v>
      </c>
      <c r="G11" s="63">
        <f t="shared" si="1"/>
        <v>4.3452380952380949</v>
      </c>
      <c r="H11" s="6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">
      <c r="A12" s="34">
        <v>3183688122</v>
      </c>
      <c r="B12" s="157" t="s">
        <v>241</v>
      </c>
      <c r="C12" s="158">
        <v>300</v>
      </c>
      <c r="D12" s="158">
        <v>84</v>
      </c>
      <c r="E12" s="158"/>
      <c r="F12" s="63">
        <f t="shared" si="0"/>
        <v>0</v>
      </c>
      <c r="G12" s="63">
        <f t="shared" si="1"/>
        <v>4.3452380952380949</v>
      </c>
      <c r="H12" s="6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">
      <c r="A13" s="34">
        <v>4469658190</v>
      </c>
      <c r="B13" s="157" t="s">
        <v>242</v>
      </c>
      <c r="C13" s="158">
        <v>100</v>
      </c>
      <c r="D13" s="158">
        <v>84</v>
      </c>
      <c r="E13" s="158"/>
      <c r="F13" s="63">
        <f t="shared" si="0"/>
        <v>0</v>
      </c>
      <c r="G13" s="63">
        <f t="shared" si="1"/>
        <v>4.3452380952380949</v>
      </c>
      <c r="H13" s="6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">
      <c r="A14" s="34">
        <v>3333752190</v>
      </c>
      <c r="B14" s="157" t="s">
        <v>243</v>
      </c>
      <c r="C14" s="158">
        <v>200</v>
      </c>
      <c r="D14" s="158">
        <v>56</v>
      </c>
      <c r="E14" s="158"/>
      <c r="F14" s="63">
        <f t="shared" si="0"/>
        <v>0</v>
      </c>
      <c r="G14" s="63">
        <f t="shared" si="1"/>
        <v>6.5178571428571432</v>
      </c>
      <c r="H14" s="6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">
      <c r="A15" s="34">
        <v>20764957322</v>
      </c>
      <c r="B15" s="157" t="s">
        <v>244</v>
      </c>
      <c r="C15" s="158">
        <v>500</v>
      </c>
      <c r="D15" s="158">
        <v>84</v>
      </c>
      <c r="E15" s="158"/>
      <c r="F15" s="63">
        <f t="shared" si="0"/>
        <v>0</v>
      </c>
      <c r="G15" s="63">
        <f t="shared" si="1"/>
        <v>4.3452380952380949</v>
      </c>
      <c r="H15" s="6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">
      <c r="A16" s="34">
        <v>3183742122</v>
      </c>
      <c r="B16" s="157" t="s">
        <v>245</v>
      </c>
      <c r="C16" s="158">
        <v>300</v>
      </c>
      <c r="D16" s="158">
        <v>84</v>
      </c>
      <c r="E16" s="158"/>
      <c r="F16" s="63">
        <f t="shared" si="0"/>
        <v>0</v>
      </c>
      <c r="G16" s="63">
        <f t="shared" si="1"/>
        <v>4.3452380952380949</v>
      </c>
      <c r="H16" s="6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">
      <c r="A17" s="34">
        <v>3032566122</v>
      </c>
      <c r="B17" s="157" t="s">
        <v>246</v>
      </c>
      <c r="C17" s="159">
        <v>100</v>
      </c>
      <c r="D17" s="159">
        <v>84</v>
      </c>
      <c r="E17" s="158"/>
      <c r="F17" s="63">
        <f t="shared" si="0"/>
        <v>0</v>
      </c>
      <c r="G17" s="63">
        <f t="shared" si="1"/>
        <v>4.3452380952380949</v>
      </c>
      <c r="H17" s="6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">
      <c r="A18" s="34">
        <v>3032574122</v>
      </c>
      <c r="B18" s="157" t="s">
        <v>247</v>
      </c>
      <c r="C18" s="62">
        <v>100</v>
      </c>
      <c r="D18" s="158">
        <v>84</v>
      </c>
      <c r="E18" s="158"/>
      <c r="F18" s="63">
        <f t="shared" si="0"/>
        <v>0</v>
      </c>
      <c r="G18" s="63">
        <f t="shared" si="1"/>
        <v>4.3452380952380949</v>
      </c>
      <c r="H18" s="6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34">
        <v>4489403190</v>
      </c>
      <c r="B19" s="157" t="s">
        <v>248</v>
      </c>
      <c r="C19" s="158">
        <v>150</v>
      </c>
      <c r="D19" s="158">
        <v>84</v>
      </c>
      <c r="E19" s="158"/>
      <c r="F19" s="63">
        <f t="shared" si="0"/>
        <v>0</v>
      </c>
      <c r="G19" s="63">
        <f t="shared" si="1"/>
        <v>4.3452380952380949</v>
      </c>
      <c r="H19" s="6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34">
        <v>20764949322</v>
      </c>
      <c r="B20" s="157" t="s">
        <v>249</v>
      </c>
      <c r="C20" s="158">
        <v>500</v>
      </c>
      <c r="D20" s="158">
        <v>84</v>
      </c>
      <c r="E20" s="158"/>
      <c r="F20" s="63">
        <f t="shared" si="0"/>
        <v>0</v>
      </c>
      <c r="G20" s="63">
        <f t="shared" si="1"/>
        <v>4.3452380952380949</v>
      </c>
      <c r="H20" s="6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34">
        <v>8047430190</v>
      </c>
      <c r="B21" s="157" t="s">
        <v>250</v>
      </c>
      <c r="C21" s="158">
        <v>140</v>
      </c>
      <c r="D21" s="158">
        <v>84</v>
      </c>
      <c r="E21" s="158"/>
      <c r="F21" s="63">
        <f t="shared" si="0"/>
        <v>0</v>
      </c>
      <c r="G21" s="63">
        <f t="shared" si="1"/>
        <v>4.3452380952380949</v>
      </c>
      <c r="H21" s="6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34">
        <v>5589061190</v>
      </c>
      <c r="B22" s="157" t="s">
        <v>251</v>
      </c>
      <c r="C22" s="158">
        <v>350</v>
      </c>
      <c r="D22" s="158">
        <v>42</v>
      </c>
      <c r="E22" s="158"/>
      <c r="F22" s="63">
        <f t="shared" si="0"/>
        <v>0</v>
      </c>
      <c r="G22" s="63">
        <f t="shared" si="1"/>
        <v>8.6904761904761898</v>
      </c>
      <c r="H22" s="6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34">
        <v>5795397190</v>
      </c>
      <c r="B23" s="157" t="s">
        <v>252</v>
      </c>
      <c r="C23" s="158">
        <v>250</v>
      </c>
      <c r="D23" s="158">
        <v>42</v>
      </c>
      <c r="E23" s="158"/>
      <c r="F23" s="63">
        <f t="shared" si="0"/>
        <v>0</v>
      </c>
      <c r="G23" s="63">
        <f t="shared" si="1"/>
        <v>8.6904761904761898</v>
      </c>
      <c r="H23" s="6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34">
        <v>3001938322</v>
      </c>
      <c r="B24" s="157" t="s">
        <v>253</v>
      </c>
      <c r="C24" s="158">
        <v>100</v>
      </c>
      <c r="D24" s="158">
        <v>42</v>
      </c>
      <c r="E24" s="158"/>
      <c r="F24" s="63">
        <f t="shared" si="0"/>
        <v>0</v>
      </c>
      <c r="G24" s="63">
        <f t="shared" si="1"/>
        <v>8.6904761904761898</v>
      </c>
      <c r="H24" s="6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34">
        <v>3001962322</v>
      </c>
      <c r="B25" s="157" t="s">
        <v>254</v>
      </c>
      <c r="C25" s="158">
        <v>100</v>
      </c>
      <c r="D25" s="158">
        <v>56</v>
      </c>
      <c r="E25" s="158"/>
      <c r="F25" s="63">
        <f t="shared" si="0"/>
        <v>0</v>
      </c>
      <c r="G25" s="63">
        <f t="shared" si="1"/>
        <v>6.5178571428571432</v>
      </c>
      <c r="H25" s="6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34">
        <v>5061482190</v>
      </c>
      <c r="B26" s="157" t="s">
        <v>255</v>
      </c>
      <c r="C26" s="158">
        <v>300</v>
      </c>
      <c r="D26" s="158">
        <v>56</v>
      </c>
      <c r="E26" s="158"/>
      <c r="F26" s="63">
        <f t="shared" si="0"/>
        <v>0</v>
      </c>
      <c r="G26" s="63">
        <f t="shared" si="1"/>
        <v>6.5178571428571432</v>
      </c>
      <c r="H26" s="6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34">
        <v>20764663322</v>
      </c>
      <c r="B27" s="157" t="s">
        <v>256</v>
      </c>
      <c r="C27" s="158">
        <v>100</v>
      </c>
      <c r="D27" s="158">
        <v>56</v>
      </c>
      <c r="E27" s="158"/>
      <c r="F27" s="63">
        <f t="shared" si="0"/>
        <v>0</v>
      </c>
      <c r="G27" s="63">
        <f t="shared" si="1"/>
        <v>6.5178571428571432</v>
      </c>
      <c r="H27" s="6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34">
        <v>4498577190</v>
      </c>
      <c r="B28" s="157" t="s">
        <v>257</v>
      </c>
      <c r="C28" s="158">
        <v>200</v>
      </c>
      <c r="D28" s="158">
        <v>28</v>
      </c>
      <c r="E28" s="158"/>
      <c r="F28" s="63">
        <f t="shared" si="0"/>
        <v>0</v>
      </c>
      <c r="G28" s="63">
        <f t="shared" si="1"/>
        <v>13.035714285714286</v>
      </c>
      <c r="H28" s="6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34">
        <v>3039773190</v>
      </c>
      <c r="B29" s="157" t="s">
        <v>258</v>
      </c>
      <c r="C29" s="158">
        <v>400</v>
      </c>
      <c r="D29" s="158">
        <v>28</v>
      </c>
      <c r="E29" s="158"/>
      <c r="F29" s="63">
        <f t="shared" si="0"/>
        <v>0</v>
      </c>
      <c r="G29" s="63">
        <f t="shared" si="1"/>
        <v>13.035714285714286</v>
      </c>
      <c r="H29" s="6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34">
        <v>7190794190</v>
      </c>
      <c r="B30" s="157" t="s">
        <v>259</v>
      </c>
      <c r="C30" s="158">
        <v>200</v>
      </c>
      <c r="D30" s="158">
        <v>56</v>
      </c>
      <c r="E30" s="158"/>
      <c r="F30" s="63">
        <f t="shared" si="0"/>
        <v>0</v>
      </c>
      <c r="G30" s="63">
        <f t="shared" si="1"/>
        <v>6.5178571428571432</v>
      </c>
      <c r="H30" s="6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34">
        <v>7190808190</v>
      </c>
      <c r="B31" s="157" t="s">
        <v>260</v>
      </c>
      <c r="C31" s="158">
        <v>100</v>
      </c>
      <c r="D31" s="158">
        <v>56</v>
      </c>
      <c r="E31" s="158"/>
      <c r="F31" s="63">
        <f t="shared" si="0"/>
        <v>0</v>
      </c>
      <c r="G31" s="63">
        <f t="shared" si="1"/>
        <v>6.5178571428571432</v>
      </c>
      <c r="H31" s="6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34">
        <v>3289923190</v>
      </c>
      <c r="B32" s="157" t="s">
        <v>261</v>
      </c>
      <c r="C32" s="158">
        <v>250</v>
      </c>
      <c r="D32" s="158">
        <v>42</v>
      </c>
      <c r="E32" s="158"/>
      <c r="F32" s="63">
        <f t="shared" si="0"/>
        <v>0</v>
      </c>
      <c r="G32" s="63">
        <f t="shared" si="1"/>
        <v>8.6904761904761898</v>
      </c>
      <c r="H32" s="6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34">
        <v>4490827190</v>
      </c>
      <c r="B33" s="157" t="s">
        <v>262</v>
      </c>
      <c r="C33" s="158">
        <v>200</v>
      </c>
      <c r="D33" s="158">
        <v>56</v>
      </c>
      <c r="E33" s="158"/>
      <c r="F33" s="63">
        <f t="shared" si="0"/>
        <v>0</v>
      </c>
      <c r="G33" s="63">
        <f t="shared" si="1"/>
        <v>6.5178571428571432</v>
      </c>
      <c r="H33" s="6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34">
        <v>4810716190</v>
      </c>
      <c r="B34" s="157" t="s">
        <v>263</v>
      </c>
      <c r="C34" s="158">
        <v>700</v>
      </c>
      <c r="D34" s="158">
        <v>56</v>
      </c>
      <c r="E34" s="158"/>
      <c r="F34" s="63">
        <f t="shared" si="0"/>
        <v>0</v>
      </c>
      <c r="G34" s="63">
        <f t="shared" si="1"/>
        <v>6.5178571428571432</v>
      </c>
      <c r="H34" s="6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34">
        <v>4628918190</v>
      </c>
      <c r="B35" s="157" t="s">
        <v>264</v>
      </c>
      <c r="C35" s="158">
        <v>100</v>
      </c>
      <c r="D35" s="158">
        <v>84</v>
      </c>
      <c r="E35" s="158"/>
      <c r="F35" s="63">
        <f t="shared" si="0"/>
        <v>0</v>
      </c>
      <c r="G35" s="63">
        <f t="shared" si="1"/>
        <v>4.3452380952380949</v>
      </c>
      <c r="H35" s="6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34">
        <v>7876033190</v>
      </c>
      <c r="B36" s="157" t="s">
        <v>265</v>
      </c>
      <c r="C36" s="158">
        <v>250</v>
      </c>
      <c r="D36" s="158">
        <v>84</v>
      </c>
      <c r="E36" s="158"/>
      <c r="F36" s="63">
        <f t="shared" si="0"/>
        <v>0</v>
      </c>
      <c r="G36" s="63">
        <f t="shared" si="1"/>
        <v>4.3452380952380949</v>
      </c>
      <c r="H36" s="6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34">
        <v>6600239190</v>
      </c>
      <c r="B37" s="157" t="s">
        <v>266</v>
      </c>
      <c r="C37" s="158">
        <v>225</v>
      </c>
      <c r="D37" s="158">
        <v>56</v>
      </c>
      <c r="E37" s="158"/>
      <c r="F37" s="63">
        <f t="shared" si="0"/>
        <v>0</v>
      </c>
      <c r="G37" s="63">
        <f t="shared" si="1"/>
        <v>6.5178571428571432</v>
      </c>
      <c r="H37" s="6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34">
        <v>4912551190</v>
      </c>
      <c r="B38" s="157" t="s">
        <v>267</v>
      </c>
      <c r="C38" s="158">
        <v>100</v>
      </c>
      <c r="D38" s="158">
        <v>84</v>
      </c>
      <c r="E38" s="158"/>
      <c r="F38" s="63">
        <f t="shared" si="0"/>
        <v>0</v>
      </c>
      <c r="G38" s="63">
        <f t="shared" si="1"/>
        <v>4.3452380952380949</v>
      </c>
      <c r="H38" s="6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34">
        <v>3183777190</v>
      </c>
      <c r="B39" s="157" t="s">
        <v>268</v>
      </c>
      <c r="C39" s="158">
        <v>100</v>
      </c>
      <c r="D39" s="158">
        <v>84</v>
      </c>
      <c r="E39" s="158"/>
      <c r="F39" s="63">
        <f t="shared" si="0"/>
        <v>0</v>
      </c>
      <c r="G39" s="63">
        <f t="shared" si="1"/>
        <v>4.3452380952380949</v>
      </c>
      <c r="H39" s="6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34">
        <v>4537939190</v>
      </c>
      <c r="B40" s="157" t="s">
        <v>269</v>
      </c>
      <c r="C40" s="158">
        <v>150</v>
      </c>
      <c r="D40" s="158">
        <v>56</v>
      </c>
      <c r="E40" s="158"/>
      <c r="F40" s="63">
        <f t="shared" si="0"/>
        <v>0</v>
      </c>
      <c r="G40" s="63">
        <f t="shared" si="1"/>
        <v>6.5178571428571432</v>
      </c>
      <c r="H40" s="6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34">
        <v>3002721122</v>
      </c>
      <c r="B41" s="157" t="s">
        <v>270</v>
      </c>
      <c r="C41" s="158">
        <v>400</v>
      </c>
      <c r="D41" s="158">
        <v>84</v>
      </c>
      <c r="E41" s="158"/>
      <c r="F41" s="63">
        <f t="shared" si="0"/>
        <v>0</v>
      </c>
      <c r="G41" s="63">
        <f t="shared" si="1"/>
        <v>4.3452380952380949</v>
      </c>
      <c r="H41" s="6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34">
        <v>4404483190</v>
      </c>
      <c r="B42" s="157" t="s">
        <v>271</v>
      </c>
      <c r="C42" s="158">
        <v>800</v>
      </c>
      <c r="D42" s="158">
        <v>56</v>
      </c>
      <c r="E42" s="158"/>
      <c r="F42" s="63">
        <f t="shared" si="0"/>
        <v>0</v>
      </c>
      <c r="G42" s="63">
        <f t="shared" si="1"/>
        <v>6.5178571428571432</v>
      </c>
      <c r="H42" s="6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34">
        <v>3005593322</v>
      </c>
      <c r="B43" s="157" t="s">
        <v>272</v>
      </c>
      <c r="C43" s="158">
        <v>100</v>
      </c>
      <c r="D43" s="158">
        <v>84</v>
      </c>
      <c r="E43" s="158"/>
      <c r="F43" s="63">
        <f t="shared" si="0"/>
        <v>0</v>
      </c>
      <c r="G43" s="63">
        <f t="shared" si="1"/>
        <v>4.3452380952380949</v>
      </c>
      <c r="H43" s="6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34">
        <v>5336163190</v>
      </c>
      <c r="B44" s="157" t="s">
        <v>273</v>
      </c>
      <c r="C44" s="158">
        <v>150</v>
      </c>
      <c r="D44" s="158">
        <v>84</v>
      </c>
      <c r="E44" s="158"/>
      <c r="F44" s="63">
        <f t="shared" si="0"/>
        <v>0</v>
      </c>
      <c r="G44" s="63">
        <f t="shared" si="1"/>
        <v>4.3452380952380949</v>
      </c>
      <c r="H44" s="6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34">
        <v>6750036190</v>
      </c>
      <c r="B45" s="157" t="s">
        <v>274</v>
      </c>
      <c r="C45" s="158">
        <v>100</v>
      </c>
      <c r="D45" s="158">
        <v>84</v>
      </c>
      <c r="E45" s="158"/>
      <c r="F45" s="63">
        <f t="shared" si="0"/>
        <v>0</v>
      </c>
      <c r="G45" s="63">
        <f t="shared" si="1"/>
        <v>4.3452380952380949</v>
      </c>
      <c r="H45" s="6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34">
        <v>5385415190</v>
      </c>
      <c r="B46" s="157" t="s">
        <v>275</v>
      </c>
      <c r="C46" s="158">
        <v>100</v>
      </c>
      <c r="D46" s="158">
        <v>28</v>
      </c>
      <c r="E46" s="158"/>
      <c r="F46" s="63">
        <f t="shared" si="0"/>
        <v>0</v>
      </c>
      <c r="G46" s="63">
        <f t="shared" si="1"/>
        <v>13.035714285714286</v>
      </c>
      <c r="H46" s="6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34">
        <v>7528566190</v>
      </c>
      <c r="B47" s="157" t="s">
        <v>276</v>
      </c>
      <c r="C47" s="158">
        <v>350</v>
      </c>
      <c r="D47" s="158">
        <v>84</v>
      </c>
      <c r="E47" s="158"/>
      <c r="F47" s="63">
        <f t="shared" si="0"/>
        <v>0</v>
      </c>
      <c r="G47" s="63">
        <f t="shared" si="1"/>
        <v>4.3452380952380949</v>
      </c>
      <c r="H47" s="6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34">
        <v>3507343190</v>
      </c>
      <c r="B48" s="157" t="s">
        <v>277</v>
      </c>
      <c r="C48" s="158">
        <v>150</v>
      </c>
      <c r="D48" s="158">
        <v>84</v>
      </c>
      <c r="E48" s="158"/>
      <c r="F48" s="63">
        <f t="shared" si="0"/>
        <v>0</v>
      </c>
      <c r="G48" s="63">
        <f t="shared" si="1"/>
        <v>4.3452380952380949</v>
      </c>
      <c r="H48" s="6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34">
        <v>5973058190</v>
      </c>
      <c r="B49" s="157" t="s">
        <v>278</v>
      </c>
      <c r="C49" s="158">
        <v>150</v>
      </c>
      <c r="D49" s="158">
        <v>84</v>
      </c>
      <c r="E49" s="158"/>
      <c r="F49" s="63">
        <f t="shared" si="0"/>
        <v>0</v>
      </c>
      <c r="G49" s="63">
        <f t="shared" si="1"/>
        <v>4.3452380952380949</v>
      </c>
      <c r="H49" s="6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34">
        <v>3507432190</v>
      </c>
      <c r="B50" s="157" t="s">
        <v>279</v>
      </c>
      <c r="C50" s="158">
        <v>150</v>
      </c>
      <c r="D50" s="158">
        <v>84</v>
      </c>
      <c r="E50" s="158"/>
      <c r="F50" s="63">
        <f t="shared" si="0"/>
        <v>0</v>
      </c>
      <c r="G50" s="63">
        <f t="shared" si="1"/>
        <v>4.3452380952380949</v>
      </c>
      <c r="H50" s="6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34">
        <v>3507190190</v>
      </c>
      <c r="B51" s="157" t="s">
        <v>280</v>
      </c>
      <c r="C51" s="158">
        <v>150</v>
      </c>
      <c r="D51" s="158">
        <v>84</v>
      </c>
      <c r="E51" s="158"/>
      <c r="F51" s="63">
        <f t="shared" si="0"/>
        <v>0</v>
      </c>
      <c r="G51" s="63">
        <f t="shared" si="1"/>
        <v>4.3452380952380949</v>
      </c>
      <c r="H51" s="6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34">
        <v>3183696122</v>
      </c>
      <c r="B52" s="157" t="s">
        <v>281</v>
      </c>
      <c r="C52" s="158">
        <v>200</v>
      </c>
      <c r="D52" s="158">
        <v>42</v>
      </c>
      <c r="E52" s="158"/>
      <c r="F52" s="63">
        <f t="shared" si="0"/>
        <v>0</v>
      </c>
      <c r="G52" s="63">
        <f t="shared" si="1"/>
        <v>8.6904761904761898</v>
      </c>
      <c r="H52" s="6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34">
        <v>6749976190</v>
      </c>
      <c r="B53" s="157" t="s">
        <v>282</v>
      </c>
      <c r="C53" s="158">
        <v>100</v>
      </c>
      <c r="D53" s="158">
        <v>84</v>
      </c>
      <c r="E53" s="158"/>
      <c r="F53" s="63">
        <f t="shared" si="0"/>
        <v>0</v>
      </c>
      <c r="G53" s="63">
        <f t="shared" si="1"/>
        <v>4.3452380952380949</v>
      </c>
      <c r="H53" s="6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34">
        <v>3183700190</v>
      </c>
      <c r="B54" s="157" t="s">
        <v>283</v>
      </c>
      <c r="C54" s="158">
        <v>100</v>
      </c>
      <c r="D54" s="158">
        <v>84</v>
      </c>
      <c r="E54" s="158"/>
      <c r="F54" s="63">
        <f t="shared" si="0"/>
        <v>0</v>
      </c>
      <c r="G54" s="63">
        <f t="shared" si="1"/>
        <v>4.3452380952380949</v>
      </c>
      <c r="H54" s="6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34">
        <v>6749992190</v>
      </c>
      <c r="B55" s="157" t="s">
        <v>284</v>
      </c>
      <c r="C55" s="158">
        <v>100</v>
      </c>
      <c r="D55" s="158">
        <v>84</v>
      </c>
      <c r="E55" s="158"/>
      <c r="F55" s="63">
        <f t="shared" si="0"/>
        <v>0</v>
      </c>
      <c r="G55" s="63">
        <f t="shared" si="1"/>
        <v>4.3452380952380949</v>
      </c>
      <c r="H55" s="6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34">
        <v>3004732122</v>
      </c>
      <c r="B56" s="157" t="s">
        <v>285</v>
      </c>
      <c r="C56" s="158">
        <v>300</v>
      </c>
      <c r="D56" s="158">
        <v>84</v>
      </c>
      <c r="E56" s="158"/>
      <c r="F56" s="63">
        <f t="shared" si="0"/>
        <v>0</v>
      </c>
      <c r="G56" s="63">
        <f t="shared" si="1"/>
        <v>4.3452380952380949</v>
      </c>
      <c r="H56" s="6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34">
        <v>7005717190</v>
      </c>
      <c r="B57" s="157" t="s">
        <v>286</v>
      </c>
      <c r="C57" s="158">
        <v>200</v>
      </c>
      <c r="D57" s="158">
        <v>84</v>
      </c>
      <c r="E57" s="158"/>
      <c r="F57" s="63">
        <f t="shared" si="0"/>
        <v>0</v>
      </c>
      <c r="G57" s="63">
        <f t="shared" si="1"/>
        <v>4.3452380952380949</v>
      </c>
      <c r="H57" s="6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34">
        <v>3029590322</v>
      </c>
      <c r="B58" s="157" t="s">
        <v>287</v>
      </c>
      <c r="C58" s="158">
        <v>200</v>
      </c>
      <c r="D58" s="158">
        <v>28</v>
      </c>
      <c r="E58" s="158"/>
      <c r="F58" s="63">
        <f t="shared" si="0"/>
        <v>0</v>
      </c>
      <c r="G58" s="63">
        <f t="shared" si="1"/>
        <v>13.035714285714286</v>
      </c>
      <c r="H58" s="6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34">
        <v>5852625190</v>
      </c>
      <c r="B59" s="157" t="s">
        <v>288</v>
      </c>
      <c r="C59" s="158">
        <v>150</v>
      </c>
      <c r="D59" s="158">
        <v>42</v>
      </c>
      <c r="E59" s="158"/>
      <c r="F59" s="63">
        <f t="shared" si="0"/>
        <v>0</v>
      </c>
      <c r="G59" s="63">
        <f t="shared" si="1"/>
        <v>8.6904761904761898</v>
      </c>
      <c r="H59" s="6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34">
        <v>6481647190</v>
      </c>
      <c r="B60" s="157" t="s">
        <v>289</v>
      </c>
      <c r="C60" s="158">
        <v>250</v>
      </c>
      <c r="D60" s="158">
        <v>84</v>
      </c>
      <c r="E60" s="158"/>
      <c r="F60" s="63">
        <f t="shared" si="0"/>
        <v>0</v>
      </c>
      <c r="G60" s="63">
        <f t="shared" si="1"/>
        <v>4.3452380952380949</v>
      </c>
      <c r="H60" s="6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34" t="s">
        <v>290</v>
      </c>
      <c r="B61" s="2" t="s">
        <v>291</v>
      </c>
      <c r="C61" s="158">
        <v>150</v>
      </c>
      <c r="D61" s="158">
        <v>56</v>
      </c>
      <c r="E61" s="158"/>
      <c r="F61" s="63">
        <f t="shared" si="0"/>
        <v>0</v>
      </c>
      <c r="G61" s="63">
        <f t="shared" si="1"/>
        <v>6.5178571428571432</v>
      </c>
      <c r="H61" s="6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34">
        <v>3183793122</v>
      </c>
      <c r="B62" s="157" t="s">
        <v>292</v>
      </c>
      <c r="C62" s="158">
        <v>250</v>
      </c>
      <c r="D62" s="158">
        <v>84</v>
      </c>
      <c r="E62" s="158"/>
      <c r="F62" s="63">
        <f t="shared" si="0"/>
        <v>0</v>
      </c>
      <c r="G62" s="63">
        <f t="shared" si="1"/>
        <v>4.3452380952380949</v>
      </c>
      <c r="H62" s="6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34">
        <v>20764655322</v>
      </c>
      <c r="B63" s="157" t="s">
        <v>293</v>
      </c>
      <c r="C63" s="158">
        <v>100</v>
      </c>
      <c r="D63" s="158">
        <v>56</v>
      </c>
      <c r="E63" s="158"/>
      <c r="F63" s="63">
        <f t="shared" si="0"/>
        <v>0</v>
      </c>
      <c r="G63" s="63">
        <f t="shared" si="1"/>
        <v>6.5178571428571432</v>
      </c>
      <c r="H63" s="6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34">
        <v>20764574322</v>
      </c>
      <c r="B64" s="157" t="s">
        <v>294</v>
      </c>
      <c r="C64" s="158">
        <v>100</v>
      </c>
      <c r="D64" s="158">
        <v>56</v>
      </c>
      <c r="E64" s="158"/>
      <c r="F64" s="63">
        <f t="shared" si="0"/>
        <v>0</v>
      </c>
      <c r="G64" s="63">
        <f t="shared" si="1"/>
        <v>6.5178571428571432</v>
      </c>
      <c r="H64" s="6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34">
        <v>7227841190</v>
      </c>
      <c r="B65" s="157" t="s">
        <v>295</v>
      </c>
      <c r="C65" s="158">
        <v>100</v>
      </c>
      <c r="D65" s="158">
        <v>182</v>
      </c>
      <c r="E65" s="158"/>
      <c r="F65" s="63">
        <f t="shared" si="0"/>
        <v>0</v>
      </c>
      <c r="G65" s="63">
        <f t="shared" si="1"/>
        <v>2.0054945054945055</v>
      </c>
      <c r="H65" s="6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34">
        <v>4491009190</v>
      </c>
      <c r="B66" s="157" t="s">
        <v>296</v>
      </c>
      <c r="C66" s="158">
        <v>200</v>
      </c>
      <c r="D66" s="158">
        <v>56</v>
      </c>
      <c r="E66" s="158"/>
      <c r="F66" s="63">
        <f t="shared" si="0"/>
        <v>0</v>
      </c>
      <c r="G66" s="63">
        <f t="shared" si="1"/>
        <v>6.5178571428571432</v>
      </c>
      <c r="H66" s="6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34">
        <v>3183734190</v>
      </c>
      <c r="B67" s="157" t="s">
        <v>297</v>
      </c>
      <c r="C67" s="158">
        <v>300</v>
      </c>
      <c r="D67" s="158">
        <v>28</v>
      </c>
      <c r="E67" s="158"/>
      <c r="F67" s="63">
        <f t="shared" si="0"/>
        <v>0</v>
      </c>
      <c r="G67" s="63">
        <f t="shared" si="1"/>
        <v>13.035714285714286</v>
      </c>
      <c r="H67" s="6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34">
        <v>3333825190</v>
      </c>
      <c r="B68" s="157" t="s">
        <v>298</v>
      </c>
      <c r="C68" s="158">
        <v>150</v>
      </c>
      <c r="D68" s="158">
        <v>84</v>
      </c>
      <c r="E68" s="158"/>
      <c r="F68" s="63">
        <f t="shared" si="0"/>
        <v>0</v>
      </c>
      <c r="G68" s="63">
        <f t="shared" si="1"/>
        <v>4.3452380952380949</v>
      </c>
      <c r="H68" s="6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34">
        <v>20767107322</v>
      </c>
      <c r="B69" s="157" t="s">
        <v>299</v>
      </c>
      <c r="C69" s="158">
        <v>250</v>
      </c>
      <c r="D69" s="158">
        <v>56</v>
      </c>
      <c r="E69" s="158"/>
      <c r="F69" s="63">
        <f t="shared" si="0"/>
        <v>0</v>
      </c>
      <c r="G69" s="63">
        <f t="shared" si="1"/>
        <v>6.5178571428571432</v>
      </c>
      <c r="H69" s="6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34">
        <v>3015050122</v>
      </c>
      <c r="B70" s="157" t="s">
        <v>300</v>
      </c>
      <c r="C70" s="158">
        <v>100</v>
      </c>
      <c r="D70" s="158">
        <v>56</v>
      </c>
      <c r="E70" s="158"/>
      <c r="F70" s="63">
        <f t="shared" si="0"/>
        <v>0</v>
      </c>
      <c r="G70" s="63">
        <f t="shared" si="1"/>
        <v>6.5178571428571432</v>
      </c>
      <c r="H70" s="6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34">
        <v>3183807190</v>
      </c>
      <c r="B71" s="157" t="s">
        <v>301</v>
      </c>
      <c r="C71" s="158">
        <v>400</v>
      </c>
      <c r="D71" s="158">
        <v>56</v>
      </c>
      <c r="E71" s="158"/>
      <c r="F71" s="63">
        <f t="shared" si="0"/>
        <v>0</v>
      </c>
      <c r="G71" s="63">
        <f t="shared" si="1"/>
        <v>6.5178571428571432</v>
      </c>
      <c r="H71" s="6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34">
        <v>4536355190</v>
      </c>
      <c r="B72" s="157" t="s">
        <v>302</v>
      </c>
      <c r="C72" s="158">
        <v>100</v>
      </c>
      <c r="D72" s="158">
        <v>56</v>
      </c>
      <c r="E72" s="158"/>
      <c r="F72" s="63">
        <f t="shared" si="0"/>
        <v>0</v>
      </c>
      <c r="G72" s="63">
        <f t="shared" si="1"/>
        <v>6.5178571428571432</v>
      </c>
      <c r="H72" s="6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66">
        <v>4460715190</v>
      </c>
      <c r="B73" s="160" t="s">
        <v>303</v>
      </c>
      <c r="C73" s="159">
        <v>500</v>
      </c>
      <c r="D73" s="159">
        <v>56</v>
      </c>
      <c r="E73" s="158"/>
      <c r="F73" s="67">
        <f t="shared" si="0"/>
        <v>0</v>
      </c>
      <c r="G73" s="67">
        <f t="shared" si="1"/>
        <v>6.5178571428571432</v>
      </c>
      <c r="H73" s="6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161"/>
      <c r="B74" s="161"/>
      <c r="C74" s="162"/>
      <c r="D74" s="163" t="s">
        <v>208</v>
      </c>
      <c r="E74" s="128">
        <f>SUM(E9:E73)</f>
        <v>0</v>
      </c>
      <c r="F74" s="128"/>
      <c r="G74" s="128"/>
      <c r="H74" s="12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152"/>
      <c r="B75" s="152" t="s">
        <v>304</v>
      </c>
      <c r="C75" s="152"/>
      <c r="D75" s="152" t="s">
        <v>136</v>
      </c>
      <c r="E75" s="154"/>
      <c r="F75" s="155" t="s">
        <v>138</v>
      </c>
      <c r="G75" s="155" t="s">
        <v>139</v>
      </c>
      <c r="H75" s="156" t="s">
        <v>140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34">
        <v>20751995190</v>
      </c>
      <c r="B76" s="61" t="s">
        <v>214</v>
      </c>
      <c r="C76" s="34">
        <v>2</v>
      </c>
      <c r="D76" s="34">
        <v>56</v>
      </c>
      <c r="E76" s="34"/>
      <c r="F76" s="34"/>
      <c r="G76" s="67">
        <f t="shared" ref="G76:G94" si="2">(365/D76)/C76</f>
        <v>3.2589285714285716</v>
      </c>
      <c r="H76" s="3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34">
        <v>4975901190</v>
      </c>
      <c r="B77" s="61" t="s">
        <v>305</v>
      </c>
      <c r="C77" s="34">
        <v>1</v>
      </c>
      <c r="D77" s="34"/>
      <c r="E77" s="34"/>
      <c r="F77" s="34"/>
      <c r="G77" s="67" t="e">
        <f t="shared" si="2"/>
        <v>#DIV/0!</v>
      </c>
      <c r="H77" s="3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34">
        <v>3555941190</v>
      </c>
      <c r="B78" s="61" t="s">
        <v>306</v>
      </c>
      <c r="C78" s="34">
        <v>3</v>
      </c>
      <c r="D78" s="34">
        <v>14</v>
      </c>
      <c r="E78" s="34"/>
      <c r="F78" s="34"/>
      <c r="G78" s="67">
        <f t="shared" si="2"/>
        <v>8.6904761904761916</v>
      </c>
      <c r="H78" s="3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34">
        <v>10759350190</v>
      </c>
      <c r="B79" s="61" t="s">
        <v>307</v>
      </c>
      <c r="C79" s="34">
        <v>12</v>
      </c>
      <c r="D79" s="34">
        <v>28</v>
      </c>
      <c r="E79" s="34"/>
      <c r="F79" s="34"/>
      <c r="G79" s="67">
        <f t="shared" si="2"/>
        <v>1.0863095238095239</v>
      </c>
      <c r="H79" s="3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34">
        <v>11447394216</v>
      </c>
      <c r="B80" s="61" t="s">
        <v>308</v>
      </c>
      <c r="C80" s="34">
        <v>3</v>
      </c>
      <c r="D80" s="34">
        <v>28</v>
      </c>
      <c r="E80" s="34"/>
      <c r="F80" s="34"/>
      <c r="G80" s="67">
        <f t="shared" si="2"/>
        <v>4.3452380952380958</v>
      </c>
      <c r="H80" s="3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34">
        <v>6533850190</v>
      </c>
      <c r="B81" s="61" t="s">
        <v>309</v>
      </c>
      <c r="C81" s="34">
        <v>3</v>
      </c>
      <c r="D81" s="34">
        <v>14</v>
      </c>
      <c r="E81" s="34"/>
      <c r="F81" s="34"/>
      <c r="G81" s="67">
        <f t="shared" si="2"/>
        <v>8.6904761904761916</v>
      </c>
      <c r="H81" s="3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34">
        <v>12172623122</v>
      </c>
      <c r="B82" s="61" t="s">
        <v>310</v>
      </c>
      <c r="C82" s="34">
        <v>3</v>
      </c>
      <c r="D82" s="34">
        <v>28</v>
      </c>
      <c r="E82" s="34"/>
      <c r="F82" s="34"/>
      <c r="G82" s="67">
        <f t="shared" si="2"/>
        <v>4.3452380952380958</v>
      </c>
      <c r="H82" s="3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34">
        <v>11355279216</v>
      </c>
      <c r="B83" s="61" t="s">
        <v>311</v>
      </c>
      <c r="C83" s="34">
        <v>5</v>
      </c>
      <c r="D83" s="34">
        <v>28</v>
      </c>
      <c r="E83" s="34"/>
      <c r="F83" s="34"/>
      <c r="G83" s="67">
        <f t="shared" si="2"/>
        <v>2.6071428571428572</v>
      </c>
      <c r="H83" s="3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34">
        <v>8753776190</v>
      </c>
      <c r="B84" s="61" t="s">
        <v>312</v>
      </c>
      <c r="C84" s="34">
        <v>3</v>
      </c>
      <c r="D84" s="34">
        <v>28</v>
      </c>
      <c r="E84" s="34"/>
      <c r="F84" s="34"/>
      <c r="G84" s="67">
        <f t="shared" si="2"/>
        <v>4.3452380952380958</v>
      </c>
      <c r="H84" s="3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34">
        <v>8047545190</v>
      </c>
      <c r="B85" s="61" t="s">
        <v>313</v>
      </c>
      <c r="C85" s="34">
        <v>2</v>
      </c>
      <c r="D85" s="34">
        <v>84</v>
      </c>
      <c r="E85" s="34"/>
      <c r="F85" s="34"/>
      <c r="G85" s="67">
        <f t="shared" si="2"/>
        <v>2.1726190476190474</v>
      </c>
      <c r="H85" s="3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34">
        <v>4528417190</v>
      </c>
      <c r="B86" s="61" t="s">
        <v>314</v>
      </c>
      <c r="C86" s="34">
        <v>3</v>
      </c>
      <c r="D86" s="34">
        <v>84</v>
      </c>
      <c r="E86" s="34"/>
      <c r="F86" s="34"/>
      <c r="G86" s="67">
        <f t="shared" si="2"/>
        <v>1.4484126984126984</v>
      </c>
      <c r="H86" s="3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34">
        <v>3121305122</v>
      </c>
      <c r="B87" s="61" t="s">
        <v>315</v>
      </c>
      <c r="C87" s="34">
        <v>5</v>
      </c>
      <c r="D87" s="34">
        <v>28</v>
      </c>
      <c r="E87" s="34"/>
      <c r="F87" s="34"/>
      <c r="G87" s="67">
        <f t="shared" si="2"/>
        <v>2.6071428571428572</v>
      </c>
      <c r="H87" s="3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34">
        <v>5050901190</v>
      </c>
      <c r="B88" s="61" t="s">
        <v>316</v>
      </c>
      <c r="C88" s="34">
        <v>1</v>
      </c>
      <c r="D88" s="34">
        <v>84</v>
      </c>
      <c r="E88" s="34"/>
      <c r="F88" s="34"/>
      <c r="G88" s="67">
        <f t="shared" si="2"/>
        <v>4.3452380952380949</v>
      </c>
      <c r="H88" s="3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34">
        <v>12146401216</v>
      </c>
      <c r="B89" s="61" t="s">
        <v>317</v>
      </c>
      <c r="C89" s="34">
        <v>1</v>
      </c>
      <c r="D89" s="34">
        <v>360</v>
      </c>
      <c r="E89" s="34"/>
      <c r="F89" s="34"/>
      <c r="G89" s="67">
        <f t="shared" si="2"/>
        <v>1.0138888888888888</v>
      </c>
      <c r="H89" s="3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34">
        <v>5385504190</v>
      </c>
      <c r="B90" s="61" t="s">
        <v>318</v>
      </c>
      <c r="C90" s="34">
        <v>2</v>
      </c>
      <c r="D90" s="34">
        <v>28</v>
      </c>
      <c r="E90" s="34"/>
      <c r="F90" s="34"/>
      <c r="G90" s="67">
        <f t="shared" si="2"/>
        <v>6.5178571428571432</v>
      </c>
      <c r="H90" s="3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34">
        <v>11098993122</v>
      </c>
      <c r="B91" s="61" t="s">
        <v>319</v>
      </c>
      <c r="C91" s="34">
        <v>3</v>
      </c>
      <c r="D91" s="34">
        <v>28</v>
      </c>
      <c r="E91" s="34"/>
      <c r="F91" s="34"/>
      <c r="G91" s="67">
        <f t="shared" si="2"/>
        <v>4.3452380952380958</v>
      </c>
      <c r="H91" s="3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34">
        <v>3304671190</v>
      </c>
      <c r="B92" s="61" t="s">
        <v>320</v>
      </c>
      <c r="C92" s="34">
        <v>1</v>
      </c>
      <c r="D92" s="34">
        <v>60</v>
      </c>
      <c r="E92" s="34"/>
      <c r="F92" s="34"/>
      <c r="G92" s="67">
        <f t="shared" si="2"/>
        <v>6.083333333333333</v>
      </c>
      <c r="H92" s="3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34">
        <v>5852641190</v>
      </c>
      <c r="B93" s="61" t="s">
        <v>321</v>
      </c>
      <c r="C93" s="34">
        <v>1</v>
      </c>
      <c r="D93" s="34">
        <v>14</v>
      </c>
      <c r="E93" s="34"/>
      <c r="F93" s="34"/>
      <c r="G93" s="67">
        <f t="shared" si="2"/>
        <v>26.071428571428573</v>
      </c>
      <c r="H93" s="3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34">
        <v>12172828322</v>
      </c>
      <c r="B94" s="61" t="s">
        <v>322</v>
      </c>
      <c r="C94" s="34">
        <v>1</v>
      </c>
      <c r="D94" s="34">
        <v>30</v>
      </c>
      <c r="E94" s="34"/>
      <c r="F94" s="34"/>
      <c r="G94" s="67">
        <f t="shared" si="2"/>
        <v>12.166666666666666</v>
      </c>
      <c r="H94" s="3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152"/>
      <c r="B95" s="152" t="s">
        <v>323</v>
      </c>
      <c r="C95" s="152" t="s">
        <v>324</v>
      </c>
      <c r="D95" s="152" t="s">
        <v>136</v>
      </c>
      <c r="E95" s="154"/>
      <c r="F95" s="155" t="s">
        <v>138</v>
      </c>
      <c r="G95" s="155" t="s">
        <v>139</v>
      </c>
      <c r="H95" s="156" t="s">
        <v>140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34">
        <v>20752401190</v>
      </c>
      <c r="B96" s="61" t="s">
        <v>325</v>
      </c>
      <c r="C96" s="34">
        <v>5</v>
      </c>
      <c r="D96" s="34">
        <v>56</v>
      </c>
      <c r="E96" s="34"/>
      <c r="F96" s="34"/>
      <c r="G96" s="67">
        <f t="shared" ref="G96:G112" si="3">(365/D96)/C96</f>
        <v>1.3035714285714286</v>
      </c>
      <c r="H96" s="3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34">
        <v>20753009190</v>
      </c>
      <c r="B97" s="61" t="s">
        <v>326</v>
      </c>
      <c r="C97" s="34">
        <v>5</v>
      </c>
      <c r="D97" s="34">
        <v>56</v>
      </c>
      <c r="E97" s="34"/>
      <c r="F97" s="34"/>
      <c r="G97" s="67">
        <f t="shared" si="3"/>
        <v>1.3035714285714286</v>
      </c>
      <c r="H97" s="3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34">
        <v>8362785190</v>
      </c>
      <c r="B98" s="61" t="s">
        <v>327</v>
      </c>
      <c r="C98" s="34">
        <v>2</v>
      </c>
      <c r="D98" s="34">
        <v>84</v>
      </c>
      <c r="E98" s="34"/>
      <c r="F98" s="34"/>
      <c r="G98" s="67">
        <f t="shared" si="3"/>
        <v>2.1726190476190474</v>
      </c>
      <c r="H98" s="3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34">
        <v>8278202190</v>
      </c>
      <c r="B99" s="61" t="s">
        <v>328</v>
      </c>
      <c r="C99" s="34">
        <v>3</v>
      </c>
      <c r="D99" s="34">
        <v>28</v>
      </c>
      <c r="E99" s="34"/>
      <c r="F99" s="34"/>
      <c r="G99" s="67">
        <f t="shared" si="3"/>
        <v>4.3452380952380958</v>
      </c>
      <c r="H99" s="3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34">
        <v>6729371190</v>
      </c>
      <c r="B100" s="61" t="s">
        <v>329</v>
      </c>
      <c r="C100" s="34">
        <v>3</v>
      </c>
      <c r="D100" s="34">
        <v>30</v>
      </c>
      <c r="E100" s="34"/>
      <c r="F100" s="34"/>
      <c r="G100" s="67">
        <f t="shared" si="3"/>
        <v>4.0555555555555554</v>
      </c>
      <c r="H100" s="3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34">
        <v>5050936190</v>
      </c>
      <c r="B101" s="61" t="s">
        <v>330</v>
      </c>
      <c r="C101" s="34">
        <v>2</v>
      </c>
      <c r="D101" s="34">
        <v>84</v>
      </c>
      <c r="E101" s="34"/>
      <c r="F101" s="34"/>
      <c r="G101" s="67">
        <f t="shared" si="3"/>
        <v>2.1726190476190474</v>
      </c>
      <c r="H101" s="3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34">
        <v>5142423190</v>
      </c>
      <c r="B102" s="61" t="s">
        <v>331</v>
      </c>
      <c r="C102" s="34">
        <v>2</v>
      </c>
      <c r="D102" s="34">
        <v>28</v>
      </c>
      <c r="E102" s="34"/>
      <c r="F102" s="34"/>
      <c r="G102" s="67">
        <f t="shared" si="3"/>
        <v>6.5178571428571432</v>
      </c>
      <c r="H102" s="3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34">
        <v>5947626190</v>
      </c>
      <c r="B103" s="61" t="s">
        <v>332</v>
      </c>
      <c r="C103" s="34">
        <v>4</v>
      </c>
      <c r="D103" s="34">
        <v>14</v>
      </c>
      <c r="E103" s="34"/>
      <c r="F103" s="34"/>
      <c r="G103" s="67">
        <f t="shared" si="3"/>
        <v>6.5178571428571432</v>
      </c>
      <c r="H103" s="3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34">
        <v>5947774190</v>
      </c>
      <c r="B104" s="61" t="s">
        <v>333</v>
      </c>
      <c r="C104" s="34">
        <v>4</v>
      </c>
      <c r="D104" s="34">
        <v>14</v>
      </c>
      <c r="E104" s="34"/>
      <c r="F104" s="34"/>
      <c r="G104" s="67">
        <f t="shared" si="3"/>
        <v>6.5178571428571432</v>
      </c>
      <c r="H104" s="3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34">
        <v>5479207190</v>
      </c>
      <c r="B105" s="61" t="s">
        <v>334</v>
      </c>
      <c r="C105" s="34">
        <v>4</v>
      </c>
      <c r="D105" s="34">
        <v>28</v>
      </c>
      <c r="E105" s="34"/>
      <c r="F105" s="34"/>
      <c r="G105" s="67">
        <f t="shared" si="3"/>
        <v>3.2589285714285716</v>
      </c>
      <c r="H105" s="3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34">
        <v>5912504190</v>
      </c>
      <c r="B106" s="61" t="s">
        <v>335</v>
      </c>
      <c r="C106" s="34">
        <v>4</v>
      </c>
      <c r="D106" s="34">
        <v>28</v>
      </c>
      <c r="E106" s="34"/>
      <c r="F106" s="34"/>
      <c r="G106" s="67">
        <f t="shared" si="3"/>
        <v>3.2589285714285716</v>
      </c>
      <c r="H106" s="3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34">
        <v>5852650190</v>
      </c>
      <c r="B107" s="61" t="s">
        <v>336</v>
      </c>
      <c r="C107" s="34">
        <v>2</v>
      </c>
      <c r="D107" s="34">
        <v>14</v>
      </c>
      <c r="E107" s="34"/>
      <c r="F107" s="34"/>
      <c r="G107" s="67">
        <f t="shared" si="3"/>
        <v>13.035714285714286</v>
      </c>
      <c r="H107" s="3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34">
        <v>11098985122</v>
      </c>
      <c r="B108" s="61" t="s">
        <v>337</v>
      </c>
      <c r="C108" s="34">
        <v>3</v>
      </c>
      <c r="D108" s="34">
        <v>28</v>
      </c>
      <c r="E108" s="34"/>
      <c r="F108" s="34"/>
      <c r="G108" s="67">
        <f t="shared" si="3"/>
        <v>4.3452380952380958</v>
      </c>
      <c r="H108" s="3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34">
        <v>3121313122</v>
      </c>
      <c r="B109" s="61" t="s">
        <v>338</v>
      </c>
      <c r="C109" s="34">
        <v>4</v>
      </c>
      <c r="D109" s="34">
        <v>28</v>
      </c>
      <c r="E109" s="34"/>
      <c r="F109" s="34"/>
      <c r="G109" s="67">
        <f t="shared" si="3"/>
        <v>3.2589285714285716</v>
      </c>
      <c r="H109" s="3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34">
        <v>11174118122</v>
      </c>
      <c r="B110" s="61" t="s">
        <v>339</v>
      </c>
      <c r="C110" s="34">
        <v>3</v>
      </c>
      <c r="D110" s="34">
        <v>28</v>
      </c>
      <c r="E110" s="34"/>
      <c r="F110" s="34"/>
      <c r="G110" s="67">
        <f t="shared" si="3"/>
        <v>4.3452380952380958</v>
      </c>
      <c r="H110" s="3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34">
        <v>3121291122</v>
      </c>
      <c r="B111" s="61" t="s">
        <v>340</v>
      </c>
      <c r="C111" s="34">
        <v>4</v>
      </c>
      <c r="D111" s="34">
        <v>28</v>
      </c>
      <c r="E111" s="34"/>
      <c r="F111" s="34"/>
      <c r="G111" s="67">
        <f t="shared" si="3"/>
        <v>3.2589285714285716</v>
      </c>
      <c r="H111" s="3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34">
        <v>3005496122</v>
      </c>
      <c r="B112" s="61" t="s">
        <v>341</v>
      </c>
      <c r="C112" s="34">
        <v>4</v>
      </c>
      <c r="D112" s="34">
        <v>30</v>
      </c>
      <c r="E112" s="34"/>
      <c r="F112" s="34"/>
      <c r="G112" s="67">
        <f t="shared" si="3"/>
        <v>3.0416666666666665</v>
      </c>
      <c r="H112" s="3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152"/>
      <c r="B113" s="152" t="s">
        <v>224</v>
      </c>
      <c r="C113" s="152" t="s">
        <v>324</v>
      </c>
      <c r="D113" s="152" t="s">
        <v>136</v>
      </c>
      <c r="E113" s="154"/>
      <c r="F113" s="155" t="s">
        <v>138</v>
      </c>
      <c r="G113" s="164" t="s">
        <v>139</v>
      </c>
      <c r="H113" s="156" t="s">
        <v>140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34">
        <v>4880285190</v>
      </c>
      <c r="B114" s="38" t="s">
        <v>342</v>
      </c>
      <c r="C114" s="34">
        <v>2</v>
      </c>
      <c r="D114" s="34">
        <v>70</v>
      </c>
      <c r="E114" s="34"/>
      <c r="F114" s="34"/>
      <c r="G114" s="63">
        <f t="shared" ref="G114:G128" si="4">(365/D114)/C114</f>
        <v>2.6071428571428572</v>
      </c>
      <c r="H114" s="3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34">
        <v>4880307190</v>
      </c>
      <c r="B115" s="38" t="s">
        <v>343</v>
      </c>
      <c r="C115" s="34">
        <v>2</v>
      </c>
      <c r="D115" s="34">
        <v>84</v>
      </c>
      <c r="E115" s="34"/>
      <c r="F115" s="34"/>
      <c r="G115" s="63">
        <f t="shared" si="4"/>
        <v>2.1726190476190474</v>
      </c>
      <c r="H115" s="3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34">
        <v>4444191001</v>
      </c>
      <c r="B116" s="61" t="s">
        <v>344</v>
      </c>
      <c r="C116" s="34">
        <v>1</v>
      </c>
      <c r="D116" s="34">
        <v>365</v>
      </c>
      <c r="E116" s="34"/>
      <c r="F116" s="34"/>
      <c r="G116" s="63">
        <f t="shared" si="4"/>
        <v>1</v>
      </c>
      <c r="H116" s="3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34">
        <v>4555040001</v>
      </c>
      <c r="B117" s="61" t="s">
        <v>345</v>
      </c>
      <c r="C117" s="34">
        <v>3</v>
      </c>
      <c r="D117" s="34">
        <v>84</v>
      </c>
      <c r="E117" s="34"/>
      <c r="F117" s="34"/>
      <c r="G117" s="63">
        <f t="shared" si="4"/>
        <v>1.4484126984126984</v>
      </c>
      <c r="H117" s="3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34">
        <v>5422485190</v>
      </c>
      <c r="B118" s="38" t="s">
        <v>346</v>
      </c>
      <c r="C118" s="34">
        <v>1</v>
      </c>
      <c r="D118" s="34">
        <v>28</v>
      </c>
      <c r="E118" s="34"/>
      <c r="F118" s="34"/>
      <c r="G118" s="63">
        <f t="shared" si="4"/>
        <v>13.035714285714286</v>
      </c>
      <c r="H118" s="3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34">
        <v>4554124001</v>
      </c>
      <c r="B119" s="38" t="s">
        <v>347</v>
      </c>
      <c r="C119" s="34">
        <v>1</v>
      </c>
      <c r="D119" s="34">
        <v>30</v>
      </c>
      <c r="E119" s="34"/>
      <c r="F119" s="34"/>
      <c r="G119" s="63">
        <f t="shared" si="4"/>
        <v>12.166666666666666</v>
      </c>
      <c r="H119" s="3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34">
        <v>4516273001</v>
      </c>
      <c r="B120" s="38" t="s">
        <v>348</v>
      </c>
      <c r="C120" s="34">
        <v>1</v>
      </c>
      <c r="D120" s="34">
        <v>30</v>
      </c>
      <c r="E120" s="34"/>
      <c r="F120" s="34"/>
      <c r="G120" s="63">
        <f t="shared" si="4"/>
        <v>12.166666666666666</v>
      </c>
      <c r="H120" s="3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34">
        <v>4516265001</v>
      </c>
      <c r="B121" s="38" t="s">
        <v>349</v>
      </c>
      <c r="C121" s="34">
        <v>1</v>
      </c>
      <c r="D121" s="34">
        <v>30</v>
      </c>
      <c r="E121" s="34"/>
      <c r="F121" s="34"/>
      <c r="G121" s="63">
        <f t="shared" si="4"/>
        <v>12.166666666666666</v>
      </c>
      <c r="H121" s="3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34">
        <v>4528182190</v>
      </c>
      <c r="B122" s="38" t="s">
        <v>350</v>
      </c>
      <c r="C122" s="34">
        <v>1</v>
      </c>
      <c r="D122" s="34">
        <v>28</v>
      </c>
      <c r="E122" s="34"/>
      <c r="F122" s="34"/>
      <c r="G122" s="63">
        <f t="shared" si="4"/>
        <v>13.035714285714286</v>
      </c>
      <c r="H122" s="3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34">
        <v>4813707001</v>
      </c>
      <c r="B123" s="38" t="s">
        <v>351</v>
      </c>
      <c r="C123" s="34">
        <v>1</v>
      </c>
      <c r="D123" s="34">
        <v>45</v>
      </c>
      <c r="E123" s="34"/>
      <c r="F123" s="34"/>
      <c r="G123" s="63">
        <f t="shared" si="4"/>
        <v>8.1111111111111107</v>
      </c>
      <c r="H123" s="3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34">
        <v>4516303001</v>
      </c>
      <c r="B124" s="38" t="s">
        <v>352</v>
      </c>
      <c r="C124" s="34">
        <v>1</v>
      </c>
      <c r="D124" s="34">
        <v>360</v>
      </c>
      <c r="E124" s="34"/>
      <c r="F124" s="34"/>
      <c r="G124" s="63">
        <f t="shared" si="4"/>
        <v>1.0138888888888888</v>
      </c>
      <c r="H124" s="3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34">
        <v>4708725190</v>
      </c>
      <c r="B125" s="38" t="s">
        <v>353</v>
      </c>
      <c r="C125" s="34">
        <v>12</v>
      </c>
      <c r="D125" s="34">
        <v>28</v>
      </c>
      <c r="E125" s="34"/>
      <c r="F125" s="34"/>
      <c r="G125" s="63">
        <f t="shared" si="4"/>
        <v>1.0863095238095239</v>
      </c>
      <c r="H125" s="3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34">
        <v>4489357190</v>
      </c>
      <c r="B126" s="38" t="s">
        <v>354</v>
      </c>
      <c r="C126" s="34">
        <v>1</v>
      </c>
      <c r="D126" s="34">
        <v>84</v>
      </c>
      <c r="E126" s="34"/>
      <c r="F126" s="34"/>
      <c r="G126" s="63">
        <f t="shared" si="4"/>
        <v>4.3452380952380949</v>
      </c>
      <c r="H126" s="3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34">
        <v>4489241190</v>
      </c>
      <c r="B127" s="38" t="s">
        <v>355</v>
      </c>
      <c r="C127" s="34">
        <v>1</v>
      </c>
      <c r="D127" s="34">
        <v>84</v>
      </c>
      <c r="E127" s="34"/>
      <c r="F127" s="34"/>
      <c r="G127" s="63">
        <f t="shared" si="4"/>
        <v>4.3452380952380949</v>
      </c>
      <c r="H127" s="3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34">
        <v>4489225190</v>
      </c>
      <c r="B128" s="38" t="s">
        <v>356</v>
      </c>
      <c r="C128" s="34">
        <v>1</v>
      </c>
      <c r="D128" s="34">
        <v>84</v>
      </c>
      <c r="E128" s="34"/>
      <c r="F128" s="34"/>
      <c r="G128" s="63">
        <f t="shared" si="4"/>
        <v>4.3452380952380949</v>
      </c>
      <c r="H128" s="3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76" t="s">
        <v>357</v>
      </c>
      <c r="B130" s="277"/>
      <c r="C130" s="154" t="s">
        <v>237</v>
      </c>
      <c r="D130" s="152" t="s">
        <v>324</v>
      </c>
      <c r="E130" s="152" t="s">
        <v>136</v>
      </c>
      <c r="F130" s="154" t="s">
        <v>138</v>
      </c>
      <c r="G130" s="154" t="s">
        <v>139</v>
      </c>
      <c r="H130" s="154" t="s">
        <v>140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38">
        <v>11183974216</v>
      </c>
      <c r="B131" s="38" t="s">
        <v>358</v>
      </c>
      <c r="C131" s="165"/>
      <c r="D131" s="34">
        <v>10</v>
      </c>
      <c r="E131" s="34">
        <v>1</v>
      </c>
      <c r="F131" s="34"/>
      <c r="G131" s="34">
        <f t="shared" ref="G131:G141" si="5">365/D131</f>
        <v>36.5</v>
      </c>
      <c r="H131" s="3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38">
        <v>11183982216</v>
      </c>
      <c r="B132" s="38" t="s">
        <v>359</v>
      </c>
      <c r="C132" s="146"/>
      <c r="D132" s="34">
        <v>10</v>
      </c>
      <c r="E132" s="34">
        <v>1</v>
      </c>
      <c r="F132" s="34"/>
      <c r="G132" s="34">
        <f t="shared" si="5"/>
        <v>36.5</v>
      </c>
      <c r="H132" s="3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38">
        <v>11298500316</v>
      </c>
      <c r="B133" s="38" t="s">
        <v>360</v>
      </c>
      <c r="C133" s="146"/>
      <c r="D133" s="34">
        <v>5</v>
      </c>
      <c r="E133" s="34">
        <v>74</v>
      </c>
      <c r="F133" s="34"/>
      <c r="G133" s="34">
        <f t="shared" si="5"/>
        <v>73</v>
      </c>
      <c r="H133" s="3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38">
        <v>4663632190</v>
      </c>
      <c r="B134" s="38" t="s">
        <v>361</v>
      </c>
      <c r="C134" s="146"/>
      <c r="D134" s="34">
        <v>9</v>
      </c>
      <c r="E134" s="34">
        <v>28</v>
      </c>
      <c r="F134" s="63"/>
      <c r="G134" s="63">
        <f t="shared" si="5"/>
        <v>40.555555555555557</v>
      </c>
      <c r="H134" s="6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38">
        <v>4522630190</v>
      </c>
      <c r="B135" s="38" t="s">
        <v>362</v>
      </c>
      <c r="C135" s="146"/>
      <c r="D135" s="34">
        <v>5</v>
      </c>
      <c r="E135" s="34">
        <v>14</v>
      </c>
      <c r="F135" s="63"/>
      <c r="G135" s="34">
        <f t="shared" si="5"/>
        <v>73</v>
      </c>
      <c r="H135" s="3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38">
        <v>4522320190</v>
      </c>
      <c r="B136" s="38" t="s">
        <v>363</v>
      </c>
      <c r="C136" s="146"/>
      <c r="D136" s="34">
        <v>5</v>
      </c>
      <c r="E136" s="34">
        <v>14</v>
      </c>
      <c r="F136" s="34"/>
      <c r="G136" s="34">
        <f t="shared" si="5"/>
        <v>73</v>
      </c>
      <c r="H136" s="3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38">
        <v>11360981216</v>
      </c>
      <c r="B137" s="38" t="s">
        <v>364</v>
      </c>
      <c r="C137" s="146"/>
      <c r="D137" s="34">
        <v>5</v>
      </c>
      <c r="E137" s="34">
        <v>28</v>
      </c>
      <c r="F137" s="34"/>
      <c r="G137" s="34">
        <f t="shared" si="5"/>
        <v>73</v>
      </c>
      <c r="H137" s="3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38">
        <v>3149501001</v>
      </c>
      <c r="B138" s="38" t="s">
        <v>365</v>
      </c>
      <c r="C138" s="146"/>
      <c r="D138" s="34">
        <v>1</v>
      </c>
      <c r="E138" s="34">
        <v>168</v>
      </c>
      <c r="F138" s="34"/>
      <c r="G138" s="34">
        <f t="shared" si="5"/>
        <v>365</v>
      </c>
      <c r="H138" s="3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38">
        <v>10825468001</v>
      </c>
      <c r="B139" s="38" t="s">
        <v>366</v>
      </c>
      <c r="C139" s="146"/>
      <c r="D139" s="34">
        <v>1</v>
      </c>
      <c r="E139" s="34">
        <v>56</v>
      </c>
      <c r="F139" s="34"/>
      <c r="G139" s="34">
        <f t="shared" si="5"/>
        <v>365</v>
      </c>
      <c r="H139" s="3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38">
        <v>10825441001</v>
      </c>
      <c r="B140" s="38" t="s">
        <v>367</v>
      </c>
      <c r="C140" s="146"/>
      <c r="D140" s="34">
        <v>1</v>
      </c>
      <c r="E140" s="34">
        <v>56</v>
      </c>
      <c r="F140" s="34"/>
      <c r="G140" s="34">
        <f t="shared" si="5"/>
        <v>365</v>
      </c>
      <c r="H140" s="3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38">
        <v>3246353001</v>
      </c>
      <c r="B141" s="38" t="s">
        <v>368</v>
      </c>
      <c r="C141" s="146"/>
      <c r="D141" s="34">
        <v>1</v>
      </c>
      <c r="E141" s="34">
        <v>56</v>
      </c>
      <c r="F141" s="34"/>
      <c r="G141" s="34">
        <f t="shared" si="5"/>
        <v>365</v>
      </c>
      <c r="H141" s="3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/>
    <row r="343" spans="1:26" ht="15.75" customHeight="1" x14ac:dyDescent="0.3"/>
    <row r="344" spans="1:26" ht="15.75" customHeight="1" x14ac:dyDescent="0.3"/>
    <row r="345" spans="1:26" ht="15.75" customHeight="1" x14ac:dyDescent="0.3"/>
    <row r="346" spans="1:26" ht="15.75" customHeight="1" x14ac:dyDescent="0.3"/>
    <row r="347" spans="1:26" ht="15.75" customHeight="1" x14ac:dyDescent="0.3"/>
    <row r="348" spans="1:26" ht="15.75" customHeight="1" x14ac:dyDescent="0.3"/>
    <row r="349" spans="1:26" ht="15.75" customHeight="1" x14ac:dyDescent="0.3"/>
    <row r="350" spans="1:26" ht="15.75" customHeight="1" x14ac:dyDescent="0.3"/>
    <row r="351" spans="1:26" ht="15.75" customHeight="1" x14ac:dyDescent="0.3"/>
    <row r="352" spans="1:26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3:F3"/>
    <mergeCell ref="A130:B130"/>
  </mergeCells>
  <conditionalFormatting sqref="A61:B61">
    <cfRule type="expression" dxfId="0" priority="1">
      <formula>#REF!&gt;0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/>
  </sheetViews>
  <sheetFormatPr baseColWidth="10" defaultColWidth="14.44140625" defaultRowHeight="15" customHeight="1" x14ac:dyDescent="0.3"/>
  <cols>
    <col min="1" max="1" width="15.109375" customWidth="1"/>
    <col min="2" max="2" width="30" customWidth="1"/>
    <col min="3" max="3" width="37.44140625" customWidth="1"/>
    <col min="4" max="4" width="8" customWidth="1"/>
    <col min="5" max="5" width="12.88671875" customWidth="1"/>
    <col min="6" max="6" width="15.33203125" customWidth="1"/>
    <col min="7" max="7" width="13.6640625" customWidth="1"/>
  </cols>
  <sheetData>
    <row r="1" spans="1:27" ht="15.75" customHeight="1" x14ac:dyDescent="0.3">
      <c r="A1" s="50" t="s">
        <v>5</v>
      </c>
      <c r="D1" s="166"/>
      <c r="E1" s="166"/>
      <c r="F1" s="166"/>
      <c r="G1" s="16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3">
      <c r="A2" s="50" t="s">
        <v>124</v>
      </c>
      <c r="D2" s="166"/>
      <c r="E2" s="166"/>
      <c r="F2" s="166"/>
      <c r="G2" s="16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3">
      <c r="A3" s="50" t="s">
        <v>125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3">
      <c r="A4" s="50" t="s">
        <v>127</v>
      </c>
      <c r="C4" s="2" t="s">
        <v>128</v>
      </c>
      <c r="E4" s="166"/>
      <c r="F4" s="166"/>
      <c r="G4" s="1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3">
      <c r="A5" s="50" t="s">
        <v>129</v>
      </c>
      <c r="C5" s="2" t="s">
        <v>128</v>
      </c>
      <c r="E5" s="166"/>
      <c r="F5" s="166"/>
      <c r="G5" s="16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3">
      <c r="A6" s="167" t="s">
        <v>130</v>
      </c>
      <c r="B6" s="168" t="s">
        <v>369</v>
      </c>
      <c r="C6" s="169"/>
      <c r="D6" s="170"/>
      <c r="E6" s="170"/>
      <c r="F6" s="170"/>
      <c r="G6" s="17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3">
      <c r="A7" s="15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1.6" x14ac:dyDescent="0.3">
      <c r="A8" s="171" t="s">
        <v>235</v>
      </c>
      <c r="B8" s="171" t="s">
        <v>236</v>
      </c>
      <c r="C8" s="171" t="s">
        <v>370</v>
      </c>
      <c r="D8" s="171" t="s">
        <v>135</v>
      </c>
      <c r="E8" s="171" t="s">
        <v>136</v>
      </c>
      <c r="F8" s="171" t="s">
        <v>237</v>
      </c>
      <c r="G8" s="171" t="s">
        <v>138</v>
      </c>
      <c r="H8" s="171" t="s">
        <v>139</v>
      </c>
      <c r="I8" s="171" t="s">
        <v>140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">
      <c r="A9" s="172">
        <v>8946710190</v>
      </c>
      <c r="B9" s="38" t="s">
        <v>371</v>
      </c>
      <c r="C9" s="38" t="s">
        <v>372</v>
      </c>
      <c r="D9" s="34">
        <v>100</v>
      </c>
      <c r="E9" s="34">
        <v>84</v>
      </c>
      <c r="F9" s="173"/>
      <c r="G9" s="34">
        <f t="shared" ref="G9:G102" si="0">F9/D9</f>
        <v>0</v>
      </c>
      <c r="H9" s="63">
        <f t="shared" ref="H9:H102" si="1">(360/E9)</f>
        <v>4.2857142857142856</v>
      </c>
      <c r="I9" s="3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">
      <c r="A10" s="172">
        <v>9015060190</v>
      </c>
      <c r="B10" s="38" t="s">
        <v>373</v>
      </c>
      <c r="C10" s="38" t="s">
        <v>374</v>
      </c>
      <c r="D10" s="34">
        <v>100</v>
      </c>
      <c r="E10" s="34">
        <v>56</v>
      </c>
      <c r="F10" s="173"/>
      <c r="G10" s="34">
        <f t="shared" si="0"/>
        <v>0</v>
      </c>
      <c r="H10" s="63">
        <f t="shared" si="1"/>
        <v>6.4285714285714288</v>
      </c>
      <c r="I10" s="38"/>
    </row>
    <row r="11" spans="1:27" ht="15.75" customHeight="1" x14ac:dyDescent="0.3">
      <c r="A11" s="172">
        <v>10059516190</v>
      </c>
      <c r="B11" s="38" t="s">
        <v>375</v>
      </c>
      <c r="C11" s="38" t="s">
        <v>376</v>
      </c>
      <c r="D11" s="34">
        <v>100</v>
      </c>
      <c r="E11" s="34"/>
      <c r="F11" s="173"/>
      <c r="G11" s="34">
        <f t="shared" si="0"/>
        <v>0</v>
      </c>
      <c r="H11" s="63" t="e">
        <f t="shared" si="1"/>
        <v>#DIV/0!</v>
      </c>
      <c r="I11" s="3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">
      <c r="A12" s="172">
        <v>6368590190</v>
      </c>
      <c r="B12" s="38" t="s">
        <v>377</v>
      </c>
      <c r="C12" s="38" t="s">
        <v>378</v>
      </c>
      <c r="D12" s="34">
        <v>100</v>
      </c>
      <c r="E12" s="34">
        <v>15</v>
      </c>
      <c r="F12" s="173"/>
      <c r="G12" s="34">
        <f t="shared" si="0"/>
        <v>0</v>
      </c>
      <c r="H12" s="63">
        <f t="shared" si="1"/>
        <v>24</v>
      </c>
      <c r="I12" s="3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3">
      <c r="A13" s="172">
        <v>5031656190</v>
      </c>
      <c r="B13" s="38" t="s">
        <v>379</v>
      </c>
      <c r="C13" s="38" t="s">
        <v>380</v>
      </c>
      <c r="D13" s="34">
        <v>100</v>
      </c>
      <c r="E13" s="34">
        <v>28</v>
      </c>
      <c r="F13" s="173"/>
      <c r="G13" s="34">
        <f t="shared" si="0"/>
        <v>0</v>
      </c>
      <c r="H13" s="63">
        <f t="shared" si="1"/>
        <v>12.857142857142858</v>
      </c>
      <c r="I13" s="38"/>
    </row>
    <row r="14" spans="1:27" ht="15.75" customHeight="1" x14ac:dyDescent="0.3">
      <c r="A14" s="172">
        <v>8086630190</v>
      </c>
      <c r="B14" s="38" t="s">
        <v>381</v>
      </c>
      <c r="C14" s="38" t="s">
        <v>382</v>
      </c>
      <c r="D14" s="34">
        <v>100</v>
      </c>
      <c r="E14" s="34">
        <v>56</v>
      </c>
      <c r="F14" s="173"/>
      <c r="G14" s="34">
        <f t="shared" si="0"/>
        <v>0</v>
      </c>
      <c r="H14" s="63">
        <f t="shared" si="1"/>
        <v>6.4285714285714288</v>
      </c>
      <c r="I14" s="3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">
      <c r="A15" s="172">
        <v>11820591122</v>
      </c>
      <c r="B15" s="38" t="s">
        <v>383</v>
      </c>
      <c r="C15" s="38" t="s">
        <v>384</v>
      </c>
      <c r="D15" s="34">
        <v>100</v>
      </c>
      <c r="E15" s="34">
        <v>56</v>
      </c>
      <c r="F15" s="173"/>
      <c r="G15" s="34">
        <f t="shared" si="0"/>
        <v>0</v>
      </c>
      <c r="H15" s="63">
        <f t="shared" si="1"/>
        <v>6.4285714285714288</v>
      </c>
      <c r="I15" s="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">
      <c r="A16" s="172">
        <v>11820567122</v>
      </c>
      <c r="B16" s="38" t="s">
        <v>385</v>
      </c>
      <c r="C16" s="38" t="s">
        <v>386</v>
      </c>
      <c r="D16" s="34">
        <v>100</v>
      </c>
      <c r="E16" s="34">
        <v>28</v>
      </c>
      <c r="F16" s="173"/>
      <c r="G16" s="34">
        <f t="shared" si="0"/>
        <v>0</v>
      </c>
      <c r="H16" s="63">
        <f t="shared" si="1"/>
        <v>12.857142857142858</v>
      </c>
      <c r="I16" s="38"/>
    </row>
    <row r="17" spans="1:27" ht="15.75" customHeight="1" x14ac:dyDescent="0.3">
      <c r="A17" s="172">
        <v>9014918190</v>
      </c>
      <c r="B17" s="38" t="s">
        <v>387</v>
      </c>
      <c r="C17" s="38" t="s">
        <v>388</v>
      </c>
      <c r="D17" s="34">
        <v>100</v>
      </c>
      <c r="E17" s="34">
        <v>56</v>
      </c>
      <c r="F17" s="173"/>
      <c r="G17" s="34">
        <f t="shared" si="0"/>
        <v>0</v>
      </c>
      <c r="H17" s="63">
        <f t="shared" si="1"/>
        <v>6.4285714285714288</v>
      </c>
      <c r="I17" s="38"/>
    </row>
    <row r="18" spans="1:27" ht="15.75" customHeight="1" x14ac:dyDescent="0.3">
      <c r="A18" s="172">
        <v>11820613122</v>
      </c>
      <c r="B18" s="38" t="s">
        <v>389</v>
      </c>
      <c r="C18" s="38" t="s">
        <v>390</v>
      </c>
      <c r="D18" s="34">
        <v>100</v>
      </c>
      <c r="E18" s="34">
        <v>56</v>
      </c>
      <c r="F18" s="173"/>
      <c r="G18" s="34">
        <f t="shared" si="0"/>
        <v>0</v>
      </c>
      <c r="H18" s="63">
        <f t="shared" si="1"/>
        <v>6.4285714285714288</v>
      </c>
      <c r="I18" s="38"/>
    </row>
    <row r="19" spans="1:27" ht="15.75" customHeight="1" x14ac:dyDescent="0.3">
      <c r="A19" s="172">
        <v>8498598190</v>
      </c>
      <c r="B19" s="38" t="s">
        <v>391</v>
      </c>
      <c r="C19" s="38" t="s">
        <v>392</v>
      </c>
      <c r="D19" s="34">
        <v>100</v>
      </c>
      <c r="E19" s="34">
        <v>56</v>
      </c>
      <c r="F19" s="173"/>
      <c r="G19" s="34">
        <f t="shared" si="0"/>
        <v>0</v>
      </c>
      <c r="H19" s="63">
        <f t="shared" si="1"/>
        <v>6.4285714285714288</v>
      </c>
      <c r="I19" s="38"/>
    </row>
    <row r="20" spans="1:27" ht="15.75" customHeight="1" x14ac:dyDescent="0.3">
      <c r="A20" s="172">
        <v>8836981190</v>
      </c>
      <c r="B20" s="38" t="s">
        <v>393</v>
      </c>
      <c r="C20" s="38" t="s">
        <v>394</v>
      </c>
      <c r="D20" s="34">
        <v>100</v>
      </c>
      <c r="E20" s="34">
        <v>49</v>
      </c>
      <c r="F20" s="173"/>
      <c r="G20" s="34">
        <f t="shared" si="0"/>
        <v>0</v>
      </c>
      <c r="H20" s="63">
        <f t="shared" si="1"/>
        <v>7.3469387755102042</v>
      </c>
      <c r="I20" s="38"/>
    </row>
    <row r="21" spans="1:27" ht="15.75" customHeight="1" x14ac:dyDescent="0.3">
      <c r="A21" s="172">
        <v>9203095190</v>
      </c>
      <c r="B21" s="38" t="s">
        <v>395</v>
      </c>
      <c r="C21" s="38" t="s">
        <v>396</v>
      </c>
      <c r="D21" s="34">
        <v>200</v>
      </c>
      <c r="E21" s="34">
        <v>28</v>
      </c>
      <c r="F21" s="173"/>
      <c r="G21" s="34">
        <f t="shared" si="0"/>
        <v>0</v>
      </c>
      <c r="H21" s="63">
        <f t="shared" si="1"/>
        <v>12.857142857142858</v>
      </c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">
      <c r="A22" s="172">
        <v>9289267190</v>
      </c>
      <c r="B22" s="38" t="s">
        <v>397</v>
      </c>
      <c r="C22" s="38" t="s">
        <v>398</v>
      </c>
      <c r="D22" s="34">
        <v>200</v>
      </c>
      <c r="E22" s="34">
        <v>28</v>
      </c>
      <c r="F22" s="173"/>
      <c r="G22" s="34">
        <f t="shared" si="0"/>
        <v>0</v>
      </c>
      <c r="H22" s="63">
        <f t="shared" si="1"/>
        <v>12.857142857142858</v>
      </c>
      <c r="I22" s="3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">
      <c r="A23" s="172">
        <v>9004998190</v>
      </c>
      <c r="B23" s="38" t="s">
        <v>399</v>
      </c>
      <c r="C23" s="38" t="s">
        <v>400</v>
      </c>
      <c r="D23" s="34">
        <v>100</v>
      </c>
      <c r="E23" s="34">
        <v>42</v>
      </c>
      <c r="F23" s="173"/>
      <c r="G23" s="34">
        <f t="shared" si="0"/>
        <v>0</v>
      </c>
      <c r="H23" s="63">
        <f t="shared" si="1"/>
        <v>8.5714285714285712</v>
      </c>
      <c r="I23" s="38"/>
    </row>
    <row r="24" spans="1:27" ht="15.75" customHeight="1" x14ac:dyDescent="0.3">
      <c r="A24" s="172">
        <v>8496609190</v>
      </c>
      <c r="B24" s="38" t="s">
        <v>401</v>
      </c>
      <c r="C24" s="38" t="s">
        <v>402</v>
      </c>
      <c r="D24" s="34">
        <v>100</v>
      </c>
      <c r="E24" s="34">
        <v>21</v>
      </c>
      <c r="F24" s="173"/>
      <c r="G24" s="34">
        <f t="shared" si="0"/>
        <v>0</v>
      </c>
      <c r="H24" s="63">
        <f t="shared" si="1"/>
        <v>17.142857142857142</v>
      </c>
      <c r="I24" s="38"/>
    </row>
    <row r="25" spans="1:27" ht="15.75" customHeight="1" x14ac:dyDescent="0.3">
      <c r="A25" s="172">
        <v>9005773190</v>
      </c>
      <c r="B25" s="38" t="s">
        <v>403</v>
      </c>
      <c r="C25" s="38" t="s">
        <v>404</v>
      </c>
      <c r="D25" s="34">
        <v>100</v>
      </c>
      <c r="E25" s="34">
        <v>56</v>
      </c>
      <c r="F25" s="173"/>
      <c r="G25" s="34">
        <f t="shared" si="0"/>
        <v>0</v>
      </c>
      <c r="H25" s="63">
        <f t="shared" si="1"/>
        <v>6.4285714285714288</v>
      </c>
      <c r="I25" s="3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">
      <c r="A26" s="172">
        <v>11776223190</v>
      </c>
      <c r="B26" s="38" t="s">
        <v>405</v>
      </c>
      <c r="C26" s="38" t="s">
        <v>406</v>
      </c>
      <c r="D26" s="34">
        <v>100</v>
      </c>
      <c r="E26" s="34">
        <v>42</v>
      </c>
      <c r="F26" s="173"/>
      <c r="G26" s="34">
        <f t="shared" si="0"/>
        <v>0</v>
      </c>
      <c r="H26" s="63">
        <f t="shared" si="1"/>
        <v>8.5714285714285712</v>
      </c>
      <c r="I26" s="38"/>
    </row>
    <row r="27" spans="1:27" ht="15.75" customHeight="1" x14ac:dyDescent="0.3">
      <c r="A27" s="172">
        <v>3045838122</v>
      </c>
      <c r="B27" s="38" t="s">
        <v>407</v>
      </c>
      <c r="C27" s="38" t="s">
        <v>408</v>
      </c>
      <c r="D27" s="34">
        <v>100</v>
      </c>
      <c r="E27" s="34">
        <v>35</v>
      </c>
      <c r="F27" s="173"/>
      <c r="G27" s="34">
        <f t="shared" si="0"/>
        <v>0</v>
      </c>
      <c r="H27" s="63">
        <f t="shared" si="1"/>
        <v>10.285714285714286</v>
      </c>
      <c r="I27" s="38"/>
    </row>
    <row r="28" spans="1:27" ht="15.75" customHeight="1" x14ac:dyDescent="0.3">
      <c r="A28" s="172">
        <v>11776193122</v>
      </c>
      <c r="B28" s="38" t="s">
        <v>409</v>
      </c>
      <c r="C28" s="38" t="s">
        <v>410</v>
      </c>
      <c r="D28" s="34">
        <v>100</v>
      </c>
      <c r="E28" s="34">
        <v>56</v>
      </c>
      <c r="F28" s="173"/>
      <c r="G28" s="34">
        <f t="shared" si="0"/>
        <v>0</v>
      </c>
      <c r="H28" s="63">
        <f t="shared" si="1"/>
        <v>6.4285714285714288</v>
      </c>
      <c r="I28" s="3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">
      <c r="A29" s="172">
        <v>9005692190</v>
      </c>
      <c r="B29" s="38" t="s">
        <v>411</v>
      </c>
      <c r="C29" s="38" t="s">
        <v>412</v>
      </c>
      <c r="D29" s="34">
        <v>100</v>
      </c>
      <c r="E29" s="34">
        <v>56</v>
      </c>
      <c r="F29" s="173"/>
      <c r="G29" s="34">
        <f t="shared" si="0"/>
        <v>0</v>
      </c>
      <c r="H29" s="63">
        <f t="shared" si="1"/>
        <v>6.4285714285714288</v>
      </c>
      <c r="I29" s="3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">
      <c r="A30" s="172">
        <v>11731629322</v>
      </c>
      <c r="B30" s="38" t="s">
        <v>413</v>
      </c>
      <c r="C30" s="38" t="s">
        <v>414</v>
      </c>
      <c r="D30" s="34">
        <v>100</v>
      </c>
      <c r="E30" s="34">
        <v>42</v>
      </c>
      <c r="F30" s="173"/>
      <c r="G30" s="34">
        <f t="shared" si="0"/>
        <v>0</v>
      </c>
      <c r="H30" s="63">
        <f t="shared" si="1"/>
        <v>8.5714285714285712</v>
      </c>
      <c r="I30" s="38"/>
    </row>
    <row r="31" spans="1:27" ht="15.75" customHeight="1" x14ac:dyDescent="0.3">
      <c r="A31" s="172">
        <v>9015566190</v>
      </c>
      <c r="B31" s="38" t="s">
        <v>415</v>
      </c>
      <c r="C31" s="38" t="s">
        <v>416</v>
      </c>
      <c r="D31" s="34">
        <v>100</v>
      </c>
      <c r="E31" s="34">
        <v>56</v>
      </c>
      <c r="F31" s="173"/>
      <c r="G31" s="34">
        <f t="shared" si="0"/>
        <v>0</v>
      </c>
      <c r="H31" s="63">
        <f t="shared" si="1"/>
        <v>6.4285714285714288</v>
      </c>
      <c r="I31" s="3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">
      <c r="A32" s="172">
        <v>5957648190</v>
      </c>
      <c r="B32" s="38" t="s">
        <v>417</v>
      </c>
      <c r="C32" s="38" t="s">
        <v>418</v>
      </c>
      <c r="D32" s="34">
        <v>100</v>
      </c>
      <c r="E32" s="34">
        <v>56</v>
      </c>
      <c r="F32" s="173"/>
      <c r="G32" s="34">
        <f t="shared" si="0"/>
        <v>0</v>
      </c>
      <c r="H32" s="63">
        <f t="shared" si="1"/>
        <v>6.4285714285714288</v>
      </c>
      <c r="I32" s="38"/>
    </row>
    <row r="33" spans="1:27" ht="15.75" customHeight="1" x14ac:dyDescent="0.3">
      <c r="A33" s="172">
        <v>9342397190</v>
      </c>
      <c r="B33" s="38" t="s">
        <v>419</v>
      </c>
      <c r="C33" s="38" t="s">
        <v>420</v>
      </c>
      <c r="D33" s="34">
        <v>100</v>
      </c>
      <c r="E33" s="34">
        <v>56</v>
      </c>
      <c r="F33" s="173"/>
      <c r="G33" s="34">
        <f t="shared" si="0"/>
        <v>0</v>
      </c>
      <c r="H33" s="63">
        <f t="shared" si="1"/>
        <v>6.4285714285714288</v>
      </c>
      <c r="I33" s="3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">
      <c r="A34" s="172">
        <v>9118543190</v>
      </c>
      <c r="B34" s="38" t="s">
        <v>421</v>
      </c>
      <c r="C34" s="38" t="s">
        <v>422</v>
      </c>
      <c r="D34" s="34">
        <v>100</v>
      </c>
      <c r="E34" s="34">
        <v>21</v>
      </c>
      <c r="F34" s="173"/>
      <c r="G34" s="34">
        <f t="shared" si="0"/>
        <v>0</v>
      </c>
      <c r="H34" s="63">
        <f t="shared" si="1"/>
        <v>17.142857142857142</v>
      </c>
      <c r="I34" s="38"/>
    </row>
    <row r="35" spans="1:27" ht="15.75" customHeight="1" x14ac:dyDescent="0.3">
      <c r="A35" s="174">
        <v>4784618190</v>
      </c>
      <c r="B35" s="38" t="s">
        <v>423</v>
      </c>
      <c r="C35" s="38" t="s">
        <v>424</v>
      </c>
      <c r="D35" s="34">
        <v>100</v>
      </c>
      <c r="E35" s="34">
        <v>42</v>
      </c>
      <c r="F35" s="173"/>
      <c r="G35" s="34">
        <f t="shared" si="0"/>
        <v>0</v>
      </c>
      <c r="H35" s="63">
        <f t="shared" si="1"/>
        <v>8.5714285714285712</v>
      </c>
      <c r="I35" s="38"/>
    </row>
    <row r="36" spans="1:27" ht="15.75" customHeight="1" x14ac:dyDescent="0.3">
      <c r="A36" s="174">
        <v>6687733190</v>
      </c>
      <c r="B36" s="38" t="s">
        <v>425</v>
      </c>
      <c r="C36" s="38" t="s">
        <v>426</v>
      </c>
      <c r="D36" s="34">
        <v>100</v>
      </c>
      <c r="E36" s="34">
        <v>56</v>
      </c>
      <c r="F36" s="173"/>
      <c r="G36" s="34">
        <f t="shared" si="0"/>
        <v>0</v>
      </c>
      <c r="H36" s="63">
        <f t="shared" si="1"/>
        <v>6.4285714285714288</v>
      </c>
      <c r="I36" s="38"/>
    </row>
    <row r="37" spans="1:27" ht="15.75" customHeight="1" x14ac:dyDescent="0.3">
      <c r="A37" s="172">
        <v>3184897190</v>
      </c>
      <c r="B37" s="38" t="s">
        <v>427</v>
      </c>
      <c r="C37" s="38" t="s">
        <v>428</v>
      </c>
      <c r="D37" s="34">
        <v>100</v>
      </c>
      <c r="E37" s="34">
        <v>56</v>
      </c>
      <c r="F37" s="173"/>
      <c r="G37" s="34">
        <f t="shared" si="0"/>
        <v>0</v>
      </c>
      <c r="H37" s="63">
        <f t="shared" si="1"/>
        <v>6.4285714285714288</v>
      </c>
      <c r="I37" s="3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">
      <c r="A38" s="174">
        <v>11820966122</v>
      </c>
      <c r="B38" s="38" t="s">
        <v>429</v>
      </c>
      <c r="C38" s="38" t="s">
        <v>430</v>
      </c>
      <c r="D38" s="34">
        <v>100</v>
      </c>
      <c r="E38" s="34">
        <v>56</v>
      </c>
      <c r="F38" s="173"/>
      <c r="G38" s="34">
        <f t="shared" si="0"/>
        <v>0</v>
      </c>
      <c r="H38" s="63">
        <f t="shared" si="1"/>
        <v>6.4285714285714288</v>
      </c>
      <c r="I38" s="3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">
      <c r="A39" s="174">
        <v>3000087122</v>
      </c>
      <c r="B39" s="38" t="s">
        <v>431</v>
      </c>
      <c r="C39" s="38" t="s">
        <v>432</v>
      </c>
      <c r="D39" s="34">
        <v>100</v>
      </c>
      <c r="E39" s="34">
        <v>56</v>
      </c>
      <c r="F39" s="173"/>
      <c r="G39" s="34">
        <f t="shared" si="0"/>
        <v>0</v>
      </c>
      <c r="H39" s="63">
        <f t="shared" si="1"/>
        <v>6.4285714285714288</v>
      </c>
      <c r="I39" s="3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">
      <c r="A40" s="172">
        <v>11820796190</v>
      </c>
      <c r="B40" s="38" t="s">
        <v>433</v>
      </c>
      <c r="C40" s="38" t="s">
        <v>434</v>
      </c>
      <c r="D40" s="34">
        <v>100</v>
      </c>
      <c r="E40" s="34">
        <v>56</v>
      </c>
      <c r="F40" s="173"/>
      <c r="G40" s="34">
        <f t="shared" si="0"/>
        <v>0</v>
      </c>
      <c r="H40" s="63">
        <f t="shared" si="1"/>
        <v>6.4285714285714288</v>
      </c>
      <c r="I40" s="3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">
      <c r="A41" s="172">
        <v>8355371190</v>
      </c>
      <c r="B41" s="38" t="s">
        <v>435</v>
      </c>
      <c r="C41" s="38" t="s">
        <v>436</v>
      </c>
      <c r="D41" s="34">
        <v>100</v>
      </c>
      <c r="E41" s="34">
        <v>28</v>
      </c>
      <c r="F41" s="173"/>
      <c r="G41" s="34">
        <f t="shared" si="0"/>
        <v>0</v>
      </c>
      <c r="H41" s="63">
        <f t="shared" si="1"/>
        <v>12.857142857142858</v>
      </c>
      <c r="I41" s="38"/>
    </row>
    <row r="42" spans="1:27" ht="15.75" customHeight="1" x14ac:dyDescent="0.3">
      <c r="A42" s="172">
        <v>8355258190</v>
      </c>
      <c r="B42" s="38" t="s">
        <v>437</v>
      </c>
      <c r="C42" s="38" t="s">
        <v>438</v>
      </c>
      <c r="D42" s="34">
        <v>100</v>
      </c>
      <c r="E42" s="34">
        <v>28</v>
      </c>
      <c r="F42" s="173"/>
      <c r="G42" s="34">
        <f t="shared" si="0"/>
        <v>0</v>
      </c>
      <c r="H42" s="63">
        <f t="shared" si="1"/>
        <v>12.857142857142858</v>
      </c>
      <c r="I42" s="3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">
      <c r="A43" s="172">
        <v>8355312190</v>
      </c>
      <c r="B43" s="38" t="s">
        <v>439</v>
      </c>
      <c r="C43" s="38" t="s">
        <v>440</v>
      </c>
      <c r="D43" s="34">
        <v>100</v>
      </c>
      <c r="E43" s="34">
        <v>28</v>
      </c>
      <c r="F43" s="173"/>
      <c r="G43" s="34">
        <f t="shared" si="0"/>
        <v>0</v>
      </c>
      <c r="H43" s="63">
        <f t="shared" si="1"/>
        <v>12.857142857142858</v>
      </c>
      <c r="I43" s="38"/>
    </row>
    <row r="44" spans="1:27" ht="15.75" customHeight="1" x14ac:dyDescent="0.3">
      <c r="A44" s="172">
        <v>6656021190</v>
      </c>
      <c r="B44" s="38" t="s">
        <v>441</v>
      </c>
      <c r="C44" s="38" t="s">
        <v>442</v>
      </c>
      <c r="D44" s="34">
        <v>100</v>
      </c>
      <c r="E44" s="34">
        <v>56</v>
      </c>
      <c r="F44" s="173"/>
      <c r="G44" s="34">
        <f t="shared" si="0"/>
        <v>0</v>
      </c>
      <c r="H44" s="63">
        <f t="shared" si="1"/>
        <v>6.4285714285714288</v>
      </c>
      <c r="I44" s="38"/>
    </row>
    <row r="45" spans="1:27" ht="15.75" customHeight="1" x14ac:dyDescent="0.3">
      <c r="A45" s="172">
        <v>3737551190</v>
      </c>
      <c r="B45" s="38" t="s">
        <v>443</v>
      </c>
      <c r="C45" s="38" t="s">
        <v>444</v>
      </c>
      <c r="D45" s="34">
        <v>100</v>
      </c>
      <c r="E45" s="34">
        <v>42</v>
      </c>
      <c r="F45" s="173"/>
      <c r="G45" s="34">
        <f t="shared" si="0"/>
        <v>0</v>
      </c>
      <c r="H45" s="63">
        <f t="shared" si="1"/>
        <v>8.5714285714285712</v>
      </c>
      <c r="I45" s="38"/>
    </row>
    <row r="46" spans="1:27" ht="15.75" customHeight="1" x14ac:dyDescent="0.3">
      <c r="A46" s="172">
        <v>7559992190</v>
      </c>
      <c r="B46" s="38" t="s">
        <v>445</v>
      </c>
      <c r="C46" s="38" t="s">
        <v>446</v>
      </c>
      <c r="D46" s="34">
        <v>100</v>
      </c>
      <c r="E46" s="34">
        <v>28</v>
      </c>
      <c r="F46" s="173"/>
      <c r="G46" s="34">
        <f t="shared" si="0"/>
        <v>0</v>
      </c>
      <c r="H46" s="63">
        <f t="shared" si="1"/>
        <v>12.857142857142858</v>
      </c>
      <c r="I46" s="38"/>
    </row>
    <row r="47" spans="1:27" ht="15.75" customHeight="1" x14ac:dyDescent="0.3">
      <c r="A47" s="172">
        <v>8860297190</v>
      </c>
      <c r="B47" s="38" t="s">
        <v>447</v>
      </c>
      <c r="C47" s="38" t="s">
        <v>448</v>
      </c>
      <c r="D47" s="34">
        <v>100</v>
      </c>
      <c r="E47" s="34">
        <v>28</v>
      </c>
      <c r="F47" s="173"/>
      <c r="G47" s="34">
        <f t="shared" si="0"/>
        <v>0</v>
      </c>
      <c r="H47" s="63">
        <f t="shared" si="1"/>
        <v>12.857142857142858</v>
      </c>
      <c r="I47" s="3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">
      <c r="A48" s="172">
        <v>8828601190</v>
      </c>
      <c r="B48" s="38" t="s">
        <v>449</v>
      </c>
      <c r="C48" s="38" t="s">
        <v>450</v>
      </c>
      <c r="D48" s="34">
        <v>100</v>
      </c>
      <c r="E48" s="34">
        <v>42</v>
      </c>
      <c r="F48" s="173"/>
      <c r="G48" s="34">
        <f t="shared" si="0"/>
        <v>0</v>
      </c>
      <c r="H48" s="63">
        <f t="shared" si="1"/>
        <v>8.5714285714285712</v>
      </c>
      <c r="I48" s="3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">
      <c r="A49" s="172">
        <v>8932352190</v>
      </c>
      <c r="B49" s="38" t="s">
        <v>451</v>
      </c>
      <c r="C49" s="38" t="s">
        <v>452</v>
      </c>
      <c r="D49" s="34">
        <v>100</v>
      </c>
      <c r="E49" s="34">
        <v>56</v>
      </c>
      <c r="F49" s="173"/>
      <c r="G49" s="34">
        <f t="shared" si="0"/>
        <v>0</v>
      </c>
      <c r="H49" s="63">
        <f t="shared" si="1"/>
        <v>6.4285714285714288</v>
      </c>
      <c r="I49" s="38"/>
    </row>
    <row r="50" spans="1:27" ht="15.75" customHeight="1" x14ac:dyDescent="0.3">
      <c r="A50" s="172">
        <v>9005803190</v>
      </c>
      <c r="B50" s="38" t="s">
        <v>453</v>
      </c>
      <c r="C50" s="38" t="s">
        <v>454</v>
      </c>
      <c r="D50" s="34">
        <v>200</v>
      </c>
      <c r="E50" s="34">
        <v>56</v>
      </c>
      <c r="F50" s="173"/>
      <c r="G50" s="34">
        <f t="shared" si="0"/>
        <v>0</v>
      </c>
      <c r="H50" s="63">
        <f t="shared" si="1"/>
        <v>6.4285714285714288</v>
      </c>
      <c r="I50" s="38"/>
    </row>
    <row r="51" spans="1:27" ht="15.75" customHeight="1" x14ac:dyDescent="0.3">
      <c r="A51" s="172">
        <v>9043276190</v>
      </c>
      <c r="B51" s="38" t="s">
        <v>455</v>
      </c>
      <c r="C51" s="38" t="s">
        <v>456</v>
      </c>
      <c r="D51" s="34">
        <v>200</v>
      </c>
      <c r="E51" s="34">
        <v>56</v>
      </c>
      <c r="F51" s="173"/>
      <c r="G51" s="34">
        <f t="shared" si="0"/>
        <v>0</v>
      </c>
      <c r="H51" s="63">
        <f t="shared" si="1"/>
        <v>6.4285714285714288</v>
      </c>
      <c r="I51" s="38"/>
    </row>
    <row r="52" spans="1:27" ht="15.75" customHeight="1" x14ac:dyDescent="0.3">
      <c r="A52" s="172">
        <v>8946779190</v>
      </c>
      <c r="B52" s="38" t="s">
        <v>457</v>
      </c>
      <c r="C52" s="38" t="s">
        <v>458</v>
      </c>
      <c r="D52" s="34">
        <v>100</v>
      </c>
      <c r="E52" s="34">
        <v>56</v>
      </c>
      <c r="F52" s="173"/>
      <c r="G52" s="34">
        <f t="shared" si="0"/>
        <v>0</v>
      </c>
      <c r="H52" s="63">
        <f t="shared" si="1"/>
        <v>6.4285714285714288</v>
      </c>
      <c r="I52" s="3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3">
      <c r="A53" s="172">
        <v>11820583122</v>
      </c>
      <c r="B53" s="38" t="s">
        <v>459</v>
      </c>
      <c r="C53" s="38" t="s">
        <v>460</v>
      </c>
      <c r="D53" s="34">
        <v>100</v>
      </c>
      <c r="E53" s="34">
        <v>56</v>
      </c>
      <c r="F53" s="173"/>
      <c r="G53" s="34">
        <f t="shared" si="0"/>
        <v>0</v>
      </c>
      <c r="H53" s="63">
        <f t="shared" si="1"/>
        <v>6.4285714285714288</v>
      </c>
      <c r="I53" s="3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3">
      <c r="A54" s="172">
        <v>8814856190</v>
      </c>
      <c r="B54" s="38" t="s">
        <v>461</v>
      </c>
      <c r="C54" s="38" t="s">
        <v>462</v>
      </c>
      <c r="D54" s="34">
        <v>100</v>
      </c>
      <c r="E54" s="34">
        <v>42</v>
      </c>
      <c r="F54" s="173"/>
      <c r="G54" s="34">
        <f t="shared" si="0"/>
        <v>0</v>
      </c>
      <c r="H54" s="63">
        <f t="shared" si="1"/>
        <v>8.5714285714285712</v>
      </c>
      <c r="I54" s="3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3">
      <c r="A55" s="172">
        <v>8890587190</v>
      </c>
      <c r="B55" s="38" t="s">
        <v>463</v>
      </c>
      <c r="C55" s="38" t="s">
        <v>464</v>
      </c>
      <c r="D55" s="34">
        <v>100</v>
      </c>
      <c r="E55" s="34">
        <v>28</v>
      </c>
      <c r="F55" s="173"/>
      <c r="G55" s="34">
        <f t="shared" si="0"/>
        <v>0</v>
      </c>
      <c r="H55" s="63">
        <f t="shared" si="1"/>
        <v>12.857142857142858</v>
      </c>
      <c r="I55" s="3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">
      <c r="A56" s="172">
        <v>3271749190</v>
      </c>
      <c r="B56" s="38" t="s">
        <v>465</v>
      </c>
      <c r="C56" s="38" t="s">
        <v>466</v>
      </c>
      <c r="D56" s="34">
        <v>100</v>
      </c>
      <c r="E56" s="34">
        <v>28</v>
      </c>
      <c r="F56" s="173"/>
      <c r="G56" s="34">
        <f t="shared" si="0"/>
        <v>0</v>
      </c>
      <c r="H56" s="63">
        <f t="shared" si="1"/>
        <v>12.857142857142858</v>
      </c>
      <c r="I56" s="38"/>
    </row>
    <row r="57" spans="1:27" ht="15.75" customHeight="1" x14ac:dyDescent="0.3">
      <c r="A57" s="172">
        <v>5950929190</v>
      </c>
      <c r="B57" s="38" t="s">
        <v>467</v>
      </c>
      <c r="C57" s="38" t="s">
        <v>468</v>
      </c>
      <c r="D57" s="34">
        <v>100</v>
      </c>
      <c r="E57" s="34">
        <v>28</v>
      </c>
      <c r="F57" s="173"/>
      <c r="G57" s="34">
        <f t="shared" si="0"/>
        <v>0</v>
      </c>
      <c r="H57" s="63">
        <f t="shared" si="1"/>
        <v>12.857142857142858</v>
      </c>
      <c r="I57" s="38"/>
    </row>
    <row r="58" spans="1:27" ht="15.75" customHeight="1" x14ac:dyDescent="0.3">
      <c r="A58" s="172">
        <v>5390125190</v>
      </c>
      <c r="B58" s="38" t="s">
        <v>469</v>
      </c>
      <c r="C58" s="38" t="s">
        <v>470</v>
      </c>
      <c r="D58" s="34">
        <v>100</v>
      </c>
      <c r="E58" s="34">
        <v>56</v>
      </c>
      <c r="F58" s="173"/>
      <c r="G58" s="34">
        <f t="shared" si="0"/>
        <v>0</v>
      </c>
      <c r="H58" s="63">
        <f t="shared" si="1"/>
        <v>6.4285714285714288</v>
      </c>
      <c r="I58" s="3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3">
      <c r="A59" s="172">
        <v>8924163190</v>
      </c>
      <c r="B59" s="38" t="s">
        <v>471</v>
      </c>
      <c r="C59" s="38" t="s">
        <v>472</v>
      </c>
      <c r="D59" s="34">
        <v>100</v>
      </c>
      <c r="E59" s="34">
        <v>28</v>
      </c>
      <c r="F59" s="173"/>
      <c r="G59" s="34">
        <f t="shared" si="0"/>
        <v>0</v>
      </c>
      <c r="H59" s="63">
        <f t="shared" si="1"/>
        <v>12.857142857142858</v>
      </c>
      <c r="I59" s="38"/>
    </row>
    <row r="60" spans="1:27" ht="15.75" customHeight="1" x14ac:dyDescent="0.3">
      <c r="A60" s="172">
        <v>8948844190</v>
      </c>
      <c r="B60" s="38" t="s">
        <v>473</v>
      </c>
      <c r="C60" s="38" t="s">
        <v>474</v>
      </c>
      <c r="D60" s="34">
        <v>100</v>
      </c>
      <c r="E60" s="34">
        <v>28</v>
      </c>
      <c r="F60" s="173"/>
      <c r="G60" s="34">
        <f t="shared" si="0"/>
        <v>0</v>
      </c>
      <c r="H60" s="63">
        <f t="shared" si="1"/>
        <v>12.857142857142858</v>
      </c>
      <c r="I60" s="3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3">
      <c r="A61" s="172">
        <v>8948887190</v>
      </c>
      <c r="B61" s="38" t="s">
        <v>475</v>
      </c>
      <c r="C61" s="38" t="s">
        <v>476</v>
      </c>
      <c r="D61" s="34">
        <v>100</v>
      </c>
      <c r="E61" s="34">
        <v>28</v>
      </c>
      <c r="F61" s="173"/>
      <c r="G61" s="34">
        <f t="shared" si="0"/>
        <v>0</v>
      </c>
      <c r="H61" s="63">
        <f t="shared" si="1"/>
        <v>12.857142857142858</v>
      </c>
      <c r="I61" s="38"/>
    </row>
    <row r="62" spans="1:27" ht="15.75" customHeight="1" x14ac:dyDescent="0.3">
      <c r="A62" s="172">
        <v>9015175190</v>
      </c>
      <c r="B62" s="38" t="s">
        <v>477</v>
      </c>
      <c r="C62" s="38" t="s">
        <v>478</v>
      </c>
      <c r="D62" s="34">
        <v>100</v>
      </c>
      <c r="E62" s="34">
        <v>28</v>
      </c>
      <c r="F62" s="173"/>
      <c r="G62" s="34">
        <f t="shared" si="0"/>
        <v>0</v>
      </c>
      <c r="H62" s="63">
        <f t="shared" si="1"/>
        <v>12.857142857142858</v>
      </c>
      <c r="I62" s="38"/>
    </row>
    <row r="63" spans="1:27" ht="15.75" customHeight="1" x14ac:dyDescent="0.3">
      <c r="A63" s="172">
        <v>4827031190</v>
      </c>
      <c r="B63" s="38" t="s">
        <v>479</v>
      </c>
      <c r="C63" s="38" t="s">
        <v>480</v>
      </c>
      <c r="D63" s="34">
        <v>100</v>
      </c>
      <c r="E63" s="34">
        <v>56</v>
      </c>
      <c r="F63" s="173"/>
      <c r="G63" s="34">
        <f t="shared" si="0"/>
        <v>0</v>
      </c>
      <c r="H63" s="63">
        <f t="shared" si="1"/>
        <v>6.4285714285714288</v>
      </c>
      <c r="I63" s="3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">
      <c r="A64" s="172">
        <v>7475896190</v>
      </c>
      <c r="B64" s="38" t="s">
        <v>481</v>
      </c>
      <c r="C64" s="38" t="s">
        <v>482</v>
      </c>
      <c r="D64" s="34">
        <v>100</v>
      </c>
      <c r="E64" s="34">
        <v>28</v>
      </c>
      <c r="F64" s="173"/>
      <c r="G64" s="34">
        <f t="shared" si="0"/>
        <v>0</v>
      </c>
      <c r="H64" s="63">
        <f t="shared" si="1"/>
        <v>12.857142857142858</v>
      </c>
      <c r="I64" s="3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">
      <c r="A65" s="172">
        <v>7574690190</v>
      </c>
      <c r="B65" s="61" t="s">
        <v>483</v>
      </c>
      <c r="C65" s="61" t="s">
        <v>484</v>
      </c>
      <c r="D65" s="34">
        <v>100</v>
      </c>
      <c r="E65" s="34">
        <v>28</v>
      </c>
      <c r="F65" s="173"/>
      <c r="G65" s="34">
        <f t="shared" si="0"/>
        <v>0</v>
      </c>
      <c r="H65" s="63">
        <f t="shared" si="1"/>
        <v>12.857142857142858</v>
      </c>
      <c r="I65" s="3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">
      <c r="A66" s="172">
        <v>9015604190</v>
      </c>
      <c r="B66" s="38" t="s">
        <v>485</v>
      </c>
      <c r="C66" s="38" t="s">
        <v>486</v>
      </c>
      <c r="D66" s="34">
        <v>100</v>
      </c>
      <c r="E66" s="34">
        <v>28</v>
      </c>
      <c r="F66" s="173"/>
      <c r="G66" s="34">
        <f t="shared" si="0"/>
        <v>0</v>
      </c>
      <c r="H66" s="63">
        <f t="shared" si="1"/>
        <v>12.857142857142858</v>
      </c>
      <c r="I66" s="3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">
      <c r="A67" s="172">
        <v>12017547122</v>
      </c>
      <c r="B67" s="38" t="s">
        <v>487</v>
      </c>
      <c r="C67" s="38" t="s">
        <v>488</v>
      </c>
      <c r="D67" s="34">
        <v>100</v>
      </c>
      <c r="E67" s="34">
        <v>28</v>
      </c>
      <c r="F67" s="173"/>
      <c r="G67" s="34">
        <f t="shared" si="0"/>
        <v>0</v>
      </c>
      <c r="H67" s="63">
        <f t="shared" si="1"/>
        <v>12.857142857142858</v>
      </c>
      <c r="I67" s="3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">
      <c r="A68" s="172">
        <v>11732234122</v>
      </c>
      <c r="B68" s="38" t="s">
        <v>489</v>
      </c>
      <c r="C68" s="38" t="s">
        <v>490</v>
      </c>
      <c r="D68" s="34">
        <v>100</v>
      </c>
      <c r="E68" s="34">
        <v>56</v>
      </c>
      <c r="F68" s="173"/>
      <c r="G68" s="34">
        <f t="shared" si="0"/>
        <v>0</v>
      </c>
      <c r="H68" s="63">
        <f t="shared" si="1"/>
        <v>6.4285714285714288</v>
      </c>
      <c r="I68" s="38"/>
    </row>
    <row r="69" spans="1:27" ht="15.75" customHeight="1" x14ac:dyDescent="0.3">
      <c r="A69" s="172">
        <v>11820788122</v>
      </c>
      <c r="B69" s="38" t="s">
        <v>491</v>
      </c>
      <c r="C69" s="38" t="s">
        <v>492</v>
      </c>
      <c r="D69" s="34">
        <v>100</v>
      </c>
      <c r="E69" s="34">
        <v>56</v>
      </c>
      <c r="F69" s="173"/>
      <c r="G69" s="34">
        <f t="shared" si="0"/>
        <v>0</v>
      </c>
      <c r="H69" s="63">
        <f t="shared" si="1"/>
        <v>6.4285714285714288</v>
      </c>
      <c r="I69" s="38"/>
    </row>
    <row r="70" spans="1:27" ht="15.75" customHeight="1" x14ac:dyDescent="0.3">
      <c r="A70" s="172">
        <v>12149133122</v>
      </c>
      <c r="B70" s="38" t="s">
        <v>493</v>
      </c>
      <c r="C70" s="38" t="s">
        <v>494</v>
      </c>
      <c r="D70" s="34">
        <v>100</v>
      </c>
      <c r="E70" s="34">
        <v>56</v>
      </c>
      <c r="F70" s="173"/>
      <c r="G70" s="34">
        <f t="shared" si="0"/>
        <v>0</v>
      </c>
      <c r="H70" s="63">
        <f t="shared" si="1"/>
        <v>6.4285714285714288</v>
      </c>
      <c r="I70" s="3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">
      <c r="A71" s="172">
        <v>12133113122</v>
      </c>
      <c r="B71" s="38" t="s">
        <v>495</v>
      </c>
      <c r="C71" s="38" t="s">
        <v>496</v>
      </c>
      <c r="D71" s="34">
        <v>100</v>
      </c>
      <c r="E71" s="34">
        <v>56</v>
      </c>
      <c r="F71" s="173"/>
      <c r="G71" s="34">
        <f t="shared" si="0"/>
        <v>0</v>
      </c>
      <c r="H71" s="63">
        <f t="shared" si="1"/>
        <v>6.4285714285714288</v>
      </c>
      <c r="I71" s="3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3">
      <c r="A72" s="172">
        <v>8860173190</v>
      </c>
      <c r="B72" s="38" t="s">
        <v>497</v>
      </c>
      <c r="C72" s="38" t="s">
        <v>498</v>
      </c>
      <c r="D72" s="34">
        <v>100</v>
      </c>
      <c r="E72" s="34">
        <v>21</v>
      </c>
      <c r="F72" s="173"/>
      <c r="G72" s="34">
        <f t="shared" si="0"/>
        <v>0</v>
      </c>
      <c r="H72" s="63">
        <f t="shared" si="1"/>
        <v>17.142857142857142</v>
      </c>
      <c r="I72" s="3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">
      <c r="A73" s="172">
        <v>9318712190</v>
      </c>
      <c r="B73" s="38" t="s">
        <v>499</v>
      </c>
      <c r="C73" s="38" t="s">
        <v>500</v>
      </c>
      <c r="D73" s="34">
        <v>100</v>
      </c>
      <c r="E73" s="34">
        <v>28</v>
      </c>
      <c r="F73" s="173"/>
      <c r="G73" s="34">
        <f t="shared" si="0"/>
        <v>0</v>
      </c>
      <c r="H73" s="63">
        <f t="shared" si="1"/>
        <v>12.857142857142858</v>
      </c>
      <c r="I73" s="38"/>
    </row>
    <row r="74" spans="1:27" ht="15.75" customHeight="1" x14ac:dyDescent="0.3">
      <c r="A74" s="172">
        <v>5144671190</v>
      </c>
      <c r="B74" s="38" t="s">
        <v>501</v>
      </c>
      <c r="C74" s="38" t="s">
        <v>502</v>
      </c>
      <c r="D74" s="34">
        <v>100</v>
      </c>
      <c r="E74" s="34">
        <v>84</v>
      </c>
      <c r="F74" s="173"/>
      <c r="G74" s="34">
        <f t="shared" si="0"/>
        <v>0</v>
      </c>
      <c r="H74" s="63">
        <f t="shared" si="1"/>
        <v>4.2857142857142856</v>
      </c>
      <c r="I74" s="38"/>
    </row>
    <row r="75" spans="1:27" ht="15.75" customHeight="1" x14ac:dyDescent="0.3">
      <c r="A75" s="172">
        <v>9315268190</v>
      </c>
      <c r="B75" s="38" t="s">
        <v>503</v>
      </c>
      <c r="C75" s="38" t="s">
        <v>504</v>
      </c>
      <c r="D75" s="34">
        <v>100</v>
      </c>
      <c r="E75" s="34">
        <v>56</v>
      </c>
      <c r="F75" s="173"/>
      <c r="G75" s="34">
        <f t="shared" si="0"/>
        <v>0</v>
      </c>
      <c r="H75" s="63">
        <f t="shared" si="1"/>
        <v>6.4285714285714288</v>
      </c>
      <c r="I75" s="38"/>
    </row>
    <row r="76" spans="1:27" ht="15.75" customHeight="1" x14ac:dyDescent="0.3">
      <c r="A76" s="172">
        <v>8836744190</v>
      </c>
      <c r="B76" s="38" t="s">
        <v>505</v>
      </c>
      <c r="C76" s="38" t="s">
        <v>506</v>
      </c>
      <c r="D76" s="34">
        <v>100</v>
      </c>
      <c r="E76" s="34"/>
      <c r="F76" s="173"/>
      <c r="G76" s="34">
        <f t="shared" si="0"/>
        <v>0</v>
      </c>
      <c r="H76" s="63" t="e">
        <f t="shared" si="1"/>
        <v>#DIV/0!</v>
      </c>
      <c r="I76" s="38"/>
    </row>
    <row r="77" spans="1:27" ht="15.75" customHeight="1" x14ac:dyDescent="0.3">
      <c r="A77" s="172">
        <v>7092539190</v>
      </c>
      <c r="B77" s="38" t="s">
        <v>507</v>
      </c>
      <c r="C77" s="38" t="s">
        <v>508</v>
      </c>
      <c r="D77" s="34">
        <v>100</v>
      </c>
      <c r="E77" s="34">
        <v>56</v>
      </c>
      <c r="F77" s="173"/>
      <c r="G77" s="34">
        <f t="shared" si="0"/>
        <v>0</v>
      </c>
      <c r="H77" s="63">
        <f t="shared" si="1"/>
        <v>6.4285714285714288</v>
      </c>
      <c r="I77" s="3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">
      <c r="A78" s="172">
        <v>9007636190</v>
      </c>
      <c r="B78" s="38" t="s">
        <v>509</v>
      </c>
      <c r="C78" s="38" t="s">
        <v>510</v>
      </c>
      <c r="D78" s="34">
        <v>100</v>
      </c>
      <c r="E78" s="34">
        <v>42</v>
      </c>
      <c r="F78" s="173"/>
      <c r="G78" s="34">
        <f t="shared" si="0"/>
        <v>0</v>
      </c>
      <c r="H78" s="63">
        <f t="shared" si="1"/>
        <v>8.5714285714285712</v>
      </c>
      <c r="I78" s="38"/>
    </row>
    <row r="79" spans="1:27" ht="15.75" customHeight="1" x14ac:dyDescent="0.3">
      <c r="A79" s="172">
        <v>3203093190</v>
      </c>
      <c r="B79" s="38" t="s">
        <v>511</v>
      </c>
      <c r="C79" s="38" t="s">
        <v>512</v>
      </c>
      <c r="D79" s="34">
        <v>100</v>
      </c>
      <c r="E79" s="34">
        <v>56</v>
      </c>
      <c r="F79" s="173"/>
      <c r="G79" s="34">
        <f t="shared" si="0"/>
        <v>0</v>
      </c>
      <c r="H79" s="63">
        <f t="shared" si="1"/>
        <v>6.4285714285714288</v>
      </c>
      <c r="I79" s="38"/>
    </row>
    <row r="80" spans="1:27" ht="15.75" customHeight="1" x14ac:dyDescent="0.3">
      <c r="A80" s="172">
        <v>9005757190</v>
      </c>
      <c r="B80" s="38" t="s">
        <v>513</v>
      </c>
      <c r="C80" s="38" t="s">
        <v>514</v>
      </c>
      <c r="D80" s="34">
        <v>100</v>
      </c>
      <c r="E80" s="34">
        <v>56</v>
      </c>
      <c r="F80" s="173"/>
      <c r="G80" s="34">
        <f t="shared" si="0"/>
        <v>0</v>
      </c>
      <c r="H80" s="63">
        <f t="shared" si="1"/>
        <v>6.4285714285714288</v>
      </c>
      <c r="I80" s="3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">
      <c r="A81" s="172">
        <v>8928380190</v>
      </c>
      <c r="B81" s="38" t="s">
        <v>515</v>
      </c>
      <c r="C81" s="38" t="s">
        <v>516</v>
      </c>
      <c r="D81" s="34">
        <v>100</v>
      </c>
      <c r="E81" s="34">
        <v>56</v>
      </c>
      <c r="F81" s="173"/>
      <c r="G81" s="34">
        <f t="shared" si="0"/>
        <v>0</v>
      </c>
      <c r="H81" s="63">
        <f t="shared" si="1"/>
        <v>6.4285714285714288</v>
      </c>
      <c r="I81" s="38"/>
    </row>
    <row r="82" spans="1:27" ht="15.75" customHeight="1" x14ac:dyDescent="0.3">
      <c r="A82" s="172">
        <v>4618793190</v>
      </c>
      <c r="B82" s="38" t="s">
        <v>517</v>
      </c>
      <c r="C82" s="38" t="s">
        <v>518</v>
      </c>
      <c r="D82" s="34">
        <v>100</v>
      </c>
      <c r="E82" s="34">
        <v>84</v>
      </c>
      <c r="F82" s="173"/>
      <c r="G82" s="34">
        <f t="shared" si="0"/>
        <v>0</v>
      </c>
      <c r="H82" s="63">
        <f t="shared" si="1"/>
        <v>4.2857142857142856</v>
      </c>
      <c r="I82" s="3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">
      <c r="A83" s="172">
        <v>4618831190</v>
      </c>
      <c r="B83" s="38" t="s">
        <v>519</v>
      </c>
      <c r="C83" s="38" t="s">
        <v>520</v>
      </c>
      <c r="D83" s="34">
        <v>100</v>
      </c>
      <c r="E83" s="34">
        <v>84</v>
      </c>
      <c r="F83" s="173"/>
      <c r="G83" s="34">
        <f t="shared" si="0"/>
        <v>0</v>
      </c>
      <c r="H83" s="63">
        <f t="shared" si="1"/>
        <v>4.2857142857142856</v>
      </c>
      <c r="I83" s="38"/>
    </row>
    <row r="84" spans="1:27" ht="15.75" customHeight="1" x14ac:dyDescent="0.3">
      <c r="A84" s="172">
        <v>9345272190</v>
      </c>
      <c r="B84" s="38" t="s">
        <v>521</v>
      </c>
      <c r="C84" s="38" t="s">
        <v>522</v>
      </c>
      <c r="D84" s="34">
        <v>200</v>
      </c>
      <c r="E84" s="34">
        <v>56</v>
      </c>
      <c r="F84" s="173"/>
      <c r="G84" s="34">
        <f t="shared" si="0"/>
        <v>0</v>
      </c>
      <c r="H84" s="63">
        <f t="shared" si="1"/>
        <v>6.4285714285714288</v>
      </c>
      <c r="I84" s="3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">
      <c r="A85" s="172">
        <v>7126972190</v>
      </c>
      <c r="B85" s="38" t="s">
        <v>523</v>
      </c>
      <c r="C85" s="38" t="s">
        <v>524</v>
      </c>
      <c r="D85" s="34">
        <v>100</v>
      </c>
      <c r="E85" s="34">
        <v>49</v>
      </c>
      <c r="F85" s="173"/>
      <c r="G85" s="34">
        <f t="shared" si="0"/>
        <v>0</v>
      </c>
      <c r="H85" s="63">
        <f t="shared" si="1"/>
        <v>7.3469387755102042</v>
      </c>
      <c r="I85" s="38"/>
    </row>
    <row r="86" spans="1:27" ht="15.75" customHeight="1" x14ac:dyDescent="0.3">
      <c r="A86" s="172">
        <v>5109523190</v>
      </c>
      <c r="B86" s="38" t="s">
        <v>525</v>
      </c>
      <c r="C86" s="38" t="s">
        <v>526</v>
      </c>
      <c r="D86" s="34">
        <v>100</v>
      </c>
      <c r="E86" s="34">
        <v>84</v>
      </c>
      <c r="F86" s="173"/>
      <c r="G86" s="34">
        <f t="shared" si="0"/>
        <v>0</v>
      </c>
      <c r="H86" s="63">
        <f t="shared" si="1"/>
        <v>4.2857142857142856</v>
      </c>
      <c r="I86" s="3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">
      <c r="A87" s="172">
        <v>3052001190</v>
      </c>
      <c r="B87" s="38" t="s">
        <v>527</v>
      </c>
      <c r="C87" s="38" t="s">
        <v>528</v>
      </c>
      <c r="D87" s="34">
        <v>100</v>
      </c>
      <c r="E87" s="34">
        <v>49</v>
      </c>
      <c r="F87" s="173"/>
      <c r="G87" s="34">
        <f t="shared" si="0"/>
        <v>0</v>
      </c>
      <c r="H87" s="63">
        <f t="shared" si="1"/>
        <v>7.3469387755102042</v>
      </c>
      <c r="I87" s="3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">
      <c r="A88" s="172">
        <v>9014977190</v>
      </c>
      <c r="B88" s="38" t="s">
        <v>529</v>
      </c>
      <c r="C88" s="38" t="s">
        <v>530</v>
      </c>
      <c r="D88" s="34">
        <v>100</v>
      </c>
      <c r="E88" s="34">
        <v>28</v>
      </c>
      <c r="F88" s="173"/>
      <c r="G88" s="34">
        <f t="shared" si="0"/>
        <v>0</v>
      </c>
      <c r="H88" s="63">
        <f t="shared" si="1"/>
        <v>12.857142857142858</v>
      </c>
      <c r="I88" s="3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">
      <c r="A89" s="172">
        <v>9007725190</v>
      </c>
      <c r="B89" s="38" t="s">
        <v>531</v>
      </c>
      <c r="C89" s="38" t="s">
        <v>532</v>
      </c>
      <c r="D89" s="34">
        <v>200</v>
      </c>
      <c r="E89" s="34">
        <v>56</v>
      </c>
      <c r="F89" s="173"/>
      <c r="G89" s="34">
        <f t="shared" si="0"/>
        <v>0</v>
      </c>
      <c r="H89" s="63">
        <f t="shared" si="1"/>
        <v>6.4285714285714288</v>
      </c>
      <c r="I89" s="38"/>
    </row>
    <row r="90" spans="1:27" ht="15.75" customHeight="1" x14ac:dyDescent="0.3">
      <c r="A90" s="172">
        <v>9007741190</v>
      </c>
      <c r="B90" s="38" t="s">
        <v>533</v>
      </c>
      <c r="C90" s="38" t="s">
        <v>534</v>
      </c>
      <c r="D90" s="34">
        <v>200</v>
      </c>
      <c r="E90" s="34">
        <v>56</v>
      </c>
      <c r="F90" s="173"/>
      <c r="G90" s="34">
        <f t="shared" si="0"/>
        <v>0</v>
      </c>
      <c r="H90" s="63">
        <f t="shared" si="1"/>
        <v>6.4285714285714288</v>
      </c>
      <c r="I90" s="38"/>
    </row>
    <row r="91" spans="1:27" ht="15.75" customHeight="1" x14ac:dyDescent="0.3">
      <c r="A91" s="172">
        <v>8946353190</v>
      </c>
      <c r="B91" s="38" t="s">
        <v>535</v>
      </c>
      <c r="C91" s="38" t="s">
        <v>536</v>
      </c>
      <c r="D91" s="34">
        <v>100</v>
      </c>
      <c r="E91" s="34">
        <v>56</v>
      </c>
      <c r="F91" s="173"/>
      <c r="G91" s="34">
        <f t="shared" si="0"/>
        <v>0</v>
      </c>
      <c r="H91" s="63">
        <f t="shared" si="1"/>
        <v>6.4285714285714288</v>
      </c>
      <c r="I91" s="38"/>
    </row>
    <row r="92" spans="1:27" ht="15.75" customHeight="1" x14ac:dyDescent="0.3">
      <c r="A92" s="172">
        <v>8906556190</v>
      </c>
      <c r="B92" s="38" t="s">
        <v>537</v>
      </c>
      <c r="C92" s="38" t="s">
        <v>538</v>
      </c>
      <c r="D92" s="34">
        <v>100</v>
      </c>
      <c r="E92" s="34">
        <v>28</v>
      </c>
      <c r="F92" s="173"/>
      <c r="G92" s="34">
        <f t="shared" si="0"/>
        <v>0</v>
      </c>
      <c r="H92" s="63">
        <f t="shared" si="1"/>
        <v>12.857142857142858</v>
      </c>
      <c r="I92" s="38"/>
    </row>
    <row r="93" spans="1:27" ht="15.75" customHeight="1" x14ac:dyDescent="0.3">
      <c r="A93" s="172">
        <v>8791686190</v>
      </c>
      <c r="B93" s="38" t="s">
        <v>539</v>
      </c>
      <c r="C93" s="38" t="s">
        <v>540</v>
      </c>
      <c r="D93" s="34">
        <v>100</v>
      </c>
      <c r="E93" s="34">
        <v>56</v>
      </c>
      <c r="F93" s="173"/>
      <c r="G93" s="34">
        <f t="shared" si="0"/>
        <v>0</v>
      </c>
      <c r="H93" s="63">
        <f t="shared" si="1"/>
        <v>6.4285714285714288</v>
      </c>
      <c r="I93" s="38"/>
    </row>
    <row r="94" spans="1:27" ht="15.75" customHeight="1" x14ac:dyDescent="0.3">
      <c r="A94" s="172">
        <v>5802571190</v>
      </c>
      <c r="B94" s="38" t="s">
        <v>541</v>
      </c>
      <c r="C94" s="38" t="s">
        <v>542</v>
      </c>
      <c r="D94" s="34">
        <v>100</v>
      </c>
      <c r="E94" s="34">
        <v>84</v>
      </c>
      <c r="F94" s="173"/>
      <c r="G94" s="34">
        <f t="shared" si="0"/>
        <v>0</v>
      </c>
      <c r="H94" s="63">
        <f t="shared" si="1"/>
        <v>4.2857142857142856</v>
      </c>
      <c r="I94" s="38"/>
    </row>
    <row r="95" spans="1:27" ht="15.75" customHeight="1" x14ac:dyDescent="0.3">
      <c r="A95" s="172">
        <v>4618815190</v>
      </c>
      <c r="B95" s="38" t="s">
        <v>543</v>
      </c>
      <c r="C95" s="38" t="s">
        <v>544</v>
      </c>
      <c r="D95" s="34">
        <v>100</v>
      </c>
      <c r="E95" s="34">
        <v>84</v>
      </c>
      <c r="F95" s="173"/>
      <c r="G95" s="34">
        <f t="shared" si="0"/>
        <v>0</v>
      </c>
      <c r="H95" s="63">
        <f t="shared" si="1"/>
        <v>4.2857142857142856</v>
      </c>
      <c r="I95" s="3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">
      <c r="A96" s="172">
        <v>4618858190</v>
      </c>
      <c r="B96" s="38" t="s">
        <v>545</v>
      </c>
      <c r="C96" s="38" t="s">
        <v>546</v>
      </c>
      <c r="D96" s="34">
        <v>100</v>
      </c>
      <c r="E96" s="34">
        <v>84</v>
      </c>
      <c r="F96" s="173"/>
      <c r="G96" s="34">
        <f t="shared" si="0"/>
        <v>0</v>
      </c>
      <c r="H96" s="63">
        <f t="shared" si="1"/>
        <v>4.2857142857142856</v>
      </c>
      <c r="I96" s="3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">
      <c r="A97" s="172">
        <v>5094798190</v>
      </c>
      <c r="B97" s="38" t="s">
        <v>547</v>
      </c>
      <c r="C97" s="38" t="s">
        <v>548</v>
      </c>
      <c r="D97" s="34">
        <v>100</v>
      </c>
      <c r="E97" s="34">
        <v>14</v>
      </c>
      <c r="F97" s="173"/>
      <c r="G97" s="34">
        <f t="shared" si="0"/>
        <v>0</v>
      </c>
      <c r="H97" s="63">
        <f t="shared" si="1"/>
        <v>25.714285714285715</v>
      </c>
      <c r="I97" s="3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">
      <c r="A98" s="172">
        <v>9315322190</v>
      </c>
      <c r="B98" s="38" t="s">
        <v>549</v>
      </c>
      <c r="C98" s="38" t="s">
        <v>550</v>
      </c>
      <c r="D98" s="34">
        <v>200</v>
      </c>
      <c r="E98" s="34">
        <v>28</v>
      </c>
      <c r="F98" s="173"/>
      <c r="G98" s="34">
        <f t="shared" si="0"/>
        <v>0</v>
      </c>
      <c r="H98" s="63">
        <f t="shared" si="1"/>
        <v>12.857142857142858</v>
      </c>
      <c r="I98" s="3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">
      <c r="A99" s="172">
        <v>9315349190</v>
      </c>
      <c r="B99" s="38" t="s">
        <v>551</v>
      </c>
      <c r="C99" s="38" t="s">
        <v>552</v>
      </c>
      <c r="D99" s="34">
        <v>100</v>
      </c>
      <c r="E99" s="34">
        <v>28</v>
      </c>
      <c r="F99" s="173"/>
      <c r="G99" s="34">
        <f t="shared" si="0"/>
        <v>0</v>
      </c>
      <c r="H99" s="63">
        <f t="shared" si="1"/>
        <v>12.857142857142858</v>
      </c>
      <c r="I99" s="38"/>
    </row>
    <row r="100" spans="1:27" ht="15.75" customHeight="1" x14ac:dyDescent="0.3">
      <c r="A100" s="172">
        <v>8429324190</v>
      </c>
      <c r="B100" s="38" t="s">
        <v>553</v>
      </c>
      <c r="C100" s="38" t="s">
        <v>554</v>
      </c>
      <c r="D100" s="34">
        <v>200</v>
      </c>
      <c r="E100" s="34">
        <v>56</v>
      </c>
      <c r="F100" s="173"/>
      <c r="G100" s="34">
        <f t="shared" si="0"/>
        <v>0</v>
      </c>
      <c r="H100" s="63">
        <f t="shared" si="1"/>
        <v>6.4285714285714288</v>
      </c>
      <c r="I100" s="3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">
      <c r="A101" s="172">
        <v>7212771190</v>
      </c>
      <c r="B101" s="38" t="s">
        <v>555</v>
      </c>
      <c r="C101" s="38" t="s">
        <v>556</v>
      </c>
      <c r="D101" s="34">
        <v>100</v>
      </c>
      <c r="E101" s="34">
        <v>60</v>
      </c>
      <c r="F101" s="173"/>
      <c r="G101" s="34">
        <f t="shared" si="0"/>
        <v>0</v>
      </c>
      <c r="H101" s="63">
        <f t="shared" si="1"/>
        <v>6</v>
      </c>
      <c r="I101" s="38"/>
    </row>
    <row r="102" spans="1:27" ht="15.75" customHeight="1" x14ac:dyDescent="0.3">
      <c r="A102" s="172">
        <v>9038078190</v>
      </c>
      <c r="B102" s="38" t="s">
        <v>557</v>
      </c>
      <c r="C102" s="38" t="s">
        <v>558</v>
      </c>
      <c r="D102" s="34">
        <v>100</v>
      </c>
      <c r="E102" s="34">
        <v>28</v>
      </c>
      <c r="F102" s="173"/>
      <c r="G102" s="34">
        <f t="shared" si="0"/>
        <v>0</v>
      </c>
      <c r="H102" s="63">
        <f t="shared" si="1"/>
        <v>12.857142857142858</v>
      </c>
      <c r="I102" s="3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">
      <c r="A103" s="278" t="s">
        <v>208</v>
      </c>
      <c r="B103" s="279"/>
      <c r="C103" s="279"/>
      <c r="D103" s="279"/>
      <c r="E103" s="277"/>
      <c r="F103" s="175">
        <f>SUM(F9:F102)</f>
        <v>0</v>
      </c>
      <c r="G103" s="175"/>
      <c r="H103" s="176"/>
      <c r="I103" s="177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">
      <c r="A104" s="178" t="s">
        <v>304</v>
      </c>
      <c r="B104" s="178"/>
      <c r="C104" s="178"/>
      <c r="D104" s="178" t="s">
        <v>324</v>
      </c>
      <c r="E104" s="178" t="s">
        <v>559</v>
      </c>
      <c r="F104" s="179"/>
      <c r="G104" s="179" t="s">
        <v>138</v>
      </c>
      <c r="H104" s="180" t="s">
        <v>139</v>
      </c>
      <c r="I104" s="179" t="s">
        <v>140</v>
      </c>
    </row>
    <row r="105" spans="1:27" ht="15.75" customHeight="1" x14ac:dyDescent="0.3">
      <c r="A105" s="172">
        <v>8959820190</v>
      </c>
      <c r="B105" s="38" t="s">
        <v>560</v>
      </c>
      <c r="C105" s="34" t="s">
        <v>561</v>
      </c>
      <c r="D105" s="34">
        <v>2</v>
      </c>
      <c r="E105" s="34">
        <v>28</v>
      </c>
      <c r="F105" s="34"/>
      <c r="G105" s="34"/>
      <c r="H105" s="63">
        <f t="shared" ref="H105:H168" si="2">(360/E105)/D105</f>
        <v>6.4285714285714288</v>
      </c>
      <c r="I105" s="3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">
      <c r="A106" s="172">
        <v>9227261190</v>
      </c>
      <c r="B106" s="38" t="s">
        <v>562</v>
      </c>
      <c r="C106" s="34" t="s">
        <v>561</v>
      </c>
      <c r="D106" s="34">
        <v>2</v>
      </c>
      <c r="E106" s="34">
        <v>84</v>
      </c>
      <c r="F106" s="34"/>
      <c r="G106" s="34"/>
      <c r="H106" s="63">
        <f t="shared" si="2"/>
        <v>2.1428571428571428</v>
      </c>
      <c r="I106" s="38"/>
    </row>
    <row r="107" spans="1:27" ht="15.75" customHeight="1" x14ac:dyDescent="0.3">
      <c r="A107" s="172">
        <v>7957203190</v>
      </c>
      <c r="B107" s="38" t="s">
        <v>563</v>
      </c>
      <c r="C107" s="34" t="s">
        <v>561</v>
      </c>
      <c r="D107" s="34">
        <v>2</v>
      </c>
      <c r="E107" s="34">
        <v>28</v>
      </c>
      <c r="F107" s="34"/>
      <c r="G107" s="34"/>
      <c r="H107" s="63">
        <f t="shared" si="2"/>
        <v>6.4285714285714288</v>
      </c>
      <c r="I107" s="3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">
      <c r="A108" s="172">
        <v>9289291190</v>
      </c>
      <c r="B108" s="38" t="s">
        <v>564</v>
      </c>
      <c r="C108" s="34" t="s">
        <v>561</v>
      </c>
      <c r="D108" s="34">
        <v>2</v>
      </c>
      <c r="E108" s="34">
        <v>42</v>
      </c>
      <c r="F108" s="34"/>
      <c r="G108" s="34"/>
      <c r="H108" s="63">
        <f t="shared" si="2"/>
        <v>4.2857142857142856</v>
      </c>
      <c r="I108" s="3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">
      <c r="A109" s="172">
        <v>9005030190</v>
      </c>
      <c r="B109" s="38" t="s">
        <v>565</v>
      </c>
      <c r="C109" s="34" t="s">
        <v>561</v>
      </c>
      <c r="D109" s="34">
        <v>2</v>
      </c>
      <c r="E109" s="34">
        <v>42</v>
      </c>
      <c r="F109" s="34"/>
      <c r="G109" s="34"/>
      <c r="H109" s="63">
        <f t="shared" si="2"/>
        <v>4.2857142857142856</v>
      </c>
      <c r="I109" s="3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">
      <c r="A110" s="172">
        <v>6472931190</v>
      </c>
      <c r="B110" s="61" t="s">
        <v>566</v>
      </c>
      <c r="C110" s="34" t="s">
        <v>561</v>
      </c>
      <c r="D110" s="34">
        <v>2</v>
      </c>
      <c r="E110" s="34">
        <v>56</v>
      </c>
      <c r="F110" s="34"/>
      <c r="G110" s="34"/>
      <c r="H110" s="63">
        <f t="shared" si="2"/>
        <v>3.2142857142857144</v>
      </c>
      <c r="I110" s="3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">
      <c r="A111" s="172">
        <v>8496641190</v>
      </c>
      <c r="B111" s="38" t="s">
        <v>567</v>
      </c>
      <c r="C111" s="34" t="s">
        <v>561</v>
      </c>
      <c r="D111" s="34">
        <v>2</v>
      </c>
      <c r="E111" s="34">
        <v>84</v>
      </c>
      <c r="F111" s="34"/>
      <c r="G111" s="34"/>
      <c r="H111" s="63">
        <f t="shared" si="2"/>
        <v>2.1428571428571428</v>
      </c>
      <c r="I111" s="3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">
      <c r="A112" s="172">
        <v>11972316122</v>
      </c>
      <c r="B112" s="38" t="s">
        <v>568</v>
      </c>
      <c r="C112" s="34" t="s">
        <v>561</v>
      </c>
      <c r="D112" s="34">
        <v>2</v>
      </c>
      <c r="E112" s="34">
        <v>84</v>
      </c>
      <c r="F112" s="34"/>
      <c r="G112" s="34"/>
      <c r="H112" s="63">
        <f t="shared" si="2"/>
        <v>2.1428571428571428</v>
      </c>
      <c r="I112" s="3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">
      <c r="A113" s="172">
        <v>7030207190</v>
      </c>
      <c r="B113" s="38" t="s">
        <v>569</v>
      </c>
      <c r="C113" s="34" t="s">
        <v>561</v>
      </c>
      <c r="D113" s="34">
        <v>2</v>
      </c>
      <c r="E113" s="34">
        <v>140</v>
      </c>
      <c r="F113" s="34"/>
      <c r="G113" s="34"/>
      <c r="H113" s="63">
        <f t="shared" si="2"/>
        <v>1.2857142857142858</v>
      </c>
      <c r="I113" s="3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">
      <c r="A114" s="172">
        <v>3045846122</v>
      </c>
      <c r="B114" s="38" t="s">
        <v>570</v>
      </c>
      <c r="C114" s="34" t="s">
        <v>561</v>
      </c>
      <c r="D114" s="34">
        <v>2</v>
      </c>
      <c r="E114" s="34">
        <v>84</v>
      </c>
      <c r="F114" s="34"/>
      <c r="G114" s="34"/>
      <c r="H114" s="63">
        <f t="shared" si="2"/>
        <v>2.1428571428571428</v>
      </c>
      <c r="I114" s="3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">
      <c r="A115" s="172">
        <v>11776215122</v>
      </c>
      <c r="B115" s="38" t="s">
        <v>571</v>
      </c>
      <c r="C115" s="34" t="s">
        <v>561</v>
      </c>
      <c r="D115" s="34">
        <v>2</v>
      </c>
      <c r="E115" s="34">
        <v>56</v>
      </c>
      <c r="F115" s="34"/>
      <c r="G115" s="34"/>
      <c r="H115" s="63">
        <f t="shared" si="2"/>
        <v>3.2142857142857144</v>
      </c>
      <c r="I115" s="3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">
      <c r="A116" s="172">
        <v>9175130190</v>
      </c>
      <c r="B116" s="38" t="s">
        <v>572</v>
      </c>
      <c r="C116" s="34" t="s">
        <v>561</v>
      </c>
      <c r="D116" s="34">
        <v>2</v>
      </c>
      <c r="E116" s="34">
        <v>42</v>
      </c>
      <c r="F116" s="34"/>
      <c r="G116" s="34"/>
      <c r="H116" s="63">
        <f t="shared" si="2"/>
        <v>4.2857142857142856</v>
      </c>
      <c r="I116" s="3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">
      <c r="A117" s="172">
        <v>11731645322</v>
      </c>
      <c r="B117" s="38" t="s">
        <v>573</v>
      </c>
      <c r="C117" s="34" t="s">
        <v>561</v>
      </c>
      <c r="D117" s="34">
        <v>2</v>
      </c>
      <c r="E117" s="34">
        <v>84</v>
      </c>
      <c r="F117" s="34"/>
      <c r="G117" s="34"/>
      <c r="H117" s="63">
        <f t="shared" si="2"/>
        <v>2.1428571428571428</v>
      </c>
      <c r="I117" s="3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">
      <c r="A118" s="172" t="s">
        <v>574</v>
      </c>
      <c r="B118" s="38" t="s">
        <v>575</v>
      </c>
      <c r="C118" s="34" t="s">
        <v>561</v>
      </c>
      <c r="D118" s="34">
        <v>2</v>
      </c>
      <c r="E118" s="34">
        <v>84</v>
      </c>
      <c r="F118" s="34"/>
      <c r="G118" s="34"/>
      <c r="H118" s="63">
        <f t="shared" si="2"/>
        <v>2.1428571428571428</v>
      </c>
      <c r="I118" s="3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">
      <c r="A119" s="172">
        <v>6687750190</v>
      </c>
      <c r="B119" s="38" t="s">
        <v>576</v>
      </c>
      <c r="C119" s="34" t="s">
        <v>561</v>
      </c>
      <c r="D119" s="34">
        <v>2</v>
      </c>
      <c r="E119" s="34">
        <v>84</v>
      </c>
      <c r="F119" s="34"/>
      <c r="G119" s="34"/>
      <c r="H119" s="63">
        <f t="shared" si="2"/>
        <v>2.1428571428571428</v>
      </c>
      <c r="I119" s="3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">
      <c r="A120" s="172">
        <v>3184919190</v>
      </c>
      <c r="B120" s="38" t="s">
        <v>577</v>
      </c>
      <c r="C120" s="34" t="s">
        <v>561</v>
      </c>
      <c r="D120" s="34">
        <v>2</v>
      </c>
      <c r="E120" s="34">
        <v>28</v>
      </c>
      <c r="F120" s="34"/>
      <c r="G120" s="34"/>
      <c r="H120" s="63">
        <f t="shared" si="2"/>
        <v>6.4285714285714288</v>
      </c>
      <c r="I120" s="3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">
      <c r="A121" s="172">
        <v>11820974322</v>
      </c>
      <c r="B121" s="38" t="s">
        <v>578</v>
      </c>
      <c r="C121" s="34" t="s">
        <v>561</v>
      </c>
      <c r="D121" s="34">
        <v>2</v>
      </c>
      <c r="E121" s="34">
        <v>56</v>
      </c>
      <c r="F121" s="34"/>
      <c r="G121" s="34"/>
      <c r="H121" s="63">
        <f t="shared" si="2"/>
        <v>3.2142857142857144</v>
      </c>
      <c r="I121" s="3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">
      <c r="A122" s="172">
        <v>3000095122</v>
      </c>
      <c r="B122" s="38" t="s">
        <v>579</v>
      </c>
      <c r="C122" s="34" t="s">
        <v>561</v>
      </c>
      <c r="D122" s="34">
        <v>2</v>
      </c>
      <c r="E122" s="34">
        <v>84</v>
      </c>
      <c r="F122" s="34"/>
      <c r="G122" s="34"/>
      <c r="H122" s="63">
        <f t="shared" si="2"/>
        <v>2.1428571428571428</v>
      </c>
      <c r="I122" s="3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">
      <c r="A123" s="172">
        <v>11820907322</v>
      </c>
      <c r="B123" s="38" t="s">
        <v>580</v>
      </c>
      <c r="C123" s="34" t="s">
        <v>561</v>
      </c>
      <c r="D123" s="34">
        <v>2</v>
      </c>
      <c r="E123" s="34">
        <v>56</v>
      </c>
      <c r="F123" s="34"/>
      <c r="G123" s="34"/>
      <c r="H123" s="63">
        <f t="shared" si="2"/>
        <v>3.2142857142857144</v>
      </c>
      <c r="I123" s="3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">
      <c r="A124" s="172">
        <v>6656048190</v>
      </c>
      <c r="B124" s="61" t="s">
        <v>581</v>
      </c>
      <c r="C124" s="34" t="s">
        <v>561</v>
      </c>
      <c r="D124" s="34">
        <v>2</v>
      </c>
      <c r="E124" s="34">
        <v>31</v>
      </c>
      <c r="F124" s="34"/>
      <c r="G124" s="34"/>
      <c r="H124" s="63">
        <f t="shared" si="2"/>
        <v>5.806451612903226</v>
      </c>
      <c r="I124" s="3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">
      <c r="A125" s="172">
        <v>3737586190</v>
      </c>
      <c r="B125" s="38" t="s">
        <v>582</v>
      </c>
      <c r="C125" s="34" t="s">
        <v>561</v>
      </c>
      <c r="D125" s="34">
        <v>2</v>
      </c>
      <c r="E125" s="34">
        <v>84</v>
      </c>
      <c r="F125" s="34"/>
      <c r="G125" s="34"/>
      <c r="H125" s="63">
        <f t="shared" si="2"/>
        <v>2.1428571428571428</v>
      </c>
      <c r="I125" s="3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">
      <c r="A126" s="172">
        <v>7560001190</v>
      </c>
      <c r="B126" s="38" t="s">
        <v>583</v>
      </c>
      <c r="C126" s="34" t="s">
        <v>561</v>
      </c>
      <c r="D126" s="34">
        <v>2</v>
      </c>
      <c r="E126" s="34">
        <v>84</v>
      </c>
      <c r="F126" s="34"/>
      <c r="G126" s="34"/>
      <c r="H126" s="63">
        <f t="shared" si="2"/>
        <v>2.1428571428571428</v>
      </c>
      <c r="I126" s="3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">
      <c r="A127" s="172">
        <v>4854080200</v>
      </c>
      <c r="B127" s="38" t="s">
        <v>584</v>
      </c>
      <c r="C127" s="34" t="s">
        <v>561</v>
      </c>
      <c r="D127" s="34">
        <v>2</v>
      </c>
      <c r="E127" s="34">
        <v>84</v>
      </c>
      <c r="F127" s="34"/>
      <c r="G127" s="34"/>
      <c r="H127" s="63">
        <f t="shared" si="2"/>
        <v>2.1428571428571428</v>
      </c>
      <c r="I127" s="3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">
      <c r="A128" s="172">
        <v>8851964190</v>
      </c>
      <c r="B128" s="38" t="s">
        <v>585</v>
      </c>
      <c r="C128" s="34" t="s">
        <v>561</v>
      </c>
      <c r="D128" s="34">
        <v>2</v>
      </c>
      <c r="E128" s="34">
        <v>84</v>
      </c>
      <c r="F128" s="34"/>
      <c r="G128" s="34"/>
      <c r="H128" s="63">
        <f t="shared" si="2"/>
        <v>2.1428571428571428</v>
      </c>
      <c r="I128" s="3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">
      <c r="A129" s="172">
        <v>9557440190</v>
      </c>
      <c r="B129" s="38" t="s">
        <v>586</v>
      </c>
      <c r="C129" s="34" t="s">
        <v>561</v>
      </c>
      <c r="D129" s="34">
        <v>2</v>
      </c>
      <c r="E129" s="34">
        <v>84</v>
      </c>
      <c r="F129" s="34"/>
      <c r="G129" s="34"/>
      <c r="H129" s="63">
        <f t="shared" si="2"/>
        <v>2.1428571428571428</v>
      </c>
      <c r="I129" s="3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">
      <c r="A130" s="181">
        <v>9077871190</v>
      </c>
      <c r="B130" s="38" t="s">
        <v>587</v>
      </c>
      <c r="C130" s="34" t="s">
        <v>561</v>
      </c>
      <c r="D130" s="34">
        <v>2</v>
      </c>
      <c r="E130" s="34">
        <v>56</v>
      </c>
      <c r="F130" s="34"/>
      <c r="G130" s="34"/>
      <c r="H130" s="63">
        <f t="shared" si="2"/>
        <v>3.2142857142857144</v>
      </c>
      <c r="I130" s="3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">
      <c r="A131" s="172">
        <v>9043292190</v>
      </c>
      <c r="B131" s="38" t="s">
        <v>588</v>
      </c>
      <c r="C131" s="34" t="s">
        <v>561</v>
      </c>
      <c r="D131" s="34">
        <v>2</v>
      </c>
      <c r="E131" s="34">
        <v>84</v>
      </c>
      <c r="F131" s="34"/>
      <c r="G131" s="34"/>
      <c r="H131" s="63">
        <f t="shared" si="2"/>
        <v>2.1428571428571428</v>
      </c>
      <c r="I131" s="3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">
      <c r="A132" s="172" t="s">
        <v>589</v>
      </c>
      <c r="B132" s="38" t="s">
        <v>590</v>
      </c>
      <c r="C132" s="34" t="s">
        <v>561</v>
      </c>
      <c r="D132" s="34">
        <v>2</v>
      </c>
      <c r="E132" s="34">
        <v>56</v>
      </c>
      <c r="F132" s="34"/>
      <c r="G132" s="34"/>
      <c r="H132" s="63">
        <f t="shared" si="2"/>
        <v>3.2142857142857144</v>
      </c>
      <c r="I132" s="3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">
      <c r="A133" s="172">
        <v>9013296190</v>
      </c>
      <c r="B133" s="38" t="s">
        <v>591</v>
      </c>
      <c r="C133" s="34" t="s">
        <v>561</v>
      </c>
      <c r="D133" s="34">
        <v>2</v>
      </c>
      <c r="E133" s="34">
        <v>84</v>
      </c>
      <c r="F133" s="34"/>
      <c r="G133" s="34"/>
      <c r="H133" s="63">
        <f t="shared" si="2"/>
        <v>2.1428571428571428</v>
      </c>
      <c r="I133" s="3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">
      <c r="A134" s="172">
        <v>3302652190</v>
      </c>
      <c r="B134" s="38" t="s">
        <v>592</v>
      </c>
      <c r="C134" s="34" t="s">
        <v>561</v>
      </c>
      <c r="D134" s="34">
        <v>2</v>
      </c>
      <c r="E134" s="34">
        <v>84</v>
      </c>
      <c r="F134" s="34"/>
      <c r="G134" s="34"/>
      <c r="H134" s="63">
        <f t="shared" si="2"/>
        <v>2.1428571428571428</v>
      </c>
      <c r="I134" s="3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">
      <c r="A135" s="172" t="s">
        <v>593</v>
      </c>
      <c r="B135" s="38" t="s">
        <v>594</v>
      </c>
      <c r="C135" s="34" t="s">
        <v>561</v>
      </c>
      <c r="D135" s="34">
        <v>2</v>
      </c>
      <c r="E135" s="34">
        <v>56</v>
      </c>
      <c r="F135" s="34"/>
      <c r="G135" s="34"/>
      <c r="H135" s="63">
        <f t="shared" si="2"/>
        <v>3.2142857142857144</v>
      </c>
      <c r="I135" s="3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">
      <c r="A136" s="172" t="s">
        <v>595</v>
      </c>
      <c r="B136" s="38" t="s">
        <v>596</v>
      </c>
      <c r="C136" s="34" t="s">
        <v>561</v>
      </c>
      <c r="D136" s="34">
        <v>2</v>
      </c>
      <c r="E136" s="34">
        <v>28</v>
      </c>
      <c r="F136" s="34"/>
      <c r="G136" s="34"/>
      <c r="H136" s="63">
        <f t="shared" si="2"/>
        <v>6.4285714285714288</v>
      </c>
      <c r="I136" s="3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">
      <c r="A137" s="172">
        <v>11930427122</v>
      </c>
      <c r="B137" s="38" t="s">
        <v>597</v>
      </c>
      <c r="C137" s="34" t="s">
        <v>561</v>
      </c>
      <c r="D137" s="34">
        <v>2</v>
      </c>
      <c r="E137" s="34">
        <v>84</v>
      </c>
      <c r="F137" s="34"/>
      <c r="G137" s="34"/>
      <c r="H137" s="63">
        <f t="shared" si="2"/>
        <v>2.1428571428571428</v>
      </c>
      <c r="I137" s="3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">
      <c r="A138" s="172">
        <v>7475969190</v>
      </c>
      <c r="B138" s="38" t="s">
        <v>598</v>
      </c>
      <c r="C138" s="34" t="s">
        <v>561</v>
      </c>
      <c r="D138" s="34">
        <v>2</v>
      </c>
      <c r="E138" s="34">
        <v>31</v>
      </c>
      <c r="F138" s="34"/>
      <c r="G138" s="34"/>
      <c r="H138" s="63">
        <f t="shared" si="2"/>
        <v>5.806451612903226</v>
      </c>
      <c r="I138" s="3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">
      <c r="A139" s="172">
        <v>7574762190</v>
      </c>
      <c r="B139" s="38" t="s">
        <v>599</v>
      </c>
      <c r="C139" s="34" t="s">
        <v>561</v>
      </c>
      <c r="D139" s="34">
        <v>2</v>
      </c>
      <c r="E139" s="34">
        <v>84</v>
      </c>
      <c r="F139" s="34"/>
      <c r="G139" s="34"/>
      <c r="H139" s="63">
        <f t="shared" si="2"/>
        <v>2.1428571428571428</v>
      </c>
      <c r="I139" s="3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">
      <c r="A140" s="172">
        <v>5109469190</v>
      </c>
      <c r="B140" s="38" t="s">
        <v>600</v>
      </c>
      <c r="C140" s="34" t="s">
        <v>561</v>
      </c>
      <c r="D140" s="34">
        <v>2</v>
      </c>
      <c r="E140" s="34">
        <v>84</v>
      </c>
      <c r="F140" s="34"/>
      <c r="G140" s="34"/>
      <c r="H140" s="63">
        <f t="shared" si="2"/>
        <v>2.1428571428571428</v>
      </c>
      <c r="I140" s="3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">
      <c r="A141" s="172">
        <v>12017504122</v>
      </c>
      <c r="B141" s="38" t="s">
        <v>601</v>
      </c>
      <c r="C141" s="34" t="s">
        <v>561</v>
      </c>
      <c r="D141" s="34">
        <v>2</v>
      </c>
      <c r="E141" s="34">
        <v>84</v>
      </c>
      <c r="F141" s="34"/>
      <c r="G141" s="34"/>
      <c r="H141" s="63">
        <f t="shared" si="2"/>
        <v>2.1428571428571428</v>
      </c>
      <c r="I141" s="3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">
      <c r="A142" s="172">
        <v>9557423190</v>
      </c>
      <c r="B142" s="61" t="s">
        <v>602</v>
      </c>
      <c r="C142" s="34" t="s">
        <v>561</v>
      </c>
      <c r="D142" s="34">
        <v>2</v>
      </c>
      <c r="E142" s="34">
        <v>84</v>
      </c>
      <c r="F142" s="34"/>
      <c r="G142" s="34"/>
      <c r="H142" s="63">
        <f t="shared" si="2"/>
        <v>2.1428571428571428</v>
      </c>
      <c r="I142" s="3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">
      <c r="A143" s="172">
        <v>11820893122</v>
      </c>
      <c r="B143" s="38" t="s">
        <v>603</v>
      </c>
      <c r="C143" s="34" t="s">
        <v>561</v>
      </c>
      <c r="D143" s="34">
        <v>2</v>
      </c>
      <c r="E143" s="34">
        <v>84</v>
      </c>
      <c r="F143" s="34"/>
      <c r="G143" s="34"/>
      <c r="H143" s="63">
        <f t="shared" si="2"/>
        <v>2.1428571428571428</v>
      </c>
      <c r="I143" s="3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">
      <c r="A144" s="172">
        <v>11972111122</v>
      </c>
      <c r="B144" s="38" t="s">
        <v>604</v>
      </c>
      <c r="C144" s="34" t="s">
        <v>561</v>
      </c>
      <c r="D144" s="34">
        <v>2</v>
      </c>
      <c r="E144" s="34">
        <v>84</v>
      </c>
      <c r="F144" s="34"/>
      <c r="G144" s="34"/>
      <c r="H144" s="63">
        <f t="shared" si="2"/>
        <v>2.1428571428571428</v>
      </c>
      <c r="I144" s="3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">
      <c r="A145" s="172">
        <v>12133121122</v>
      </c>
      <c r="B145" s="38" t="s">
        <v>605</v>
      </c>
      <c r="C145" s="34" t="s">
        <v>561</v>
      </c>
      <c r="D145" s="34">
        <v>2</v>
      </c>
      <c r="E145" s="34">
        <v>42</v>
      </c>
      <c r="F145" s="34"/>
      <c r="G145" s="34"/>
      <c r="H145" s="63">
        <f t="shared" si="2"/>
        <v>4.2857142857142856</v>
      </c>
      <c r="I145" s="3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">
      <c r="A146" s="172">
        <v>4854101200</v>
      </c>
      <c r="B146" s="38" t="s">
        <v>606</v>
      </c>
      <c r="C146" s="34" t="s">
        <v>561</v>
      </c>
      <c r="D146" s="34">
        <v>2</v>
      </c>
      <c r="E146" s="34">
        <v>84</v>
      </c>
      <c r="F146" s="34"/>
      <c r="G146" s="34"/>
      <c r="H146" s="63">
        <f t="shared" si="2"/>
        <v>2.1428571428571428</v>
      </c>
      <c r="I146" s="3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">
      <c r="A147" s="172">
        <v>5144701190</v>
      </c>
      <c r="B147" s="38" t="s">
        <v>607</v>
      </c>
      <c r="C147" s="34" t="s">
        <v>561</v>
      </c>
      <c r="D147" s="34">
        <v>2</v>
      </c>
      <c r="E147" s="34">
        <v>28</v>
      </c>
      <c r="F147" s="34"/>
      <c r="G147" s="34"/>
      <c r="H147" s="63">
        <f t="shared" si="2"/>
        <v>6.4285714285714288</v>
      </c>
      <c r="I147" s="3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">
      <c r="A148" s="172">
        <v>9315292190</v>
      </c>
      <c r="B148" s="38" t="s">
        <v>608</v>
      </c>
      <c r="C148" s="34" t="s">
        <v>561</v>
      </c>
      <c r="D148" s="34">
        <v>2</v>
      </c>
      <c r="E148" s="34">
        <v>84</v>
      </c>
      <c r="F148" s="34"/>
      <c r="G148" s="34"/>
      <c r="H148" s="63">
        <f t="shared" si="2"/>
        <v>2.1428571428571428</v>
      </c>
      <c r="I148" s="3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">
      <c r="A149" s="172">
        <v>9315276190</v>
      </c>
      <c r="B149" s="38" t="s">
        <v>609</v>
      </c>
      <c r="C149" s="34" t="s">
        <v>561</v>
      </c>
      <c r="D149" s="34">
        <v>2</v>
      </c>
      <c r="E149" s="34"/>
      <c r="F149" s="34"/>
      <c r="G149" s="34"/>
      <c r="H149" s="63" t="e">
        <f t="shared" si="2"/>
        <v>#DIV/0!</v>
      </c>
      <c r="I149" s="3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">
      <c r="A150" s="172">
        <v>7092547190</v>
      </c>
      <c r="B150" s="38" t="s">
        <v>610</v>
      </c>
      <c r="C150" s="34" t="s">
        <v>561</v>
      </c>
      <c r="D150" s="34">
        <v>2</v>
      </c>
      <c r="E150" s="34">
        <v>31</v>
      </c>
      <c r="F150" s="34"/>
      <c r="G150" s="34"/>
      <c r="H150" s="63">
        <f t="shared" si="2"/>
        <v>5.806451612903226</v>
      </c>
      <c r="I150" s="3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">
      <c r="A151" s="172">
        <v>6505970190</v>
      </c>
      <c r="B151" s="38" t="s">
        <v>611</v>
      </c>
      <c r="C151" s="34" t="s">
        <v>561</v>
      </c>
      <c r="D151" s="34">
        <v>2</v>
      </c>
      <c r="E151" s="34">
        <v>56</v>
      </c>
      <c r="F151" s="34"/>
      <c r="G151" s="34"/>
      <c r="H151" s="63">
        <f t="shared" si="2"/>
        <v>3.2142857142857144</v>
      </c>
      <c r="I151" s="3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">
      <c r="A152" s="172">
        <v>3277356190</v>
      </c>
      <c r="B152" s="38" t="s">
        <v>612</v>
      </c>
      <c r="C152" s="34" t="s">
        <v>561</v>
      </c>
      <c r="D152" s="34">
        <v>2</v>
      </c>
      <c r="E152" s="34">
        <v>84</v>
      </c>
      <c r="F152" s="34"/>
      <c r="G152" s="34"/>
      <c r="H152" s="63">
        <f t="shared" si="2"/>
        <v>2.1428571428571428</v>
      </c>
      <c r="I152" s="3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">
      <c r="A153" s="172">
        <v>5608554190</v>
      </c>
      <c r="B153" s="38" t="s">
        <v>613</v>
      </c>
      <c r="C153" s="34" t="s">
        <v>561</v>
      </c>
      <c r="D153" s="34">
        <v>2</v>
      </c>
      <c r="E153" s="34">
        <v>90</v>
      </c>
      <c r="F153" s="34"/>
      <c r="G153" s="34"/>
      <c r="H153" s="63">
        <f t="shared" si="2"/>
        <v>2</v>
      </c>
      <c r="I153" s="3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">
      <c r="A154" s="172">
        <v>8928452190</v>
      </c>
      <c r="B154" s="38" t="s">
        <v>614</v>
      </c>
      <c r="C154" s="34" t="s">
        <v>561</v>
      </c>
      <c r="D154" s="34">
        <v>2</v>
      </c>
      <c r="E154" s="34">
        <v>84</v>
      </c>
      <c r="F154" s="34"/>
      <c r="G154" s="34"/>
      <c r="H154" s="63">
        <f t="shared" si="2"/>
        <v>2.1428571428571428</v>
      </c>
      <c r="I154" s="3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">
      <c r="A155" s="172">
        <v>7126999190</v>
      </c>
      <c r="B155" s="38" t="s">
        <v>615</v>
      </c>
      <c r="C155" s="34" t="s">
        <v>561</v>
      </c>
      <c r="D155" s="34">
        <v>2</v>
      </c>
      <c r="E155" s="34">
        <v>28</v>
      </c>
      <c r="F155" s="34"/>
      <c r="G155" s="34"/>
      <c r="H155" s="63">
        <f t="shared" si="2"/>
        <v>6.4285714285714288</v>
      </c>
      <c r="I155" s="3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">
      <c r="A156" s="172" t="s">
        <v>616</v>
      </c>
      <c r="B156" s="38" t="s">
        <v>617</v>
      </c>
      <c r="C156" s="34" t="s">
        <v>561</v>
      </c>
      <c r="D156" s="34">
        <v>2</v>
      </c>
      <c r="E156" s="34">
        <v>28</v>
      </c>
      <c r="F156" s="34"/>
      <c r="G156" s="34"/>
      <c r="H156" s="63">
        <f t="shared" si="2"/>
        <v>6.4285714285714288</v>
      </c>
      <c r="I156" s="3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">
      <c r="A157" s="172">
        <v>3052028190</v>
      </c>
      <c r="B157" s="38" t="s">
        <v>618</v>
      </c>
      <c r="C157" s="34" t="s">
        <v>561</v>
      </c>
      <c r="D157" s="34">
        <v>2</v>
      </c>
      <c r="E157" s="34">
        <v>56</v>
      </c>
      <c r="F157" s="34"/>
      <c r="G157" s="34"/>
      <c r="H157" s="63">
        <f t="shared" si="2"/>
        <v>3.2142857142857144</v>
      </c>
      <c r="I157" s="3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">
      <c r="A158" s="172">
        <v>11731548122</v>
      </c>
      <c r="B158" s="38" t="s">
        <v>619</v>
      </c>
      <c r="C158" s="34" t="s">
        <v>561</v>
      </c>
      <c r="D158" s="34">
        <v>2</v>
      </c>
      <c r="E158" s="34">
        <v>56</v>
      </c>
      <c r="F158" s="34"/>
      <c r="G158" s="34"/>
      <c r="H158" s="63">
        <f t="shared" si="2"/>
        <v>3.2142857142857144</v>
      </c>
      <c r="I158" s="3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">
      <c r="A159" s="172">
        <v>12017717122</v>
      </c>
      <c r="B159" s="38" t="s">
        <v>620</v>
      </c>
      <c r="C159" s="34" t="s">
        <v>561</v>
      </c>
      <c r="D159" s="34">
        <v>2</v>
      </c>
      <c r="E159" s="34">
        <v>84</v>
      </c>
      <c r="F159" s="34"/>
      <c r="G159" s="34"/>
      <c r="H159" s="63">
        <f t="shared" si="2"/>
        <v>2.1428571428571428</v>
      </c>
      <c r="I159" s="3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">
      <c r="A160" s="172">
        <v>5202230190</v>
      </c>
      <c r="B160" s="38" t="s">
        <v>621</v>
      </c>
      <c r="C160" s="34" t="s">
        <v>561</v>
      </c>
      <c r="D160" s="34">
        <v>2</v>
      </c>
      <c r="E160" s="34">
        <v>84</v>
      </c>
      <c r="F160" s="34"/>
      <c r="G160" s="34"/>
      <c r="H160" s="63">
        <f t="shared" si="2"/>
        <v>2.1428571428571428</v>
      </c>
      <c r="I160" s="3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">
      <c r="A161" s="172">
        <v>8991405190</v>
      </c>
      <c r="B161" s="38" t="s">
        <v>622</v>
      </c>
      <c r="C161" s="34" t="s">
        <v>561</v>
      </c>
      <c r="D161" s="34">
        <v>2</v>
      </c>
      <c r="E161" s="34">
        <v>93</v>
      </c>
      <c r="F161" s="34"/>
      <c r="G161" s="34"/>
      <c r="H161" s="63">
        <f t="shared" si="2"/>
        <v>1.935483870967742</v>
      </c>
      <c r="I161" s="3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">
      <c r="A162" s="172">
        <v>8838534190</v>
      </c>
      <c r="B162" s="38" t="s">
        <v>623</v>
      </c>
      <c r="C162" s="34" t="s">
        <v>561</v>
      </c>
      <c r="D162" s="34">
        <v>2</v>
      </c>
      <c r="E162" s="34">
        <v>84</v>
      </c>
      <c r="F162" s="34"/>
      <c r="G162" s="34"/>
      <c r="H162" s="63">
        <f t="shared" si="2"/>
        <v>2.1428571428571428</v>
      </c>
      <c r="I162" s="3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">
      <c r="A163" s="172" t="s">
        <v>624</v>
      </c>
      <c r="B163" s="38" t="s">
        <v>625</v>
      </c>
      <c r="C163" s="34" t="s">
        <v>561</v>
      </c>
      <c r="D163" s="34">
        <v>2</v>
      </c>
      <c r="E163" s="34">
        <v>84</v>
      </c>
      <c r="F163" s="34"/>
      <c r="G163" s="34"/>
      <c r="H163" s="63">
        <f t="shared" si="2"/>
        <v>2.1428571428571428</v>
      </c>
      <c r="I163" s="3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">
      <c r="A164" s="172">
        <v>9315365190</v>
      </c>
      <c r="B164" s="38" t="s">
        <v>626</v>
      </c>
      <c r="C164" s="34" t="s">
        <v>561</v>
      </c>
      <c r="D164" s="34">
        <v>2</v>
      </c>
      <c r="E164" s="34">
        <v>84</v>
      </c>
      <c r="F164" s="34"/>
      <c r="G164" s="34"/>
      <c r="H164" s="63">
        <f t="shared" si="2"/>
        <v>2.1428571428571428</v>
      </c>
      <c r="I164" s="3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">
      <c r="A165" s="172">
        <v>9315381190</v>
      </c>
      <c r="B165" s="38" t="s">
        <v>627</v>
      </c>
      <c r="C165" s="34" t="s">
        <v>561</v>
      </c>
      <c r="D165" s="34">
        <v>2</v>
      </c>
      <c r="E165" s="34">
        <v>84</v>
      </c>
      <c r="F165" s="34"/>
      <c r="G165" s="34"/>
      <c r="H165" s="63">
        <f t="shared" si="2"/>
        <v>2.1428571428571428</v>
      </c>
      <c r="I165" s="3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">
      <c r="A166" s="172">
        <v>8443459190</v>
      </c>
      <c r="B166" s="38" t="s">
        <v>628</v>
      </c>
      <c r="C166" s="34" t="s">
        <v>561</v>
      </c>
      <c r="D166" s="34">
        <v>2</v>
      </c>
      <c r="E166" s="34">
        <v>84</v>
      </c>
      <c r="F166" s="34"/>
      <c r="G166" s="34"/>
      <c r="H166" s="63">
        <f t="shared" si="2"/>
        <v>2.1428571428571428</v>
      </c>
      <c r="I166" s="3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">
      <c r="A167" s="172">
        <v>7212780190</v>
      </c>
      <c r="B167" s="38" t="s">
        <v>629</v>
      </c>
      <c r="C167" s="34" t="s">
        <v>561</v>
      </c>
      <c r="D167" s="34">
        <v>2</v>
      </c>
      <c r="E167" s="34">
        <v>84</v>
      </c>
      <c r="F167" s="34"/>
      <c r="G167" s="34"/>
      <c r="H167" s="63">
        <f t="shared" si="2"/>
        <v>2.1428571428571428</v>
      </c>
      <c r="I167" s="3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">
      <c r="A168" s="172">
        <v>9038116190</v>
      </c>
      <c r="B168" s="38" t="s">
        <v>630</v>
      </c>
      <c r="C168" s="34" t="s">
        <v>561</v>
      </c>
      <c r="D168" s="34">
        <v>2</v>
      </c>
      <c r="E168" s="34">
        <v>84</v>
      </c>
      <c r="F168" s="34"/>
      <c r="G168" s="34"/>
      <c r="H168" s="63">
        <f t="shared" si="2"/>
        <v>2.1428571428571428</v>
      </c>
      <c r="I168" s="3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">
      <c r="A169" s="178" t="s">
        <v>323</v>
      </c>
      <c r="B169" s="178"/>
      <c r="C169" s="178"/>
      <c r="D169" s="178" t="s">
        <v>324</v>
      </c>
      <c r="E169" s="178" t="s">
        <v>559</v>
      </c>
      <c r="F169" s="179"/>
      <c r="G169" s="179" t="s">
        <v>138</v>
      </c>
      <c r="H169" s="180" t="s">
        <v>139</v>
      </c>
      <c r="I169" s="179" t="s">
        <v>140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">
      <c r="A170" s="172" t="s">
        <v>631</v>
      </c>
      <c r="B170" s="38" t="s">
        <v>632</v>
      </c>
      <c r="C170" s="34" t="s">
        <v>561</v>
      </c>
      <c r="D170" s="34">
        <v>2</v>
      </c>
      <c r="E170" s="34">
        <v>28</v>
      </c>
      <c r="F170" s="34"/>
      <c r="G170" s="34"/>
      <c r="H170" s="63">
        <f t="shared" ref="H170:H218" si="3">(360/E170)/D170</f>
        <v>6.4285714285714288</v>
      </c>
      <c r="I170" s="3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">
      <c r="A171" s="38">
        <v>5942322190</v>
      </c>
      <c r="B171" s="38" t="s">
        <v>633</v>
      </c>
      <c r="C171" s="34" t="s">
        <v>561</v>
      </c>
      <c r="D171" s="34">
        <v>3</v>
      </c>
      <c r="E171" s="34">
        <v>84</v>
      </c>
      <c r="F171" s="34"/>
      <c r="G171" s="34"/>
      <c r="H171" s="63">
        <f t="shared" si="3"/>
        <v>1.4285714285714286</v>
      </c>
      <c r="I171" s="3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">
      <c r="A172" s="38">
        <v>8335923190</v>
      </c>
      <c r="B172" s="38" t="s">
        <v>634</v>
      </c>
      <c r="C172" s="34" t="s">
        <v>561</v>
      </c>
      <c r="D172" s="34">
        <v>5</v>
      </c>
      <c r="E172" s="34"/>
      <c r="F172" s="34"/>
      <c r="G172" s="34"/>
      <c r="H172" s="63" t="e">
        <f t="shared" si="3"/>
        <v>#DIV/0!</v>
      </c>
      <c r="I172" s="3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">
      <c r="A173" s="38">
        <v>8740062190</v>
      </c>
      <c r="B173" s="38" t="s">
        <v>635</v>
      </c>
      <c r="C173" s="34" t="s">
        <v>561</v>
      </c>
      <c r="D173" s="34">
        <v>3</v>
      </c>
      <c r="E173" s="34">
        <v>84</v>
      </c>
      <c r="F173" s="34"/>
      <c r="G173" s="34"/>
      <c r="H173" s="63">
        <f t="shared" si="3"/>
        <v>1.4285714285714286</v>
      </c>
      <c r="I173" s="3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">
      <c r="A174" s="38">
        <v>6709966190</v>
      </c>
      <c r="B174" s="38" t="s">
        <v>636</v>
      </c>
      <c r="C174" s="34" t="s">
        <v>561</v>
      </c>
      <c r="D174" s="34">
        <v>2</v>
      </c>
      <c r="E174" s="34"/>
      <c r="F174" s="34"/>
      <c r="G174" s="34"/>
      <c r="H174" s="63" t="e">
        <f t="shared" si="3"/>
        <v>#DIV/0!</v>
      </c>
      <c r="I174" s="3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">
      <c r="A175" s="38">
        <v>7957211190</v>
      </c>
      <c r="B175" s="38" t="s">
        <v>637</v>
      </c>
      <c r="C175" s="34" t="s">
        <v>561</v>
      </c>
      <c r="D175" s="34">
        <v>2</v>
      </c>
      <c r="E175" s="34">
        <v>28</v>
      </c>
      <c r="F175" s="34"/>
      <c r="G175" s="34"/>
      <c r="H175" s="63">
        <f t="shared" si="3"/>
        <v>6.4285714285714288</v>
      </c>
      <c r="I175" s="3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">
      <c r="A176" s="38">
        <v>5031664190</v>
      </c>
      <c r="B176" s="38" t="s">
        <v>638</v>
      </c>
      <c r="C176" s="34" t="s">
        <v>561</v>
      </c>
      <c r="D176" s="34">
        <v>2</v>
      </c>
      <c r="E176" s="34">
        <v>28</v>
      </c>
      <c r="F176" s="34"/>
      <c r="G176" s="34"/>
      <c r="H176" s="63">
        <f t="shared" si="3"/>
        <v>6.4285714285714288</v>
      </c>
      <c r="I176" s="3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">
      <c r="A177" s="38">
        <v>11876368122</v>
      </c>
      <c r="B177" s="38" t="s">
        <v>639</v>
      </c>
      <c r="C177" s="34" t="s">
        <v>561</v>
      </c>
      <c r="D177" s="34">
        <v>8</v>
      </c>
      <c r="E177" s="34">
        <v>56</v>
      </c>
      <c r="F177" s="34"/>
      <c r="G177" s="34"/>
      <c r="H177" s="63">
        <f t="shared" si="3"/>
        <v>0.8035714285714286</v>
      </c>
      <c r="I177" s="3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">
      <c r="A178" s="38">
        <v>8086672190</v>
      </c>
      <c r="B178" s="38" t="s">
        <v>640</v>
      </c>
      <c r="C178" s="34" t="s">
        <v>561</v>
      </c>
      <c r="D178" s="34">
        <v>4</v>
      </c>
      <c r="E178" s="34">
        <v>56</v>
      </c>
      <c r="F178" s="34"/>
      <c r="G178" s="34"/>
      <c r="H178" s="63">
        <f t="shared" si="3"/>
        <v>1.6071428571428572</v>
      </c>
      <c r="I178" s="3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">
      <c r="A179" s="38">
        <v>11876333122</v>
      </c>
      <c r="B179" s="38" t="s">
        <v>641</v>
      </c>
      <c r="C179" s="34" t="s">
        <v>561</v>
      </c>
      <c r="D179" s="34">
        <v>8</v>
      </c>
      <c r="E179" s="34">
        <v>56</v>
      </c>
      <c r="F179" s="34"/>
      <c r="G179" s="34"/>
      <c r="H179" s="63">
        <f t="shared" si="3"/>
        <v>0.8035714285714286</v>
      </c>
      <c r="I179" s="3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">
      <c r="A180" s="38">
        <v>4927931190</v>
      </c>
      <c r="B180" s="38" t="s">
        <v>642</v>
      </c>
      <c r="C180" s="34" t="s">
        <v>561</v>
      </c>
      <c r="D180" s="34">
        <v>8</v>
      </c>
      <c r="E180" s="34">
        <v>56</v>
      </c>
      <c r="F180" s="34"/>
      <c r="G180" s="34"/>
      <c r="H180" s="63">
        <f t="shared" si="3"/>
        <v>0.8035714285714286</v>
      </c>
      <c r="I180" s="3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">
      <c r="A181" s="38">
        <v>11876384122</v>
      </c>
      <c r="B181" s="38" t="s">
        <v>643</v>
      </c>
      <c r="C181" s="34" t="s">
        <v>561</v>
      </c>
      <c r="D181" s="34">
        <v>8</v>
      </c>
      <c r="E181" s="34">
        <v>56</v>
      </c>
      <c r="F181" s="34"/>
      <c r="G181" s="34"/>
      <c r="H181" s="63">
        <f t="shared" si="3"/>
        <v>0.8035714285714286</v>
      </c>
      <c r="I181" s="3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">
      <c r="A182" s="38">
        <v>11876317122</v>
      </c>
      <c r="B182" s="38" t="s">
        <v>644</v>
      </c>
      <c r="C182" s="34" t="s">
        <v>561</v>
      </c>
      <c r="D182" s="34">
        <v>8</v>
      </c>
      <c r="E182" s="34">
        <v>56</v>
      </c>
      <c r="F182" s="34"/>
      <c r="G182" s="34"/>
      <c r="H182" s="63">
        <f t="shared" si="3"/>
        <v>0.8035714285714286</v>
      </c>
      <c r="I182" s="3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">
      <c r="A183" s="38">
        <v>3290379190</v>
      </c>
      <c r="B183" s="38" t="s">
        <v>645</v>
      </c>
      <c r="C183" s="34" t="s">
        <v>561</v>
      </c>
      <c r="D183" s="34">
        <v>8</v>
      </c>
      <c r="E183" s="34">
        <v>56</v>
      </c>
      <c r="F183" s="34"/>
      <c r="G183" s="34"/>
      <c r="H183" s="63">
        <f t="shared" si="3"/>
        <v>0.8035714285714286</v>
      </c>
      <c r="I183" s="3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">
      <c r="A184" s="38">
        <v>9216928190</v>
      </c>
      <c r="B184" s="38" t="s">
        <v>646</v>
      </c>
      <c r="C184" s="34" t="s">
        <v>561</v>
      </c>
      <c r="D184" s="34">
        <v>2</v>
      </c>
      <c r="E184" s="34">
        <v>28</v>
      </c>
      <c r="F184" s="34"/>
      <c r="G184" s="34"/>
      <c r="H184" s="63">
        <f t="shared" si="3"/>
        <v>6.4285714285714288</v>
      </c>
      <c r="I184" s="38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 spans="1:27" ht="15.75" customHeight="1" x14ac:dyDescent="0.3">
      <c r="A185" s="38">
        <v>9289313190</v>
      </c>
      <c r="B185" s="38" t="s">
        <v>646</v>
      </c>
      <c r="C185" s="34" t="s">
        <v>561</v>
      </c>
      <c r="D185" s="34">
        <v>2</v>
      </c>
      <c r="E185" s="34">
        <v>84</v>
      </c>
      <c r="F185" s="34"/>
      <c r="G185" s="34"/>
      <c r="H185" s="63">
        <f t="shared" si="3"/>
        <v>2.1428571428571428</v>
      </c>
      <c r="I185" s="38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 spans="1:27" ht="15.75" customHeight="1" x14ac:dyDescent="0.3">
      <c r="A186" s="38">
        <v>4917049190</v>
      </c>
      <c r="B186" s="38" t="s">
        <v>647</v>
      </c>
      <c r="C186" s="34" t="s">
        <v>561</v>
      </c>
      <c r="D186" s="34">
        <v>2</v>
      </c>
      <c r="E186" s="34">
        <v>84</v>
      </c>
      <c r="F186" s="34"/>
      <c r="G186" s="34"/>
      <c r="H186" s="63">
        <f t="shared" si="3"/>
        <v>2.1428571428571428</v>
      </c>
      <c r="I186" s="38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 spans="1:27" ht="15.75" customHeight="1" x14ac:dyDescent="0.3">
      <c r="A187" s="38">
        <v>7092571190</v>
      </c>
      <c r="B187" s="38" t="s">
        <v>648</v>
      </c>
      <c r="C187" s="34" t="s">
        <v>561</v>
      </c>
      <c r="D187" s="34">
        <v>8</v>
      </c>
      <c r="E187" s="34">
        <v>28</v>
      </c>
      <c r="F187" s="34"/>
      <c r="G187" s="34"/>
      <c r="H187" s="63">
        <f t="shared" si="3"/>
        <v>1.6071428571428572</v>
      </c>
      <c r="I187" s="38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 spans="1:27" ht="15.75" customHeight="1" x14ac:dyDescent="0.3">
      <c r="A188" s="38">
        <v>4784600190</v>
      </c>
      <c r="B188" s="38" t="s">
        <v>649</v>
      </c>
      <c r="C188" s="34" t="s">
        <v>561</v>
      </c>
      <c r="D188" s="34">
        <v>8</v>
      </c>
      <c r="E188" s="34">
        <v>56</v>
      </c>
      <c r="F188" s="34"/>
      <c r="G188" s="34"/>
      <c r="H188" s="63">
        <f t="shared" si="3"/>
        <v>0.8035714285714286</v>
      </c>
      <c r="I188" s="38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 spans="1:27" ht="15.75" customHeight="1" x14ac:dyDescent="0.3">
      <c r="A189" s="38">
        <v>4784626190</v>
      </c>
      <c r="B189" s="38" t="s">
        <v>650</v>
      </c>
      <c r="C189" s="34" t="s">
        <v>561</v>
      </c>
      <c r="D189" s="34">
        <v>8</v>
      </c>
      <c r="E189" s="34">
        <v>56</v>
      </c>
      <c r="F189" s="34"/>
      <c r="G189" s="34"/>
      <c r="H189" s="63">
        <f t="shared" si="3"/>
        <v>0.8035714285714286</v>
      </c>
      <c r="I189" s="38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 spans="1:27" ht="15.75" customHeight="1" x14ac:dyDescent="0.3">
      <c r="A190" s="38">
        <v>8355436190</v>
      </c>
      <c r="B190" s="38" t="s">
        <v>651</v>
      </c>
      <c r="C190" s="34" t="s">
        <v>561</v>
      </c>
      <c r="D190" s="34">
        <v>4</v>
      </c>
      <c r="E190" s="34">
        <v>84</v>
      </c>
      <c r="F190" s="34"/>
      <c r="G190" s="34"/>
      <c r="H190" s="63">
        <f t="shared" si="3"/>
        <v>1.0714285714285714</v>
      </c>
      <c r="I190" s="38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 spans="1:27" ht="15.75" customHeight="1" x14ac:dyDescent="0.3">
      <c r="A191" s="38">
        <v>8355428190</v>
      </c>
      <c r="B191" s="38" t="s">
        <v>652</v>
      </c>
      <c r="C191" s="34" t="s">
        <v>561</v>
      </c>
      <c r="D191" s="34">
        <v>3</v>
      </c>
      <c r="E191" s="34">
        <v>112</v>
      </c>
      <c r="F191" s="34"/>
      <c r="G191" s="34"/>
      <c r="H191" s="63">
        <f t="shared" si="3"/>
        <v>1.0714285714285714</v>
      </c>
      <c r="I191" s="38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 spans="1:27" ht="15.75" customHeight="1" x14ac:dyDescent="0.3">
      <c r="A192" s="38">
        <v>7294131190</v>
      </c>
      <c r="B192" s="38" t="s">
        <v>653</v>
      </c>
      <c r="C192" s="34" t="s">
        <v>561</v>
      </c>
      <c r="D192" s="34">
        <v>1</v>
      </c>
      <c r="E192" s="34">
        <v>28</v>
      </c>
      <c r="F192" s="34"/>
      <c r="G192" s="34"/>
      <c r="H192" s="63">
        <f t="shared" si="3"/>
        <v>12.857142857142858</v>
      </c>
      <c r="I192" s="38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 spans="1:27" ht="15.75" customHeight="1" x14ac:dyDescent="0.3">
      <c r="A193" s="38">
        <v>7476108190</v>
      </c>
      <c r="B193" s="38" t="s">
        <v>654</v>
      </c>
      <c r="C193" s="34" t="s">
        <v>561</v>
      </c>
      <c r="D193" s="34">
        <v>2</v>
      </c>
      <c r="E193" s="34">
        <v>31</v>
      </c>
      <c r="F193" s="34"/>
      <c r="G193" s="34"/>
      <c r="H193" s="63">
        <f t="shared" si="3"/>
        <v>5.806451612903226</v>
      </c>
      <c r="I193" s="38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 spans="1:27" ht="15.75" customHeight="1" x14ac:dyDescent="0.3">
      <c r="A194" s="38">
        <v>11876376122</v>
      </c>
      <c r="B194" s="38" t="s">
        <v>655</v>
      </c>
      <c r="C194" s="34" t="s">
        <v>561</v>
      </c>
      <c r="D194" s="34">
        <v>8</v>
      </c>
      <c r="E194" s="34">
        <v>56</v>
      </c>
      <c r="F194" s="34"/>
      <c r="G194" s="34"/>
      <c r="H194" s="63">
        <f t="shared" si="3"/>
        <v>0.8035714285714286</v>
      </c>
      <c r="I194" s="38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 spans="1:27" ht="15.75" customHeight="1" x14ac:dyDescent="0.3">
      <c r="A195" s="38">
        <v>4687876190</v>
      </c>
      <c r="B195" s="38" t="s">
        <v>656</v>
      </c>
      <c r="C195" s="34" t="s">
        <v>561</v>
      </c>
      <c r="D195" s="34">
        <v>8</v>
      </c>
      <c r="E195" s="34">
        <v>56</v>
      </c>
      <c r="F195" s="34"/>
      <c r="G195" s="34"/>
      <c r="H195" s="63">
        <f t="shared" si="3"/>
        <v>0.8035714285714286</v>
      </c>
      <c r="I195" s="38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 spans="1:27" ht="15.75" customHeight="1" x14ac:dyDescent="0.3">
      <c r="A196" s="38">
        <v>7143745190</v>
      </c>
      <c r="B196" s="38" t="s">
        <v>657</v>
      </c>
      <c r="C196" s="34" t="s">
        <v>561</v>
      </c>
      <c r="D196" s="34">
        <v>5</v>
      </c>
      <c r="E196" s="34">
        <v>56</v>
      </c>
      <c r="F196" s="34"/>
      <c r="G196" s="34"/>
      <c r="H196" s="63">
        <f t="shared" si="3"/>
        <v>1.2857142857142858</v>
      </c>
      <c r="I196" s="38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 spans="1:27" ht="15.75" customHeight="1" x14ac:dyDescent="0.3">
      <c r="A197" s="38">
        <v>5950953190</v>
      </c>
      <c r="B197" s="38" t="s">
        <v>658</v>
      </c>
      <c r="C197" s="34" t="s">
        <v>561</v>
      </c>
      <c r="D197" s="34">
        <v>2</v>
      </c>
      <c r="E197" s="34">
        <v>28</v>
      </c>
      <c r="F197" s="34"/>
      <c r="G197" s="34"/>
      <c r="H197" s="63">
        <f t="shared" si="3"/>
        <v>6.4285714285714288</v>
      </c>
      <c r="I197" s="38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 spans="1:27" ht="15.75" customHeight="1" x14ac:dyDescent="0.3">
      <c r="A198" s="38">
        <v>6924107190</v>
      </c>
      <c r="B198" s="38" t="s">
        <v>659</v>
      </c>
      <c r="C198" s="34" t="s">
        <v>561</v>
      </c>
      <c r="D198" s="34">
        <v>3</v>
      </c>
      <c r="E198" s="34">
        <v>84</v>
      </c>
      <c r="F198" s="34"/>
      <c r="G198" s="34"/>
      <c r="H198" s="63">
        <f t="shared" si="3"/>
        <v>1.4285714285714286</v>
      </c>
      <c r="I198" s="38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 spans="1:27" ht="15.75" customHeight="1" x14ac:dyDescent="0.3">
      <c r="A199" s="38">
        <v>5572207190</v>
      </c>
      <c r="B199" s="38" t="s">
        <v>660</v>
      </c>
      <c r="C199" s="34" t="s">
        <v>561</v>
      </c>
      <c r="D199" s="34">
        <v>2</v>
      </c>
      <c r="E199" s="34">
        <v>28</v>
      </c>
      <c r="F199" s="34"/>
      <c r="G199" s="34"/>
      <c r="H199" s="63">
        <f t="shared" si="3"/>
        <v>6.4285714285714288</v>
      </c>
      <c r="I199" s="38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 spans="1:27" ht="15.75" customHeight="1" x14ac:dyDescent="0.3">
      <c r="A200" s="38">
        <v>7108133190</v>
      </c>
      <c r="B200" s="38" t="s">
        <v>661</v>
      </c>
      <c r="C200" s="34" t="s">
        <v>561</v>
      </c>
      <c r="D200" s="34">
        <v>3</v>
      </c>
      <c r="E200" s="34">
        <v>84</v>
      </c>
      <c r="F200" s="34"/>
      <c r="G200" s="34"/>
      <c r="H200" s="63">
        <f t="shared" si="3"/>
        <v>1.4285714285714286</v>
      </c>
      <c r="I200" s="38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 spans="1:27" ht="15.75" customHeight="1" x14ac:dyDescent="0.3">
      <c r="A201" s="38">
        <v>5889081190</v>
      </c>
      <c r="B201" s="38" t="s">
        <v>662</v>
      </c>
      <c r="C201" s="34" t="s">
        <v>561</v>
      </c>
      <c r="D201" s="34">
        <v>1</v>
      </c>
      <c r="E201" s="34">
        <v>28</v>
      </c>
      <c r="F201" s="34"/>
      <c r="G201" s="34"/>
      <c r="H201" s="63">
        <f t="shared" si="3"/>
        <v>12.857142857142858</v>
      </c>
      <c r="I201" s="38"/>
    </row>
    <row r="202" spans="1:27" ht="15.75" customHeight="1" x14ac:dyDescent="0.3">
      <c r="A202" s="38">
        <v>7360070190</v>
      </c>
      <c r="B202" s="38" t="s">
        <v>663</v>
      </c>
      <c r="C202" s="34" t="s">
        <v>561</v>
      </c>
      <c r="D202" s="34">
        <v>2</v>
      </c>
      <c r="E202" s="34">
        <v>28</v>
      </c>
      <c r="F202" s="34"/>
      <c r="G202" s="34"/>
      <c r="H202" s="63">
        <f t="shared" si="3"/>
        <v>6.4285714285714288</v>
      </c>
      <c r="I202" s="38"/>
    </row>
    <row r="203" spans="1:27" ht="15.75" customHeight="1" x14ac:dyDescent="0.3">
      <c r="A203" s="38">
        <v>8740062190</v>
      </c>
      <c r="B203" s="38" t="s">
        <v>664</v>
      </c>
      <c r="C203" s="34" t="s">
        <v>561</v>
      </c>
      <c r="D203" s="34">
        <v>3</v>
      </c>
      <c r="E203" s="34">
        <v>84</v>
      </c>
      <c r="F203" s="34"/>
      <c r="G203" s="34"/>
      <c r="H203" s="63">
        <f t="shared" si="3"/>
        <v>1.4285714285714286</v>
      </c>
      <c r="I203" s="38"/>
    </row>
    <row r="204" spans="1:27" ht="15.75" customHeight="1" x14ac:dyDescent="0.3">
      <c r="A204" s="38">
        <v>5341787190</v>
      </c>
      <c r="B204" s="38" t="s">
        <v>665</v>
      </c>
      <c r="C204" s="34" t="s">
        <v>561</v>
      </c>
      <c r="D204" s="34">
        <v>3</v>
      </c>
      <c r="E204" s="34">
        <v>31</v>
      </c>
      <c r="F204" s="34"/>
      <c r="G204" s="34"/>
      <c r="H204" s="63">
        <f t="shared" si="3"/>
        <v>3.870967741935484</v>
      </c>
      <c r="I204" s="38"/>
    </row>
    <row r="205" spans="1:27" ht="15.75" customHeight="1" x14ac:dyDescent="0.3">
      <c r="A205" s="38">
        <v>6505988190</v>
      </c>
      <c r="B205" s="38" t="s">
        <v>666</v>
      </c>
      <c r="C205" s="34" t="s">
        <v>561</v>
      </c>
      <c r="D205" s="34">
        <v>2</v>
      </c>
      <c r="E205" s="34"/>
      <c r="F205" s="34"/>
      <c r="G205" s="34"/>
      <c r="H205" s="63" t="e">
        <f t="shared" si="3"/>
        <v>#DIV/0!</v>
      </c>
      <c r="I205" s="38"/>
    </row>
    <row r="206" spans="1:27" ht="15.75" customHeight="1" x14ac:dyDescent="0.3">
      <c r="A206" s="38">
        <v>4618807190</v>
      </c>
      <c r="B206" s="38" t="s">
        <v>667</v>
      </c>
      <c r="C206" s="34" t="s">
        <v>561</v>
      </c>
      <c r="D206" s="34">
        <v>8</v>
      </c>
      <c r="E206" s="34">
        <v>56</v>
      </c>
      <c r="F206" s="34"/>
      <c r="G206" s="34"/>
      <c r="H206" s="63">
        <f t="shared" si="3"/>
        <v>0.8035714285714286</v>
      </c>
      <c r="I206" s="38"/>
    </row>
    <row r="207" spans="1:27" ht="15.75" customHeight="1" x14ac:dyDescent="0.3">
      <c r="A207" s="38">
        <v>4618840190</v>
      </c>
      <c r="B207" s="38" t="s">
        <v>668</v>
      </c>
      <c r="C207" s="34" t="s">
        <v>561</v>
      </c>
      <c r="D207" s="34">
        <v>4</v>
      </c>
      <c r="E207" s="34">
        <v>56</v>
      </c>
      <c r="F207" s="34"/>
      <c r="G207" s="34"/>
      <c r="H207" s="63">
        <f t="shared" si="3"/>
        <v>1.6071428571428572</v>
      </c>
      <c r="I207" s="38"/>
    </row>
    <row r="208" spans="1:27" ht="15.75" customHeight="1" x14ac:dyDescent="0.3">
      <c r="A208" s="38">
        <v>9345302190</v>
      </c>
      <c r="B208" s="38" t="s">
        <v>669</v>
      </c>
      <c r="C208" s="34" t="s">
        <v>561</v>
      </c>
      <c r="D208" s="34">
        <v>3</v>
      </c>
      <c r="E208" s="34">
        <v>21</v>
      </c>
      <c r="F208" s="34"/>
      <c r="G208" s="34"/>
      <c r="H208" s="63">
        <f t="shared" si="3"/>
        <v>5.7142857142857144</v>
      </c>
      <c r="I208" s="38"/>
    </row>
    <row r="209" spans="1:9" ht="15.75" customHeight="1" x14ac:dyDescent="0.3">
      <c r="A209" s="38">
        <v>6923364190</v>
      </c>
      <c r="B209" s="38" t="s">
        <v>670</v>
      </c>
      <c r="C209" s="34" t="s">
        <v>561</v>
      </c>
      <c r="D209" s="34">
        <v>2</v>
      </c>
      <c r="E209" s="34">
        <v>168</v>
      </c>
      <c r="F209" s="34"/>
      <c r="G209" s="34"/>
      <c r="H209" s="63">
        <f t="shared" si="3"/>
        <v>1.0714285714285714</v>
      </c>
      <c r="I209" s="38"/>
    </row>
    <row r="210" spans="1:9" ht="15.75" customHeight="1" x14ac:dyDescent="0.3">
      <c r="A210" s="38">
        <v>5042666191</v>
      </c>
      <c r="B210" s="38" t="s">
        <v>671</v>
      </c>
      <c r="C210" s="34" t="s">
        <v>561</v>
      </c>
      <c r="D210" s="34">
        <v>2</v>
      </c>
      <c r="E210" s="34">
        <v>28</v>
      </c>
      <c r="F210" s="34"/>
      <c r="G210" s="34"/>
      <c r="H210" s="63">
        <f t="shared" si="3"/>
        <v>6.4285714285714288</v>
      </c>
      <c r="I210" s="38"/>
    </row>
    <row r="211" spans="1:9" ht="15.75" customHeight="1" x14ac:dyDescent="0.3">
      <c r="A211" s="38">
        <v>4618823190</v>
      </c>
      <c r="B211" s="38" t="s">
        <v>672</v>
      </c>
      <c r="C211" s="34" t="s">
        <v>561</v>
      </c>
      <c r="D211" s="34">
        <v>8</v>
      </c>
      <c r="E211" s="34">
        <v>56</v>
      </c>
      <c r="F211" s="34"/>
      <c r="G211" s="34"/>
      <c r="H211" s="63">
        <f t="shared" si="3"/>
        <v>0.8035714285714286</v>
      </c>
      <c r="I211" s="38"/>
    </row>
    <row r="212" spans="1:9" ht="15.75" customHeight="1" x14ac:dyDescent="0.3">
      <c r="A212" s="38">
        <v>5802580190</v>
      </c>
      <c r="B212" s="38" t="s">
        <v>673</v>
      </c>
      <c r="C212" s="34" t="s">
        <v>561</v>
      </c>
      <c r="D212" s="34">
        <v>3</v>
      </c>
      <c r="E212" s="34">
        <v>56</v>
      </c>
      <c r="F212" s="34"/>
      <c r="G212" s="34"/>
      <c r="H212" s="63">
        <f t="shared" si="3"/>
        <v>2.1428571428571428</v>
      </c>
      <c r="I212" s="38"/>
    </row>
    <row r="213" spans="1:9" ht="15.75" customHeight="1" x14ac:dyDescent="0.3">
      <c r="A213" s="38">
        <v>4618866190</v>
      </c>
      <c r="B213" s="38" t="s">
        <v>674</v>
      </c>
      <c r="C213" s="34" t="s">
        <v>561</v>
      </c>
      <c r="D213" s="34">
        <v>8</v>
      </c>
      <c r="E213" s="34">
        <v>56</v>
      </c>
      <c r="F213" s="34"/>
      <c r="G213" s="34"/>
      <c r="H213" s="63">
        <f t="shared" si="3"/>
        <v>0.8035714285714286</v>
      </c>
      <c r="I213" s="38"/>
    </row>
    <row r="214" spans="1:9" ht="15.75" customHeight="1" x14ac:dyDescent="0.3">
      <c r="A214" s="38">
        <v>5095107190</v>
      </c>
      <c r="B214" s="38" t="s">
        <v>675</v>
      </c>
      <c r="C214" s="34" t="s">
        <v>561</v>
      </c>
      <c r="D214" s="34">
        <v>2</v>
      </c>
      <c r="E214" s="34">
        <v>84</v>
      </c>
      <c r="F214" s="34"/>
      <c r="G214" s="34"/>
      <c r="H214" s="63">
        <f t="shared" si="3"/>
        <v>2.1428571428571428</v>
      </c>
      <c r="I214" s="38"/>
    </row>
    <row r="215" spans="1:9" ht="15.75" customHeight="1" x14ac:dyDescent="0.3">
      <c r="A215" s="38">
        <v>11776452122</v>
      </c>
      <c r="B215" s="38" t="s">
        <v>676</v>
      </c>
      <c r="C215" s="34" t="s">
        <v>561</v>
      </c>
      <c r="D215" s="34">
        <v>2</v>
      </c>
      <c r="E215" s="34">
        <v>28</v>
      </c>
      <c r="F215" s="34"/>
      <c r="G215" s="34"/>
      <c r="H215" s="63">
        <f t="shared" si="3"/>
        <v>6.4285714285714288</v>
      </c>
      <c r="I215" s="38"/>
    </row>
    <row r="216" spans="1:9" ht="15.75" customHeight="1" x14ac:dyDescent="0.3">
      <c r="A216" s="38">
        <v>11731416190</v>
      </c>
      <c r="B216" s="38" t="s">
        <v>677</v>
      </c>
      <c r="C216" s="34" t="s">
        <v>561</v>
      </c>
      <c r="D216" s="34">
        <v>2</v>
      </c>
      <c r="E216" s="34">
        <v>28</v>
      </c>
      <c r="F216" s="34"/>
      <c r="G216" s="34"/>
      <c r="H216" s="63">
        <f t="shared" si="3"/>
        <v>6.4285714285714288</v>
      </c>
      <c r="I216" s="38"/>
    </row>
    <row r="217" spans="1:9" ht="15.75" customHeight="1" x14ac:dyDescent="0.3">
      <c r="A217" s="38">
        <v>5618860190</v>
      </c>
      <c r="B217" s="38" t="s">
        <v>678</v>
      </c>
      <c r="C217" s="34" t="s">
        <v>561</v>
      </c>
      <c r="D217" s="34">
        <v>2</v>
      </c>
      <c r="E217" s="34">
        <v>28</v>
      </c>
      <c r="F217" s="34"/>
      <c r="G217" s="34"/>
      <c r="H217" s="63">
        <f t="shared" si="3"/>
        <v>6.4285714285714288</v>
      </c>
      <c r="I217" s="38"/>
    </row>
    <row r="218" spans="1:9" ht="15.75" customHeight="1" x14ac:dyDescent="0.3">
      <c r="A218" s="38">
        <v>9038124190</v>
      </c>
      <c r="B218" s="38" t="s">
        <v>679</v>
      </c>
      <c r="C218" s="34" t="s">
        <v>561</v>
      </c>
      <c r="D218" s="34">
        <v>3</v>
      </c>
      <c r="E218" s="34">
        <v>31</v>
      </c>
      <c r="F218" s="34"/>
      <c r="G218" s="34"/>
      <c r="H218" s="63">
        <f t="shared" si="3"/>
        <v>3.870967741935484</v>
      </c>
      <c r="I218" s="38"/>
    </row>
    <row r="219" spans="1:9" ht="15.75" customHeight="1" x14ac:dyDescent="0.3">
      <c r="A219" s="178" t="s">
        <v>224</v>
      </c>
      <c r="B219" s="178"/>
      <c r="C219" s="178"/>
      <c r="D219" s="178" t="s">
        <v>324</v>
      </c>
      <c r="E219" s="178" t="s">
        <v>559</v>
      </c>
      <c r="F219" s="179"/>
      <c r="G219" s="179" t="s">
        <v>138</v>
      </c>
      <c r="H219" s="180" t="s">
        <v>139</v>
      </c>
      <c r="I219" s="179" t="s">
        <v>140</v>
      </c>
    </row>
    <row r="220" spans="1:9" ht="15.75" customHeight="1" x14ac:dyDescent="0.3">
      <c r="A220" s="38">
        <v>11706802001</v>
      </c>
      <c r="B220" s="38" t="s">
        <v>680</v>
      </c>
      <c r="C220" s="34" t="s">
        <v>561</v>
      </c>
      <c r="D220" s="34">
        <v>1</v>
      </c>
      <c r="E220" s="34">
        <v>365</v>
      </c>
      <c r="F220" s="34"/>
      <c r="G220" s="34"/>
      <c r="H220" s="63">
        <f t="shared" ref="H220:H230" si="4">(360/E220)/D220</f>
        <v>0.98630136986301364</v>
      </c>
      <c r="I220" s="38"/>
    </row>
    <row r="221" spans="1:9" ht="15.75" customHeight="1" x14ac:dyDescent="0.3">
      <c r="A221" s="38">
        <v>11706799001</v>
      </c>
      <c r="B221" s="38" t="s">
        <v>681</v>
      </c>
      <c r="C221" s="34" t="s">
        <v>561</v>
      </c>
      <c r="D221" s="34">
        <v>1</v>
      </c>
      <c r="E221" s="34">
        <v>365</v>
      </c>
      <c r="F221" s="34"/>
      <c r="G221" s="34"/>
      <c r="H221" s="63">
        <f t="shared" si="4"/>
        <v>0.98630136986301364</v>
      </c>
      <c r="I221" s="38"/>
    </row>
    <row r="222" spans="1:9" ht="15.75" customHeight="1" x14ac:dyDescent="0.3">
      <c r="A222" s="38">
        <v>4444191001</v>
      </c>
      <c r="B222" s="38" t="s">
        <v>682</v>
      </c>
      <c r="C222" s="34" t="s">
        <v>561</v>
      </c>
      <c r="D222" s="34">
        <v>1</v>
      </c>
      <c r="E222" s="34">
        <v>365</v>
      </c>
      <c r="F222" s="34"/>
      <c r="G222" s="34"/>
      <c r="H222" s="63">
        <f t="shared" si="4"/>
        <v>0.98630136986301364</v>
      </c>
      <c r="I222" s="38"/>
    </row>
    <row r="223" spans="1:9" ht="15.75" customHeight="1" x14ac:dyDescent="0.3">
      <c r="A223" s="38">
        <v>11662970122</v>
      </c>
      <c r="B223" s="38" t="s">
        <v>683</v>
      </c>
      <c r="C223" s="34" t="s">
        <v>561</v>
      </c>
      <c r="D223" s="34">
        <v>6</v>
      </c>
      <c r="E223" s="34">
        <v>28</v>
      </c>
      <c r="F223" s="34"/>
      <c r="G223" s="34"/>
      <c r="H223" s="63">
        <f t="shared" si="4"/>
        <v>2.1428571428571428</v>
      </c>
      <c r="I223" s="38"/>
    </row>
    <row r="224" spans="1:9" ht="15.75" customHeight="1" x14ac:dyDescent="0.3">
      <c r="A224" s="38">
        <v>11662988122</v>
      </c>
      <c r="B224" s="38" t="s">
        <v>684</v>
      </c>
      <c r="C224" s="34" t="s">
        <v>561</v>
      </c>
      <c r="D224" s="34">
        <v>6</v>
      </c>
      <c r="E224" s="34">
        <v>28</v>
      </c>
      <c r="F224" s="34"/>
      <c r="G224" s="34"/>
      <c r="H224" s="63">
        <f t="shared" si="4"/>
        <v>2.1428571428571428</v>
      </c>
      <c r="I224" s="38"/>
    </row>
    <row r="225" spans="1:9" ht="15.75" customHeight="1" x14ac:dyDescent="0.3">
      <c r="A225" s="38">
        <v>11930346122</v>
      </c>
      <c r="B225" s="38" t="s">
        <v>685</v>
      </c>
      <c r="C225" s="34" t="s">
        <v>561</v>
      </c>
      <c r="D225" s="34">
        <v>1</v>
      </c>
      <c r="E225" s="34">
        <v>168</v>
      </c>
      <c r="F225" s="34"/>
      <c r="G225" s="34"/>
      <c r="H225" s="63">
        <f t="shared" si="4"/>
        <v>2.1428571428571428</v>
      </c>
      <c r="I225" s="38"/>
    </row>
    <row r="226" spans="1:9" ht="15.75" customHeight="1" x14ac:dyDescent="0.3">
      <c r="A226" s="38">
        <v>11298500316</v>
      </c>
      <c r="B226" s="38" t="s">
        <v>686</v>
      </c>
      <c r="C226" s="34" t="s">
        <v>561</v>
      </c>
      <c r="D226" s="34">
        <v>5</v>
      </c>
      <c r="E226" s="34">
        <v>365</v>
      </c>
      <c r="F226" s="34"/>
      <c r="G226" s="34"/>
      <c r="H226" s="63">
        <f t="shared" si="4"/>
        <v>0.19726027397260273</v>
      </c>
      <c r="I226" s="38"/>
    </row>
    <row r="227" spans="1:9" ht="15.75" customHeight="1" x14ac:dyDescent="0.3">
      <c r="A227" s="38">
        <v>5151643001</v>
      </c>
      <c r="B227" s="38" t="s">
        <v>687</v>
      </c>
      <c r="C227" s="34" t="s">
        <v>561</v>
      </c>
      <c r="D227" s="34">
        <v>1</v>
      </c>
      <c r="E227" s="34">
        <v>365</v>
      </c>
      <c r="F227" s="34"/>
      <c r="G227" s="34"/>
      <c r="H227" s="63">
        <f t="shared" si="4"/>
        <v>0.98630136986301364</v>
      </c>
      <c r="I227" s="38"/>
    </row>
    <row r="228" spans="1:9" ht="15.75" customHeight="1" x14ac:dyDescent="0.3">
      <c r="A228" s="38">
        <v>11732277122</v>
      </c>
      <c r="B228" s="38" t="s">
        <v>688</v>
      </c>
      <c r="C228" s="34" t="s">
        <v>561</v>
      </c>
      <c r="D228" s="34">
        <v>2</v>
      </c>
      <c r="E228" s="34">
        <v>84</v>
      </c>
      <c r="F228" s="34"/>
      <c r="G228" s="34"/>
      <c r="H228" s="63">
        <f t="shared" si="4"/>
        <v>2.1428571428571428</v>
      </c>
      <c r="I228" s="38"/>
    </row>
    <row r="229" spans="1:9" ht="15.75" customHeight="1" x14ac:dyDescent="0.3">
      <c r="A229" s="38">
        <v>3183971122</v>
      </c>
      <c r="B229" s="38" t="s">
        <v>689</v>
      </c>
      <c r="C229" s="34" t="s">
        <v>561</v>
      </c>
      <c r="D229" s="34">
        <v>1</v>
      </c>
      <c r="E229" s="34">
        <v>84</v>
      </c>
      <c r="F229" s="34"/>
      <c r="G229" s="34"/>
      <c r="H229" s="63">
        <f t="shared" si="4"/>
        <v>4.2857142857142856</v>
      </c>
      <c r="I229" s="38"/>
    </row>
    <row r="230" spans="1:9" ht="15.75" customHeight="1" x14ac:dyDescent="0.3">
      <c r="A230" s="172">
        <v>11800507001</v>
      </c>
      <c r="B230" s="61" t="s">
        <v>690</v>
      </c>
      <c r="C230" s="34" t="s">
        <v>561</v>
      </c>
      <c r="D230" s="34">
        <v>1</v>
      </c>
      <c r="E230" s="34">
        <v>365</v>
      </c>
      <c r="F230" s="34"/>
      <c r="G230" s="34"/>
      <c r="H230" s="63">
        <f t="shared" si="4"/>
        <v>0.98630136986301364</v>
      </c>
      <c r="I230" s="38"/>
    </row>
    <row r="231" spans="1:9" ht="15.75" customHeight="1" x14ac:dyDescent="0.3"/>
    <row r="232" spans="1:9" ht="15.75" customHeight="1" x14ac:dyDescent="0.3"/>
    <row r="233" spans="1:9" ht="15.75" customHeight="1" x14ac:dyDescent="0.3"/>
    <row r="234" spans="1:9" ht="15.75" customHeight="1" x14ac:dyDescent="0.3"/>
    <row r="235" spans="1:9" ht="15.75" customHeight="1" x14ac:dyDescent="0.3"/>
    <row r="236" spans="1:9" ht="15.75" customHeight="1" x14ac:dyDescent="0.3"/>
    <row r="237" spans="1:9" ht="15.75" customHeight="1" x14ac:dyDescent="0.3"/>
    <row r="238" spans="1:9" ht="15.75" customHeight="1" x14ac:dyDescent="0.3"/>
    <row r="239" spans="1:9" ht="15.75" customHeight="1" x14ac:dyDescent="0.3"/>
    <row r="240" spans="1:9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03:E10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8.6640625" customWidth="1"/>
    <col min="2" max="2" width="25.33203125" customWidth="1"/>
    <col min="3" max="3" width="25.109375" customWidth="1"/>
    <col min="4" max="4" width="10.5546875" customWidth="1"/>
    <col min="5" max="5" width="11" customWidth="1"/>
    <col min="6" max="6" width="10.5546875" customWidth="1"/>
    <col min="7" max="7" width="14.6640625" customWidth="1"/>
    <col min="8" max="8" width="17.109375" customWidth="1"/>
    <col min="9" max="9" width="15" customWidth="1"/>
    <col min="10" max="26" width="10.6640625" customWidth="1"/>
  </cols>
  <sheetData>
    <row r="1" spans="1:26" ht="14.4" x14ac:dyDescent="0.3">
      <c r="A1" s="103" t="s">
        <v>5</v>
      </c>
      <c r="B1" s="104"/>
      <c r="C1" s="1"/>
      <c r="D1" s="104"/>
      <c r="E1" s="1"/>
      <c r="F1" s="1"/>
      <c r="G1" s="1"/>
      <c r="H1" s="2"/>
      <c r="I1" s="2"/>
      <c r="J1" s="2"/>
      <c r="K1" s="2"/>
      <c r="L1" s="2"/>
      <c r="M1" s="2"/>
      <c r="N1" s="2"/>
      <c r="O1" s="2"/>
    </row>
    <row r="2" spans="1:26" ht="14.4" x14ac:dyDescent="0.3">
      <c r="A2" s="103" t="s">
        <v>124</v>
      </c>
      <c r="B2" s="182"/>
      <c r="C2" s="1"/>
      <c r="D2" s="104"/>
      <c r="E2" s="1"/>
      <c r="F2" s="1"/>
      <c r="G2" s="1"/>
      <c r="H2" s="2"/>
      <c r="I2" s="2"/>
      <c r="J2" s="2"/>
      <c r="K2" s="2"/>
      <c r="L2" s="2"/>
      <c r="M2" s="2"/>
      <c r="N2" s="2"/>
      <c r="O2" s="2"/>
    </row>
    <row r="3" spans="1:26" ht="14.4" x14ac:dyDescent="0.3">
      <c r="A3" s="103" t="s">
        <v>125</v>
      </c>
      <c r="B3" s="104"/>
      <c r="C3" s="1"/>
      <c r="D3" s="104"/>
      <c r="E3" s="1"/>
      <c r="F3" s="1"/>
      <c r="G3" s="1"/>
      <c r="H3" s="2"/>
      <c r="I3" s="2"/>
      <c r="J3" s="2"/>
      <c r="K3" s="2"/>
      <c r="L3" s="2"/>
      <c r="M3" s="2"/>
      <c r="N3" s="2"/>
      <c r="O3" s="2"/>
    </row>
    <row r="4" spans="1:26" ht="14.4" x14ac:dyDescent="0.3">
      <c r="A4" s="103" t="s">
        <v>127</v>
      </c>
      <c r="B4" s="104"/>
      <c r="C4" s="1" t="s">
        <v>128</v>
      </c>
      <c r="D4" s="104"/>
      <c r="E4" s="1"/>
      <c r="F4" s="1"/>
      <c r="G4" s="1"/>
      <c r="H4" s="2"/>
      <c r="I4" s="2"/>
      <c r="J4" s="2"/>
      <c r="K4" s="2"/>
      <c r="L4" s="2"/>
      <c r="M4" s="2"/>
      <c r="N4" s="2"/>
      <c r="O4" s="2"/>
    </row>
    <row r="5" spans="1:26" ht="14.4" x14ac:dyDescent="0.3">
      <c r="A5" s="103" t="s">
        <v>129</v>
      </c>
      <c r="B5" s="104"/>
      <c r="C5" s="1" t="s">
        <v>128</v>
      </c>
      <c r="D5" s="104"/>
      <c r="E5" s="1"/>
      <c r="F5" s="1"/>
      <c r="G5" s="1"/>
      <c r="H5" s="2"/>
      <c r="I5" s="2"/>
      <c r="J5" s="2"/>
      <c r="K5" s="2"/>
      <c r="L5" s="2"/>
      <c r="M5" s="2"/>
      <c r="N5" s="2"/>
      <c r="O5" s="2"/>
    </row>
    <row r="6" spans="1:26" ht="14.4" x14ac:dyDescent="0.3">
      <c r="A6" s="183" t="s">
        <v>130</v>
      </c>
      <c r="B6" s="184" t="s">
        <v>691</v>
      </c>
      <c r="C6" s="185"/>
      <c r="D6" s="184" t="s">
        <v>692</v>
      </c>
      <c r="E6" s="185"/>
      <c r="F6" s="2"/>
      <c r="G6" s="2"/>
      <c r="H6" s="186"/>
      <c r="I6" s="2"/>
      <c r="J6" s="2"/>
      <c r="K6" s="2"/>
      <c r="L6" s="2"/>
      <c r="M6" s="2"/>
      <c r="N6" s="2"/>
      <c r="O6" s="2"/>
    </row>
    <row r="7" spans="1:26" ht="14.4" x14ac:dyDescent="0.3">
      <c r="A7" s="2"/>
      <c r="B7" s="2"/>
      <c r="C7" s="2"/>
      <c r="D7" s="151"/>
      <c r="E7" s="151"/>
      <c r="F7" s="2"/>
      <c r="G7" s="2"/>
      <c r="H7" s="186"/>
      <c r="I7" s="2"/>
      <c r="J7" s="2"/>
      <c r="K7" s="2"/>
      <c r="L7" s="2"/>
      <c r="M7" s="2"/>
      <c r="N7" s="2"/>
      <c r="O7" s="2"/>
    </row>
    <row r="8" spans="1:26" ht="20.399999999999999" x14ac:dyDescent="0.3">
      <c r="A8" s="187" t="s">
        <v>235</v>
      </c>
      <c r="B8" s="280" t="s">
        <v>236</v>
      </c>
      <c r="C8" s="277"/>
      <c r="D8" s="188" t="s">
        <v>135</v>
      </c>
      <c r="E8" s="189" t="s">
        <v>136</v>
      </c>
      <c r="F8" s="190" t="s">
        <v>237</v>
      </c>
      <c r="G8" s="189" t="s">
        <v>138</v>
      </c>
      <c r="H8" s="189" t="s">
        <v>139</v>
      </c>
      <c r="I8" s="189" t="s">
        <v>693</v>
      </c>
      <c r="J8" s="191"/>
      <c r="K8" s="191"/>
      <c r="L8" s="191"/>
      <c r="M8" s="191"/>
      <c r="N8" s="191"/>
      <c r="O8" s="191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</row>
    <row r="9" spans="1:26" ht="14.4" x14ac:dyDescent="0.3">
      <c r="A9" s="172">
        <v>8058750190</v>
      </c>
      <c r="B9" s="193" t="s">
        <v>694</v>
      </c>
      <c r="C9" s="38" t="s">
        <v>695</v>
      </c>
      <c r="D9" s="172">
        <v>1300</v>
      </c>
      <c r="E9" s="194">
        <v>182</v>
      </c>
      <c r="F9" s="33"/>
      <c r="G9" s="34">
        <f t="shared" ref="G9:G82" si="0">F9/D9</f>
        <v>0</v>
      </c>
      <c r="H9" s="63">
        <f t="shared" ref="H9:H82" si="1">(360/E9)</f>
        <v>1.9780219780219781</v>
      </c>
      <c r="I9" s="63"/>
      <c r="J9" s="2"/>
      <c r="K9" s="2"/>
      <c r="L9" s="2"/>
      <c r="M9" s="2"/>
      <c r="N9" s="2"/>
      <c r="O9" s="2"/>
    </row>
    <row r="10" spans="1:26" ht="14.4" x14ac:dyDescent="0.3">
      <c r="A10" s="172">
        <v>8056692190</v>
      </c>
      <c r="B10" s="193" t="s">
        <v>696</v>
      </c>
      <c r="C10" s="38" t="s">
        <v>697</v>
      </c>
      <c r="D10" s="172">
        <v>750</v>
      </c>
      <c r="E10" s="194">
        <v>182</v>
      </c>
      <c r="F10" s="33"/>
      <c r="G10" s="34">
        <f t="shared" si="0"/>
        <v>0</v>
      </c>
      <c r="H10" s="63">
        <f t="shared" si="1"/>
        <v>1.9780219780219781</v>
      </c>
      <c r="I10" s="63"/>
      <c r="J10" s="2"/>
      <c r="K10" s="2"/>
      <c r="L10" s="2"/>
      <c r="M10" s="2"/>
      <c r="N10" s="2"/>
      <c r="O10" s="2"/>
    </row>
    <row r="11" spans="1:26" ht="14.4" x14ac:dyDescent="0.3">
      <c r="A11" s="195">
        <v>8056811190</v>
      </c>
      <c r="B11" s="38" t="s">
        <v>698</v>
      </c>
      <c r="C11" s="38" t="s">
        <v>699</v>
      </c>
      <c r="D11" s="172">
        <v>750</v>
      </c>
      <c r="E11" s="194">
        <v>182</v>
      </c>
      <c r="F11" s="33"/>
      <c r="G11" s="34">
        <f t="shared" si="0"/>
        <v>0</v>
      </c>
      <c r="H11" s="63">
        <f t="shared" si="1"/>
        <v>1.9780219780219781</v>
      </c>
      <c r="I11" s="63"/>
      <c r="J11" s="2"/>
      <c r="K11" s="2"/>
      <c r="L11" s="2"/>
      <c r="M11" s="2"/>
      <c r="N11" s="2"/>
      <c r="O11" s="2"/>
    </row>
    <row r="12" spans="1:26" ht="14.4" x14ac:dyDescent="0.3">
      <c r="A12" s="172">
        <v>8056820190</v>
      </c>
      <c r="B12" s="38" t="s">
        <v>700</v>
      </c>
      <c r="C12" s="38" t="s">
        <v>701</v>
      </c>
      <c r="D12" s="172">
        <v>450</v>
      </c>
      <c r="E12" s="194">
        <v>182</v>
      </c>
      <c r="F12" s="12"/>
      <c r="G12" s="34">
        <f t="shared" si="0"/>
        <v>0</v>
      </c>
      <c r="H12" s="63">
        <f t="shared" si="1"/>
        <v>1.9780219780219781</v>
      </c>
      <c r="I12" s="63"/>
      <c r="J12" s="2"/>
      <c r="K12" s="2"/>
      <c r="L12" s="2"/>
      <c r="M12" s="2"/>
      <c r="N12" s="2"/>
      <c r="O12" s="2"/>
    </row>
    <row r="13" spans="1:26" ht="14.4" x14ac:dyDescent="0.3">
      <c r="A13" s="172">
        <v>8056960190</v>
      </c>
      <c r="B13" s="38" t="s">
        <v>702</v>
      </c>
      <c r="C13" s="38" t="s">
        <v>703</v>
      </c>
      <c r="D13" s="172">
        <v>1050</v>
      </c>
      <c r="E13" s="194">
        <v>42</v>
      </c>
      <c r="F13" s="33"/>
      <c r="G13" s="34">
        <f t="shared" si="0"/>
        <v>0</v>
      </c>
      <c r="H13" s="63">
        <f t="shared" si="1"/>
        <v>8.5714285714285712</v>
      </c>
      <c r="I13" s="63"/>
      <c r="J13" s="2"/>
      <c r="K13" s="2"/>
      <c r="L13" s="2"/>
      <c r="M13" s="2"/>
      <c r="N13" s="2"/>
      <c r="O13" s="2"/>
    </row>
    <row r="14" spans="1:26" ht="14.4" x14ac:dyDescent="0.3">
      <c r="A14" s="172">
        <v>8056951190</v>
      </c>
      <c r="B14" s="38" t="s">
        <v>704</v>
      </c>
      <c r="C14" s="38" t="s">
        <v>705</v>
      </c>
      <c r="D14" s="172">
        <v>1000</v>
      </c>
      <c r="E14" s="194">
        <v>182</v>
      </c>
      <c r="F14" s="33"/>
      <c r="G14" s="34">
        <f t="shared" si="0"/>
        <v>0</v>
      </c>
      <c r="H14" s="63">
        <f t="shared" si="1"/>
        <v>1.9780219780219781</v>
      </c>
      <c r="I14" s="63"/>
      <c r="J14" s="2"/>
      <c r="K14" s="2"/>
      <c r="L14" s="2"/>
      <c r="M14" s="2"/>
      <c r="N14" s="2"/>
      <c r="O14" s="2"/>
    </row>
    <row r="15" spans="1:26" ht="14.4" x14ac:dyDescent="0.3">
      <c r="A15" s="172">
        <v>8057427190</v>
      </c>
      <c r="B15" s="38" t="s">
        <v>706</v>
      </c>
      <c r="C15" s="38" t="s">
        <v>707</v>
      </c>
      <c r="D15" s="172">
        <v>1500</v>
      </c>
      <c r="E15" s="194">
        <v>182</v>
      </c>
      <c r="F15" s="33"/>
      <c r="G15" s="34">
        <f t="shared" si="0"/>
        <v>0</v>
      </c>
      <c r="H15" s="63">
        <f t="shared" si="1"/>
        <v>1.9780219780219781</v>
      </c>
      <c r="I15" s="63"/>
      <c r="J15" s="2"/>
      <c r="K15" s="2"/>
      <c r="L15" s="2"/>
      <c r="M15" s="2"/>
      <c r="N15" s="2"/>
      <c r="O15" s="2"/>
    </row>
    <row r="16" spans="1:26" ht="14.4" x14ac:dyDescent="0.3">
      <c r="A16" s="172">
        <v>8057443190</v>
      </c>
      <c r="B16" s="38" t="s">
        <v>708</v>
      </c>
      <c r="C16" s="38" t="s">
        <v>709</v>
      </c>
      <c r="D16" s="172">
        <v>2600</v>
      </c>
      <c r="E16" s="194">
        <v>182</v>
      </c>
      <c r="F16" s="33"/>
      <c r="G16" s="34">
        <f t="shared" si="0"/>
        <v>0</v>
      </c>
      <c r="H16" s="63">
        <f t="shared" si="1"/>
        <v>1.9780219780219781</v>
      </c>
      <c r="I16" s="63"/>
      <c r="J16" s="2"/>
      <c r="K16" s="2"/>
      <c r="L16" s="2"/>
      <c r="M16" s="2"/>
      <c r="N16" s="2"/>
      <c r="O16" s="2"/>
    </row>
    <row r="17" spans="1:15" ht="14.4" x14ac:dyDescent="0.3">
      <c r="A17" s="172">
        <v>8105561190</v>
      </c>
      <c r="B17" s="38" t="s">
        <v>710</v>
      </c>
      <c r="C17" s="38" t="s">
        <v>711</v>
      </c>
      <c r="D17" s="172">
        <v>1050</v>
      </c>
      <c r="E17" s="194">
        <v>182</v>
      </c>
      <c r="F17" s="12"/>
      <c r="G17" s="34">
        <f t="shared" si="0"/>
        <v>0</v>
      </c>
      <c r="H17" s="63">
        <f t="shared" si="1"/>
        <v>1.9780219780219781</v>
      </c>
      <c r="I17" s="63"/>
      <c r="J17" s="2"/>
      <c r="K17" s="2"/>
      <c r="L17" s="2"/>
      <c r="M17" s="2"/>
      <c r="N17" s="2"/>
      <c r="O17" s="2"/>
    </row>
    <row r="18" spans="1:15" ht="14.4" x14ac:dyDescent="0.3">
      <c r="A18" s="172">
        <v>8057460190</v>
      </c>
      <c r="B18" s="38" t="s">
        <v>712</v>
      </c>
      <c r="C18" s="38" t="s">
        <v>713</v>
      </c>
      <c r="D18" s="172">
        <v>500</v>
      </c>
      <c r="E18" s="194">
        <v>56</v>
      </c>
      <c r="F18" s="33"/>
      <c r="G18" s="34">
        <f t="shared" si="0"/>
        <v>0</v>
      </c>
      <c r="H18" s="63">
        <f t="shared" si="1"/>
        <v>6.4285714285714288</v>
      </c>
      <c r="I18" s="63"/>
      <c r="J18" s="2"/>
      <c r="K18" s="2"/>
      <c r="L18" s="2"/>
      <c r="M18" s="2"/>
      <c r="N18" s="2"/>
      <c r="O18" s="2"/>
    </row>
    <row r="19" spans="1:15" ht="14.4" x14ac:dyDescent="0.3">
      <c r="A19" s="172">
        <v>8056757190</v>
      </c>
      <c r="B19" s="38" t="s">
        <v>714</v>
      </c>
      <c r="C19" s="38" t="s">
        <v>715</v>
      </c>
      <c r="D19" s="172">
        <v>1100</v>
      </c>
      <c r="E19" s="194">
        <v>56</v>
      </c>
      <c r="F19" s="33"/>
      <c r="G19" s="34">
        <f t="shared" si="0"/>
        <v>0</v>
      </c>
      <c r="H19" s="63">
        <f t="shared" si="1"/>
        <v>6.4285714285714288</v>
      </c>
      <c r="I19" s="63"/>
      <c r="J19" s="2"/>
      <c r="K19" s="2"/>
      <c r="L19" s="2"/>
      <c r="M19" s="2"/>
      <c r="N19" s="2"/>
      <c r="O19" s="2"/>
    </row>
    <row r="20" spans="1:15" ht="14.4" x14ac:dyDescent="0.3">
      <c r="A20" s="172">
        <v>8058610190</v>
      </c>
      <c r="B20" s="38" t="s">
        <v>716</v>
      </c>
      <c r="C20" s="38" t="s">
        <v>717</v>
      </c>
      <c r="D20" s="172">
        <v>750</v>
      </c>
      <c r="E20" s="194">
        <v>182</v>
      </c>
      <c r="F20" s="12"/>
      <c r="G20" s="34">
        <f t="shared" si="0"/>
        <v>0</v>
      </c>
      <c r="H20" s="63">
        <f t="shared" si="1"/>
        <v>1.9780219780219781</v>
      </c>
      <c r="I20" s="63"/>
      <c r="J20" s="2"/>
      <c r="K20" s="2"/>
      <c r="L20" s="2"/>
      <c r="M20" s="2"/>
      <c r="N20" s="2"/>
      <c r="O20" s="2"/>
    </row>
    <row r="21" spans="1:15" ht="15.75" customHeight="1" x14ac:dyDescent="0.3">
      <c r="A21" s="172">
        <v>8057796190</v>
      </c>
      <c r="B21" s="38" t="s">
        <v>718</v>
      </c>
      <c r="C21" s="38" t="s">
        <v>719</v>
      </c>
      <c r="D21" s="172">
        <v>400</v>
      </c>
      <c r="E21" s="194">
        <v>84</v>
      </c>
      <c r="F21" s="33"/>
      <c r="G21" s="34">
        <f t="shared" si="0"/>
        <v>0</v>
      </c>
      <c r="H21" s="63">
        <f t="shared" si="1"/>
        <v>4.2857142857142856</v>
      </c>
      <c r="I21" s="63"/>
      <c r="J21" s="2"/>
      <c r="K21" s="2"/>
      <c r="L21" s="2"/>
      <c r="M21" s="2"/>
      <c r="N21" s="2"/>
      <c r="O21" s="2"/>
    </row>
    <row r="22" spans="1:15" ht="15.75" customHeight="1" x14ac:dyDescent="0.3">
      <c r="A22" s="172">
        <v>8057800190</v>
      </c>
      <c r="B22" s="38" t="s">
        <v>720</v>
      </c>
      <c r="C22" s="38" t="s">
        <v>721</v>
      </c>
      <c r="D22" s="172">
        <v>3300</v>
      </c>
      <c r="E22" s="194">
        <v>182</v>
      </c>
      <c r="F22" s="33"/>
      <c r="G22" s="34">
        <f t="shared" si="0"/>
        <v>0</v>
      </c>
      <c r="H22" s="63">
        <f t="shared" si="1"/>
        <v>1.9780219780219781</v>
      </c>
      <c r="I22" s="63"/>
      <c r="J22" s="2"/>
      <c r="K22" s="2"/>
      <c r="L22" s="2"/>
      <c r="M22" s="2"/>
      <c r="N22" s="2"/>
      <c r="O22" s="2"/>
    </row>
    <row r="23" spans="1:15" ht="15.75" customHeight="1" x14ac:dyDescent="0.3">
      <c r="A23" s="172">
        <v>8057931190</v>
      </c>
      <c r="B23" s="38" t="s">
        <v>722</v>
      </c>
      <c r="C23" s="38" t="s">
        <v>723</v>
      </c>
      <c r="D23" s="172">
        <v>700</v>
      </c>
      <c r="E23" s="194">
        <v>84</v>
      </c>
      <c r="F23" s="33"/>
      <c r="G23" s="34">
        <f t="shared" si="0"/>
        <v>0</v>
      </c>
      <c r="H23" s="63">
        <f t="shared" si="1"/>
        <v>4.2857142857142856</v>
      </c>
      <c r="I23" s="63"/>
      <c r="J23" s="2"/>
      <c r="K23" s="2"/>
      <c r="L23" s="2"/>
      <c r="M23" s="2"/>
      <c r="N23" s="2"/>
      <c r="O23" s="2"/>
    </row>
    <row r="24" spans="1:15" ht="15.75" customHeight="1" x14ac:dyDescent="0.3">
      <c r="A24" s="172">
        <v>8057940190</v>
      </c>
      <c r="B24" s="38" t="s">
        <v>724</v>
      </c>
      <c r="C24" s="38" t="s">
        <v>725</v>
      </c>
      <c r="D24" s="172">
        <v>100</v>
      </c>
      <c r="E24" s="194">
        <v>84</v>
      </c>
      <c r="F24" s="12"/>
      <c r="G24" s="34">
        <f t="shared" si="0"/>
        <v>0</v>
      </c>
      <c r="H24" s="63">
        <f t="shared" si="1"/>
        <v>4.2857142857142856</v>
      </c>
      <c r="I24" s="63"/>
      <c r="J24" s="2"/>
      <c r="K24" s="2"/>
      <c r="L24" s="2"/>
      <c r="M24" s="2"/>
      <c r="N24" s="2"/>
      <c r="O24" s="2"/>
    </row>
    <row r="25" spans="1:15" ht="15.75" customHeight="1" x14ac:dyDescent="0.3">
      <c r="A25" s="172">
        <v>8057958190</v>
      </c>
      <c r="B25" s="38" t="s">
        <v>199</v>
      </c>
      <c r="C25" s="38" t="s">
        <v>726</v>
      </c>
      <c r="D25" s="172">
        <v>850</v>
      </c>
      <c r="E25" s="194">
        <v>182</v>
      </c>
      <c r="F25" s="33"/>
      <c r="G25" s="34">
        <f t="shared" si="0"/>
        <v>0</v>
      </c>
      <c r="H25" s="63">
        <f t="shared" si="1"/>
        <v>1.9780219780219781</v>
      </c>
      <c r="I25" s="63"/>
      <c r="J25" s="2"/>
      <c r="K25" s="2"/>
      <c r="L25" s="2"/>
      <c r="M25" s="2"/>
      <c r="N25" s="2"/>
      <c r="O25" s="2"/>
    </row>
    <row r="26" spans="1:15" ht="15.75" customHeight="1" x14ac:dyDescent="0.3">
      <c r="A26" s="172">
        <v>8057982190</v>
      </c>
      <c r="B26" s="38" t="s">
        <v>193</v>
      </c>
      <c r="C26" s="38" t="s">
        <v>727</v>
      </c>
      <c r="D26" s="172">
        <v>200</v>
      </c>
      <c r="E26" s="194">
        <v>28</v>
      </c>
      <c r="F26" s="33"/>
      <c r="G26" s="34">
        <f t="shared" si="0"/>
        <v>0</v>
      </c>
      <c r="H26" s="63">
        <f t="shared" si="1"/>
        <v>12.857142857142858</v>
      </c>
      <c r="I26" s="63"/>
      <c r="J26" s="2"/>
      <c r="K26" s="2"/>
      <c r="L26" s="2"/>
      <c r="M26" s="2"/>
      <c r="N26" s="2"/>
      <c r="O26" s="2"/>
    </row>
    <row r="27" spans="1:15" ht="15.75" customHeight="1" x14ac:dyDescent="0.3">
      <c r="A27" s="172">
        <v>8058016190</v>
      </c>
      <c r="B27" s="38" t="s">
        <v>728</v>
      </c>
      <c r="C27" s="38" t="s">
        <v>729</v>
      </c>
      <c r="D27" s="172">
        <v>690</v>
      </c>
      <c r="E27" s="194">
        <v>182</v>
      </c>
      <c r="F27" s="12"/>
      <c r="G27" s="34">
        <f t="shared" si="0"/>
        <v>0</v>
      </c>
      <c r="H27" s="63">
        <f t="shared" si="1"/>
        <v>1.9780219780219781</v>
      </c>
      <c r="I27" s="63"/>
      <c r="J27" s="2"/>
      <c r="K27" s="2"/>
      <c r="L27" s="2"/>
      <c r="M27" s="2"/>
      <c r="N27" s="2"/>
      <c r="O27" s="2"/>
    </row>
    <row r="28" spans="1:15" ht="15.75" customHeight="1" x14ac:dyDescent="0.3">
      <c r="A28" s="172">
        <v>8104697190</v>
      </c>
      <c r="B28" s="38" t="s">
        <v>730</v>
      </c>
      <c r="C28" s="38" t="s">
        <v>731</v>
      </c>
      <c r="D28" s="172">
        <v>800</v>
      </c>
      <c r="E28" s="194">
        <v>182</v>
      </c>
      <c r="F28" s="33"/>
      <c r="G28" s="34">
        <f t="shared" si="0"/>
        <v>0</v>
      </c>
      <c r="H28" s="63">
        <f t="shared" si="1"/>
        <v>1.9780219780219781</v>
      </c>
      <c r="I28" s="63"/>
      <c r="J28" s="2"/>
      <c r="K28" s="2"/>
      <c r="L28" s="2"/>
      <c r="M28" s="2"/>
      <c r="N28" s="2"/>
      <c r="O28" s="2"/>
    </row>
    <row r="29" spans="1:15" ht="15.75" customHeight="1" x14ac:dyDescent="0.3">
      <c r="A29" s="172">
        <v>8104719190</v>
      </c>
      <c r="B29" s="38" t="s">
        <v>732</v>
      </c>
      <c r="C29" s="38" t="s">
        <v>733</v>
      </c>
      <c r="D29" s="172">
        <v>800</v>
      </c>
      <c r="E29" s="194">
        <v>182</v>
      </c>
      <c r="F29" s="33"/>
      <c r="G29" s="34">
        <f t="shared" si="0"/>
        <v>0</v>
      </c>
      <c r="H29" s="63">
        <f t="shared" si="1"/>
        <v>1.9780219780219781</v>
      </c>
      <c r="I29" s="63"/>
      <c r="J29" s="2"/>
      <c r="K29" s="2"/>
      <c r="L29" s="2"/>
      <c r="M29" s="2"/>
      <c r="N29" s="2"/>
      <c r="O29" s="2"/>
    </row>
    <row r="30" spans="1:15" ht="15.75" customHeight="1" x14ac:dyDescent="0.3">
      <c r="A30" s="172">
        <v>8058687190</v>
      </c>
      <c r="B30" s="38" t="s">
        <v>734</v>
      </c>
      <c r="C30" s="38" t="s">
        <v>735</v>
      </c>
      <c r="D30" s="172">
        <v>1000</v>
      </c>
      <c r="E30" s="194">
        <v>182</v>
      </c>
      <c r="F30" s="33"/>
      <c r="G30" s="34">
        <f t="shared" si="0"/>
        <v>0</v>
      </c>
      <c r="H30" s="63">
        <f t="shared" si="1"/>
        <v>1.9780219780219781</v>
      </c>
      <c r="I30" s="63"/>
      <c r="J30" s="2"/>
      <c r="K30" s="2"/>
      <c r="L30" s="2"/>
      <c r="M30" s="2"/>
      <c r="N30" s="2"/>
      <c r="O30" s="2"/>
    </row>
    <row r="31" spans="1:15" ht="15.75" customHeight="1" x14ac:dyDescent="0.3">
      <c r="A31" s="172">
        <v>8058806190</v>
      </c>
      <c r="B31" s="38" t="s">
        <v>736</v>
      </c>
      <c r="C31" s="38" t="s">
        <v>737</v>
      </c>
      <c r="D31" s="172">
        <v>600</v>
      </c>
      <c r="E31" s="194">
        <v>56</v>
      </c>
      <c r="F31" s="33"/>
      <c r="G31" s="34">
        <f t="shared" si="0"/>
        <v>0</v>
      </c>
      <c r="H31" s="63">
        <f t="shared" si="1"/>
        <v>6.4285714285714288</v>
      </c>
      <c r="I31" s="63"/>
      <c r="J31" s="2"/>
      <c r="K31" s="2"/>
      <c r="L31" s="2"/>
      <c r="M31" s="2"/>
      <c r="N31" s="2"/>
      <c r="O31" s="2"/>
    </row>
    <row r="32" spans="1:15" ht="15.75" customHeight="1" x14ac:dyDescent="0.3">
      <c r="A32" s="172">
        <v>8106053190</v>
      </c>
      <c r="B32" s="38" t="s">
        <v>738</v>
      </c>
      <c r="C32" s="38" t="s">
        <v>739</v>
      </c>
      <c r="D32" s="172">
        <v>300</v>
      </c>
      <c r="E32" s="194">
        <v>182</v>
      </c>
      <c r="F32" s="12"/>
      <c r="G32" s="34">
        <f t="shared" si="0"/>
        <v>0</v>
      </c>
      <c r="H32" s="63">
        <f t="shared" si="1"/>
        <v>1.9780219780219781</v>
      </c>
      <c r="I32" s="63"/>
      <c r="J32" s="2"/>
      <c r="K32" s="2"/>
      <c r="L32" s="2"/>
      <c r="M32" s="2"/>
      <c r="N32" s="2"/>
      <c r="O32" s="2"/>
    </row>
    <row r="33" spans="1:15" ht="15.75" customHeight="1" x14ac:dyDescent="0.3">
      <c r="A33" s="38">
        <v>8056714190</v>
      </c>
      <c r="B33" s="38" t="s">
        <v>740</v>
      </c>
      <c r="C33" s="38" t="s">
        <v>741</v>
      </c>
      <c r="D33" s="172">
        <v>500</v>
      </c>
      <c r="E33" s="194">
        <v>182</v>
      </c>
      <c r="F33" s="12"/>
      <c r="G33" s="34">
        <f t="shared" si="0"/>
        <v>0</v>
      </c>
      <c r="H33" s="63">
        <f t="shared" si="1"/>
        <v>1.9780219780219781</v>
      </c>
      <c r="I33" s="63"/>
      <c r="J33" s="2"/>
      <c r="K33" s="2"/>
      <c r="L33" s="2"/>
      <c r="M33" s="2"/>
      <c r="N33" s="2"/>
      <c r="O33" s="2"/>
    </row>
    <row r="34" spans="1:15" ht="15.75" customHeight="1" x14ac:dyDescent="0.3">
      <c r="A34" s="38">
        <v>8058652190</v>
      </c>
      <c r="B34" s="38" t="s">
        <v>742</v>
      </c>
      <c r="C34" s="38" t="s">
        <v>743</v>
      </c>
      <c r="D34" s="172">
        <v>1050</v>
      </c>
      <c r="E34" s="194">
        <v>182</v>
      </c>
      <c r="F34" s="33"/>
      <c r="G34" s="34">
        <f t="shared" si="0"/>
        <v>0</v>
      </c>
      <c r="H34" s="63">
        <f t="shared" si="1"/>
        <v>1.9780219780219781</v>
      </c>
      <c r="I34" s="63"/>
      <c r="J34" s="2"/>
      <c r="K34" s="2"/>
      <c r="L34" s="2"/>
      <c r="M34" s="2"/>
      <c r="N34" s="2"/>
      <c r="O34" s="2"/>
    </row>
    <row r="35" spans="1:15" ht="15.75" customHeight="1" x14ac:dyDescent="0.3">
      <c r="A35" s="38">
        <v>8057524190</v>
      </c>
      <c r="B35" s="38" t="s">
        <v>744</v>
      </c>
      <c r="C35" s="38" t="s">
        <v>745</v>
      </c>
      <c r="D35" s="172">
        <v>600</v>
      </c>
      <c r="E35" s="194">
        <v>126</v>
      </c>
      <c r="F35" s="12"/>
      <c r="G35" s="34">
        <f t="shared" si="0"/>
        <v>0</v>
      </c>
      <c r="H35" s="63">
        <f t="shared" si="1"/>
        <v>2.8571428571428572</v>
      </c>
      <c r="I35" s="63"/>
      <c r="J35" s="2"/>
      <c r="K35" s="2"/>
      <c r="L35" s="2"/>
      <c r="M35" s="2"/>
      <c r="N35" s="2"/>
      <c r="O35" s="2"/>
    </row>
    <row r="36" spans="1:15" ht="15.75" customHeight="1" x14ac:dyDescent="0.3">
      <c r="A36" s="38">
        <v>8057532190</v>
      </c>
      <c r="B36" s="38" t="s">
        <v>746</v>
      </c>
      <c r="C36" s="38" t="s">
        <v>747</v>
      </c>
      <c r="D36" s="172">
        <v>2500</v>
      </c>
      <c r="E36" s="194">
        <v>182</v>
      </c>
      <c r="F36" s="33"/>
      <c r="G36" s="34">
        <f t="shared" si="0"/>
        <v>0</v>
      </c>
      <c r="H36" s="63">
        <f t="shared" si="1"/>
        <v>1.9780219780219781</v>
      </c>
      <c r="I36" s="63"/>
      <c r="J36" s="2"/>
      <c r="K36" s="2"/>
      <c r="L36" s="2"/>
      <c r="M36" s="2"/>
      <c r="N36" s="2"/>
      <c r="O36" s="2"/>
    </row>
    <row r="37" spans="1:15" ht="15.75" customHeight="1" x14ac:dyDescent="0.3">
      <c r="A37" s="38">
        <v>8057877190</v>
      </c>
      <c r="B37" s="38" t="s">
        <v>748</v>
      </c>
      <c r="C37" s="38" t="s">
        <v>749</v>
      </c>
      <c r="D37" s="172">
        <v>700</v>
      </c>
      <c r="E37" s="194">
        <v>84</v>
      </c>
      <c r="F37" s="33"/>
      <c r="G37" s="34">
        <f t="shared" si="0"/>
        <v>0</v>
      </c>
      <c r="H37" s="63">
        <f t="shared" si="1"/>
        <v>4.2857142857142856</v>
      </c>
      <c r="I37" s="63"/>
      <c r="J37" s="2"/>
      <c r="K37" s="2"/>
      <c r="L37" s="2"/>
      <c r="M37" s="2"/>
      <c r="N37" s="2"/>
      <c r="O37" s="2"/>
    </row>
    <row r="38" spans="1:15" ht="15.75" customHeight="1" x14ac:dyDescent="0.3">
      <c r="A38" s="38">
        <v>8057966190</v>
      </c>
      <c r="B38" s="38" t="s">
        <v>750</v>
      </c>
      <c r="C38" s="38" t="s">
        <v>751</v>
      </c>
      <c r="D38" s="172">
        <v>600</v>
      </c>
      <c r="E38" s="194">
        <v>182</v>
      </c>
      <c r="F38" s="12"/>
      <c r="G38" s="34">
        <f t="shared" si="0"/>
        <v>0</v>
      </c>
      <c r="H38" s="63">
        <f t="shared" si="1"/>
        <v>1.9780219780219781</v>
      </c>
      <c r="I38" s="63"/>
      <c r="J38" s="2"/>
      <c r="K38" s="2"/>
      <c r="L38" s="2"/>
      <c r="M38" s="2"/>
      <c r="N38" s="2"/>
      <c r="O38" s="2"/>
    </row>
    <row r="39" spans="1:15" ht="15.75" customHeight="1" x14ac:dyDescent="0.3">
      <c r="A39" s="38">
        <v>8105448190</v>
      </c>
      <c r="B39" s="38" t="s">
        <v>752</v>
      </c>
      <c r="C39" s="38" t="s">
        <v>753</v>
      </c>
      <c r="D39" s="172">
        <v>250</v>
      </c>
      <c r="E39" s="194">
        <v>182</v>
      </c>
      <c r="F39" s="12"/>
      <c r="G39" s="34">
        <f t="shared" si="0"/>
        <v>0</v>
      </c>
      <c r="H39" s="63">
        <f t="shared" si="1"/>
        <v>1.9780219780219781</v>
      </c>
      <c r="I39" s="63"/>
      <c r="J39" s="2"/>
      <c r="K39" s="2"/>
      <c r="L39" s="2"/>
      <c r="M39" s="2"/>
      <c r="N39" s="2"/>
      <c r="O39" s="2"/>
    </row>
    <row r="40" spans="1:15" ht="15.75" customHeight="1" x14ac:dyDescent="0.3">
      <c r="A40" s="38">
        <v>8105464190</v>
      </c>
      <c r="B40" s="38" t="s">
        <v>754</v>
      </c>
      <c r="C40" s="38" t="s">
        <v>755</v>
      </c>
      <c r="D40" s="172">
        <v>250</v>
      </c>
      <c r="E40" s="194">
        <v>182</v>
      </c>
      <c r="F40" s="12"/>
      <c r="G40" s="34">
        <f t="shared" si="0"/>
        <v>0</v>
      </c>
      <c r="H40" s="63">
        <f t="shared" si="1"/>
        <v>1.9780219780219781</v>
      </c>
      <c r="I40" s="63"/>
      <c r="J40" s="2"/>
      <c r="K40" s="2"/>
      <c r="L40" s="2"/>
      <c r="M40" s="2"/>
      <c r="N40" s="2"/>
      <c r="O40" s="2"/>
    </row>
    <row r="41" spans="1:15" ht="15.75" customHeight="1" x14ac:dyDescent="0.3">
      <c r="A41" s="38">
        <v>8063516190</v>
      </c>
      <c r="B41" s="38" t="s">
        <v>756</v>
      </c>
      <c r="C41" s="38" t="s">
        <v>757</v>
      </c>
      <c r="D41" s="172">
        <v>14500</v>
      </c>
      <c r="E41" s="194">
        <v>182</v>
      </c>
      <c r="F41" s="12"/>
      <c r="G41" s="34">
        <f t="shared" si="0"/>
        <v>0</v>
      </c>
      <c r="H41" s="63">
        <f t="shared" si="1"/>
        <v>1.9780219780219781</v>
      </c>
      <c r="I41" s="63"/>
      <c r="J41" s="2"/>
      <c r="K41" s="2"/>
      <c r="L41" s="2"/>
      <c r="M41" s="2"/>
      <c r="N41" s="2"/>
      <c r="O41" s="2"/>
    </row>
    <row r="42" spans="1:15" ht="15.75" customHeight="1" x14ac:dyDescent="0.3">
      <c r="A42" s="38">
        <v>8057486190</v>
      </c>
      <c r="B42" s="38" t="s">
        <v>758</v>
      </c>
      <c r="C42" s="38" t="s">
        <v>759</v>
      </c>
      <c r="D42" s="172">
        <v>150</v>
      </c>
      <c r="E42" s="194">
        <v>56</v>
      </c>
      <c r="F42" s="33"/>
      <c r="G42" s="34">
        <f t="shared" si="0"/>
        <v>0</v>
      </c>
      <c r="H42" s="63">
        <f t="shared" si="1"/>
        <v>6.4285714285714288</v>
      </c>
      <c r="I42" s="63"/>
      <c r="J42" s="2"/>
      <c r="K42" s="2"/>
      <c r="L42" s="2"/>
      <c r="M42" s="2"/>
      <c r="N42" s="2"/>
      <c r="O42" s="2"/>
    </row>
    <row r="43" spans="1:15" ht="15.75" customHeight="1" x14ac:dyDescent="0.3">
      <c r="A43" s="38">
        <v>8056722190</v>
      </c>
      <c r="B43" s="38" t="s">
        <v>760</v>
      </c>
      <c r="C43" s="38" t="s">
        <v>761</v>
      </c>
      <c r="D43" s="172">
        <v>500</v>
      </c>
      <c r="E43" s="194">
        <v>182</v>
      </c>
      <c r="F43" s="33"/>
      <c r="G43" s="34">
        <f t="shared" si="0"/>
        <v>0</v>
      </c>
      <c r="H43" s="63">
        <f t="shared" si="1"/>
        <v>1.9780219780219781</v>
      </c>
      <c r="I43" s="63"/>
      <c r="J43" s="2"/>
      <c r="K43" s="2"/>
      <c r="L43" s="2"/>
      <c r="M43" s="2"/>
      <c r="N43" s="2"/>
      <c r="O43" s="2"/>
    </row>
    <row r="44" spans="1:15" ht="15.75" customHeight="1" x14ac:dyDescent="0.3">
      <c r="A44" s="38">
        <v>8058679190</v>
      </c>
      <c r="B44" s="38" t="s">
        <v>762</v>
      </c>
      <c r="C44" s="38" t="s">
        <v>763</v>
      </c>
      <c r="D44" s="172">
        <v>650</v>
      </c>
      <c r="E44" s="194">
        <v>182</v>
      </c>
      <c r="F44" s="12"/>
      <c r="G44" s="34">
        <f t="shared" si="0"/>
        <v>0</v>
      </c>
      <c r="H44" s="63">
        <f t="shared" si="1"/>
        <v>1.9780219780219781</v>
      </c>
      <c r="I44" s="63"/>
      <c r="J44" s="2"/>
      <c r="K44" s="2"/>
      <c r="L44" s="2"/>
      <c r="M44" s="2"/>
      <c r="N44" s="2"/>
      <c r="O44" s="2"/>
    </row>
    <row r="45" spans="1:15" ht="15.75" customHeight="1" x14ac:dyDescent="0.3">
      <c r="A45" s="38">
        <v>8057915190</v>
      </c>
      <c r="B45" s="38" t="s">
        <v>764</v>
      </c>
      <c r="C45" s="38" t="s">
        <v>765</v>
      </c>
      <c r="D45" s="172">
        <v>300</v>
      </c>
      <c r="E45" s="194">
        <v>182</v>
      </c>
      <c r="F45" s="12"/>
      <c r="G45" s="34">
        <f t="shared" si="0"/>
        <v>0</v>
      </c>
      <c r="H45" s="63">
        <f t="shared" si="1"/>
        <v>1.9780219780219781</v>
      </c>
      <c r="I45" s="63"/>
      <c r="J45" s="2"/>
      <c r="K45" s="2"/>
      <c r="L45" s="2"/>
      <c r="M45" s="2"/>
      <c r="N45" s="2"/>
      <c r="O45" s="2"/>
    </row>
    <row r="46" spans="1:15" ht="15.75" customHeight="1" x14ac:dyDescent="0.3">
      <c r="A46" s="172">
        <v>8105472190</v>
      </c>
      <c r="B46" s="38" t="s">
        <v>766</v>
      </c>
      <c r="C46" s="38" t="s">
        <v>767</v>
      </c>
      <c r="D46" s="172">
        <v>200</v>
      </c>
      <c r="E46" s="194">
        <v>182</v>
      </c>
      <c r="F46" s="12"/>
      <c r="G46" s="34">
        <f t="shared" si="0"/>
        <v>0</v>
      </c>
      <c r="H46" s="63">
        <f t="shared" si="1"/>
        <v>1.9780219780219781</v>
      </c>
      <c r="I46" s="63"/>
      <c r="J46" s="2"/>
      <c r="K46" s="2"/>
      <c r="L46" s="2"/>
      <c r="M46" s="2"/>
      <c r="N46" s="2"/>
      <c r="O46" s="2"/>
    </row>
    <row r="47" spans="1:15" ht="15.75" customHeight="1" x14ac:dyDescent="0.3">
      <c r="A47" s="172">
        <v>8105553190</v>
      </c>
      <c r="B47" s="38" t="s">
        <v>768</v>
      </c>
      <c r="C47" s="38" t="s">
        <v>769</v>
      </c>
      <c r="D47" s="172">
        <v>200</v>
      </c>
      <c r="E47" s="194">
        <v>56</v>
      </c>
      <c r="F47" s="12"/>
      <c r="G47" s="34">
        <f t="shared" si="0"/>
        <v>0</v>
      </c>
      <c r="H47" s="63">
        <f t="shared" si="1"/>
        <v>6.4285714285714288</v>
      </c>
      <c r="I47" s="63"/>
      <c r="J47" s="2"/>
      <c r="K47" s="2"/>
      <c r="L47" s="2"/>
      <c r="M47" s="2"/>
      <c r="N47" s="2"/>
      <c r="O47" s="2"/>
    </row>
    <row r="48" spans="1:15" ht="15.75" customHeight="1" x14ac:dyDescent="0.3">
      <c r="A48" s="172">
        <v>8252645190</v>
      </c>
      <c r="B48" s="38" t="s">
        <v>770</v>
      </c>
      <c r="C48" s="38" t="s">
        <v>771</v>
      </c>
      <c r="D48" s="172">
        <v>200</v>
      </c>
      <c r="E48" s="194">
        <v>182</v>
      </c>
      <c r="F48" s="12"/>
      <c r="G48" s="34">
        <f t="shared" si="0"/>
        <v>0</v>
      </c>
      <c r="H48" s="63">
        <f t="shared" si="1"/>
        <v>1.9780219780219781</v>
      </c>
      <c r="I48" s="63"/>
      <c r="J48" s="2"/>
      <c r="K48" s="2"/>
      <c r="L48" s="2"/>
      <c r="M48" s="2"/>
      <c r="N48" s="2"/>
      <c r="O48" s="2"/>
    </row>
    <row r="49" spans="1:15" ht="15.75" customHeight="1" x14ac:dyDescent="0.3">
      <c r="A49" s="172">
        <v>8106070190</v>
      </c>
      <c r="B49" s="38" t="s">
        <v>772</v>
      </c>
      <c r="C49" s="38" t="s">
        <v>773</v>
      </c>
      <c r="D49" s="172">
        <v>150</v>
      </c>
      <c r="E49" s="194">
        <v>182</v>
      </c>
      <c r="F49" s="12"/>
      <c r="G49" s="34">
        <f t="shared" si="0"/>
        <v>0</v>
      </c>
      <c r="H49" s="63">
        <f t="shared" si="1"/>
        <v>1.9780219780219781</v>
      </c>
      <c r="I49" s="63"/>
      <c r="J49" s="2"/>
      <c r="K49" s="2"/>
      <c r="L49" s="2"/>
      <c r="M49" s="2"/>
      <c r="N49" s="2"/>
      <c r="O49" s="2"/>
    </row>
    <row r="50" spans="1:15" ht="15.75" customHeight="1" x14ac:dyDescent="0.3">
      <c r="A50" s="172">
        <v>8106061190</v>
      </c>
      <c r="B50" s="38" t="s">
        <v>774</v>
      </c>
      <c r="C50" s="38" t="s">
        <v>775</v>
      </c>
      <c r="D50" s="172">
        <v>150</v>
      </c>
      <c r="E50" s="194">
        <v>182</v>
      </c>
      <c r="F50" s="12"/>
      <c r="G50" s="34">
        <f t="shared" si="0"/>
        <v>0</v>
      </c>
      <c r="H50" s="63">
        <f t="shared" si="1"/>
        <v>1.9780219780219781</v>
      </c>
      <c r="I50" s="63"/>
      <c r="J50" s="2"/>
      <c r="K50" s="2"/>
      <c r="L50" s="2"/>
      <c r="M50" s="2"/>
      <c r="N50" s="2"/>
      <c r="O50" s="2"/>
    </row>
    <row r="51" spans="1:15" ht="15.75" customHeight="1" x14ac:dyDescent="0.3">
      <c r="A51" s="172">
        <v>8058776190</v>
      </c>
      <c r="B51" s="38" t="s">
        <v>776</v>
      </c>
      <c r="C51" s="38" t="s">
        <v>777</v>
      </c>
      <c r="D51" s="172">
        <v>100</v>
      </c>
      <c r="E51" s="194">
        <v>56</v>
      </c>
      <c r="F51" s="12"/>
      <c r="G51" s="34">
        <f t="shared" si="0"/>
        <v>0</v>
      </c>
      <c r="H51" s="63">
        <f t="shared" si="1"/>
        <v>6.4285714285714288</v>
      </c>
      <c r="I51" s="63"/>
      <c r="J51" s="2"/>
      <c r="K51" s="2"/>
      <c r="L51" s="2"/>
      <c r="M51" s="2"/>
      <c r="N51" s="2"/>
      <c r="O51" s="2"/>
    </row>
    <row r="52" spans="1:15" ht="15.75" customHeight="1" x14ac:dyDescent="0.3">
      <c r="A52" s="172">
        <v>8057591190</v>
      </c>
      <c r="B52" s="38" t="s">
        <v>778</v>
      </c>
      <c r="C52" s="38" t="s">
        <v>779</v>
      </c>
      <c r="D52" s="172">
        <v>500</v>
      </c>
      <c r="E52" s="194">
        <v>84</v>
      </c>
      <c r="F52" s="33"/>
      <c r="G52" s="34">
        <f t="shared" si="0"/>
        <v>0</v>
      </c>
      <c r="H52" s="63">
        <f t="shared" si="1"/>
        <v>4.2857142857142856</v>
      </c>
      <c r="I52" s="63"/>
      <c r="J52" s="2"/>
      <c r="K52" s="2"/>
      <c r="L52" s="2"/>
      <c r="M52" s="2"/>
      <c r="N52" s="2"/>
      <c r="O52" s="2"/>
    </row>
    <row r="53" spans="1:15" ht="15.75" customHeight="1" x14ac:dyDescent="0.3">
      <c r="A53" s="172">
        <v>8105545190</v>
      </c>
      <c r="B53" s="38" t="s">
        <v>780</v>
      </c>
      <c r="C53" s="38" t="s">
        <v>781</v>
      </c>
      <c r="D53" s="172">
        <v>150</v>
      </c>
      <c r="E53" s="194">
        <v>154</v>
      </c>
      <c r="F53" s="12"/>
      <c r="G53" s="34">
        <f t="shared" si="0"/>
        <v>0</v>
      </c>
      <c r="H53" s="63">
        <f t="shared" si="1"/>
        <v>2.3376623376623376</v>
      </c>
      <c r="I53" s="63"/>
      <c r="J53" s="2"/>
      <c r="K53" s="2"/>
      <c r="L53" s="2"/>
      <c r="M53" s="2"/>
      <c r="N53" s="2"/>
      <c r="O53" s="2"/>
    </row>
    <row r="54" spans="1:15" ht="15.75" customHeight="1" x14ac:dyDescent="0.3">
      <c r="A54" s="172">
        <v>8106045190</v>
      </c>
      <c r="B54" s="38" t="s">
        <v>782</v>
      </c>
      <c r="C54" s="38" t="s">
        <v>783</v>
      </c>
      <c r="D54" s="172">
        <v>200</v>
      </c>
      <c r="E54" s="194">
        <v>182</v>
      </c>
      <c r="F54" s="12"/>
      <c r="G54" s="34">
        <f t="shared" si="0"/>
        <v>0</v>
      </c>
      <c r="H54" s="63">
        <f t="shared" si="1"/>
        <v>1.9780219780219781</v>
      </c>
      <c r="I54" s="63"/>
      <c r="J54" s="2"/>
      <c r="K54" s="2"/>
      <c r="L54" s="2"/>
      <c r="M54" s="2"/>
      <c r="N54" s="2"/>
      <c r="O54" s="2"/>
    </row>
    <row r="55" spans="1:15" ht="15.75" customHeight="1" x14ac:dyDescent="0.3">
      <c r="A55" s="172">
        <v>8105537190</v>
      </c>
      <c r="B55" s="38" t="s">
        <v>784</v>
      </c>
      <c r="C55" s="38" t="s">
        <v>785</v>
      </c>
      <c r="D55" s="172">
        <v>150</v>
      </c>
      <c r="E55" s="194">
        <v>154</v>
      </c>
      <c r="F55" s="12"/>
      <c r="G55" s="34">
        <f t="shared" si="0"/>
        <v>0</v>
      </c>
      <c r="H55" s="63">
        <f t="shared" si="1"/>
        <v>2.3376623376623376</v>
      </c>
      <c r="I55" s="63"/>
      <c r="J55" s="2"/>
      <c r="K55" s="2"/>
      <c r="L55" s="2"/>
      <c r="M55" s="2"/>
      <c r="N55" s="2"/>
      <c r="O55" s="2"/>
    </row>
    <row r="56" spans="1:15" ht="15.75" customHeight="1" x14ac:dyDescent="0.3">
      <c r="A56" s="172">
        <v>8106088190</v>
      </c>
      <c r="B56" s="38" t="s">
        <v>786</v>
      </c>
      <c r="C56" s="38" t="s">
        <v>787</v>
      </c>
      <c r="D56" s="172">
        <v>100</v>
      </c>
      <c r="E56" s="194">
        <v>182</v>
      </c>
      <c r="F56" s="12"/>
      <c r="G56" s="34">
        <f t="shared" si="0"/>
        <v>0</v>
      </c>
      <c r="H56" s="63">
        <f t="shared" si="1"/>
        <v>1.9780219780219781</v>
      </c>
      <c r="I56" s="63"/>
      <c r="J56" s="2"/>
      <c r="K56" s="2"/>
      <c r="L56" s="2"/>
      <c r="M56" s="2"/>
      <c r="N56" s="2"/>
      <c r="O56" s="2"/>
    </row>
    <row r="57" spans="1:15" ht="15.75" customHeight="1" x14ac:dyDescent="0.3">
      <c r="A57" s="172">
        <v>8106096190</v>
      </c>
      <c r="B57" s="38" t="s">
        <v>788</v>
      </c>
      <c r="C57" s="38" t="s">
        <v>789</v>
      </c>
      <c r="D57" s="172">
        <v>100</v>
      </c>
      <c r="E57" s="194">
        <v>182</v>
      </c>
      <c r="F57" s="12"/>
      <c r="G57" s="34">
        <f t="shared" si="0"/>
        <v>0</v>
      </c>
      <c r="H57" s="63">
        <f t="shared" si="1"/>
        <v>1.9780219780219781</v>
      </c>
      <c r="I57" s="63"/>
      <c r="J57" s="2"/>
      <c r="K57" s="2"/>
      <c r="L57" s="2"/>
      <c r="M57" s="2"/>
      <c r="N57" s="2"/>
      <c r="O57" s="2"/>
    </row>
    <row r="58" spans="1:15" ht="15.75" customHeight="1" x14ac:dyDescent="0.3">
      <c r="A58" s="172">
        <v>8101396190</v>
      </c>
      <c r="B58" s="38" t="s">
        <v>790</v>
      </c>
      <c r="C58" s="38" t="s">
        <v>791</v>
      </c>
      <c r="D58" s="172">
        <v>200</v>
      </c>
      <c r="E58" s="194">
        <v>182</v>
      </c>
      <c r="F58" s="12"/>
      <c r="G58" s="34">
        <f t="shared" si="0"/>
        <v>0</v>
      </c>
      <c r="H58" s="63">
        <f t="shared" si="1"/>
        <v>1.9780219780219781</v>
      </c>
      <c r="I58" s="63"/>
      <c r="J58" s="2"/>
      <c r="K58" s="2"/>
      <c r="L58" s="2"/>
      <c r="M58" s="2"/>
      <c r="N58" s="2"/>
      <c r="O58" s="2"/>
    </row>
    <row r="59" spans="1:15" ht="15.75" customHeight="1" x14ac:dyDescent="0.3">
      <c r="A59" s="172">
        <v>8058733190</v>
      </c>
      <c r="B59" s="38" t="s">
        <v>792</v>
      </c>
      <c r="C59" s="38" t="s">
        <v>793</v>
      </c>
      <c r="D59" s="172">
        <v>500</v>
      </c>
      <c r="E59" s="194">
        <v>182</v>
      </c>
      <c r="F59" s="12"/>
      <c r="G59" s="34">
        <f t="shared" si="0"/>
        <v>0</v>
      </c>
      <c r="H59" s="63">
        <f t="shared" si="1"/>
        <v>1.9780219780219781</v>
      </c>
      <c r="I59" s="63"/>
      <c r="J59" s="2"/>
      <c r="K59" s="2"/>
      <c r="L59" s="2"/>
      <c r="M59" s="2"/>
      <c r="N59" s="2"/>
      <c r="O59" s="2"/>
    </row>
    <row r="60" spans="1:15" ht="15.75" customHeight="1" x14ac:dyDescent="0.3">
      <c r="A60" s="172">
        <v>8057648190</v>
      </c>
      <c r="B60" s="38" t="s">
        <v>794</v>
      </c>
      <c r="C60" s="38" t="s">
        <v>795</v>
      </c>
      <c r="D60" s="172">
        <v>400</v>
      </c>
      <c r="E60" s="194">
        <v>182</v>
      </c>
      <c r="F60" s="12"/>
      <c r="G60" s="34">
        <f t="shared" si="0"/>
        <v>0</v>
      </c>
      <c r="H60" s="63">
        <f t="shared" si="1"/>
        <v>1.9780219780219781</v>
      </c>
      <c r="I60" s="63"/>
      <c r="J60" s="2"/>
      <c r="K60" s="2"/>
      <c r="L60" s="2"/>
      <c r="M60" s="2"/>
      <c r="N60" s="2"/>
      <c r="O60" s="2"/>
    </row>
    <row r="61" spans="1:15" ht="15.75" customHeight="1" x14ac:dyDescent="0.3">
      <c r="A61" s="172">
        <v>8057923190</v>
      </c>
      <c r="B61" s="38" t="s">
        <v>796</v>
      </c>
      <c r="C61" s="38" t="s">
        <v>797</v>
      </c>
      <c r="D61" s="172">
        <v>300</v>
      </c>
      <c r="E61" s="194">
        <v>182</v>
      </c>
      <c r="F61" s="12"/>
      <c r="G61" s="34">
        <f t="shared" si="0"/>
        <v>0</v>
      </c>
      <c r="H61" s="63">
        <f t="shared" si="1"/>
        <v>1.9780219780219781</v>
      </c>
      <c r="I61" s="63"/>
      <c r="J61" s="2"/>
      <c r="K61" s="2"/>
      <c r="L61" s="2"/>
      <c r="M61" s="2"/>
      <c r="N61" s="2"/>
      <c r="O61" s="2"/>
    </row>
    <row r="62" spans="1:15" ht="15.75" customHeight="1" x14ac:dyDescent="0.3">
      <c r="A62" s="196" t="s">
        <v>798</v>
      </c>
      <c r="B62" s="38" t="s">
        <v>799</v>
      </c>
      <c r="C62" s="197" t="s">
        <v>765</v>
      </c>
      <c r="D62" s="172">
        <v>300</v>
      </c>
      <c r="E62" s="194">
        <v>182</v>
      </c>
      <c r="F62" s="12"/>
      <c r="G62" s="34">
        <f t="shared" si="0"/>
        <v>0</v>
      </c>
      <c r="H62" s="63">
        <f t="shared" si="1"/>
        <v>1.9780219780219781</v>
      </c>
      <c r="I62" s="63"/>
      <c r="J62" s="2"/>
      <c r="K62" s="2"/>
      <c r="L62" s="2"/>
      <c r="M62" s="2"/>
      <c r="N62" s="2"/>
      <c r="O62" s="2"/>
    </row>
    <row r="63" spans="1:15" ht="15.75" customHeight="1" x14ac:dyDescent="0.3">
      <c r="A63" s="172">
        <v>8057885190</v>
      </c>
      <c r="B63" s="38" t="s">
        <v>800</v>
      </c>
      <c r="C63" s="38" t="s">
        <v>801</v>
      </c>
      <c r="D63" s="172">
        <v>300</v>
      </c>
      <c r="E63" s="194">
        <v>182</v>
      </c>
      <c r="F63" s="12"/>
      <c r="G63" s="34">
        <f t="shared" si="0"/>
        <v>0</v>
      </c>
      <c r="H63" s="63">
        <f t="shared" si="1"/>
        <v>1.9780219780219781</v>
      </c>
      <c r="I63" s="63"/>
      <c r="J63" s="2"/>
      <c r="K63" s="2"/>
      <c r="L63" s="2"/>
      <c r="M63" s="2"/>
      <c r="N63" s="2"/>
      <c r="O63" s="2"/>
    </row>
    <row r="64" spans="1:15" ht="15.75" customHeight="1" x14ac:dyDescent="0.3">
      <c r="A64" s="38">
        <v>8056668190</v>
      </c>
      <c r="B64" s="38" t="s">
        <v>802</v>
      </c>
      <c r="C64" s="38" t="s">
        <v>803</v>
      </c>
      <c r="D64" s="172">
        <v>500</v>
      </c>
      <c r="E64" s="194">
        <v>182</v>
      </c>
      <c r="F64" s="12"/>
      <c r="G64" s="34">
        <f t="shared" si="0"/>
        <v>0</v>
      </c>
      <c r="H64" s="63">
        <f t="shared" si="1"/>
        <v>1.9780219780219781</v>
      </c>
      <c r="I64" s="63"/>
      <c r="J64" s="2"/>
      <c r="K64" s="2"/>
      <c r="L64" s="2"/>
      <c r="M64" s="2"/>
      <c r="N64" s="2"/>
      <c r="O64" s="2"/>
    </row>
    <row r="65" spans="1:15" ht="15.75" customHeight="1" x14ac:dyDescent="0.3">
      <c r="A65" s="38">
        <v>8445699190</v>
      </c>
      <c r="B65" s="38" t="s">
        <v>804</v>
      </c>
      <c r="C65" s="38" t="s">
        <v>805</v>
      </c>
      <c r="D65" s="172">
        <v>200</v>
      </c>
      <c r="E65" s="194">
        <v>28</v>
      </c>
      <c r="F65" s="33"/>
      <c r="G65" s="34">
        <f t="shared" si="0"/>
        <v>0</v>
      </c>
      <c r="H65" s="63">
        <f t="shared" si="1"/>
        <v>12.857142857142858</v>
      </c>
      <c r="I65" s="63"/>
      <c r="J65" s="2"/>
      <c r="K65" s="2"/>
      <c r="L65" s="2"/>
      <c r="M65" s="2"/>
      <c r="N65" s="2"/>
      <c r="O65" s="2"/>
    </row>
    <row r="66" spans="1:15" ht="15.75" customHeight="1" x14ac:dyDescent="0.3">
      <c r="A66" s="38">
        <v>8105626190</v>
      </c>
      <c r="B66" s="38" t="s">
        <v>806</v>
      </c>
      <c r="C66" s="38" t="s">
        <v>807</v>
      </c>
      <c r="D66" s="172">
        <v>100</v>
      </c>
      <c r="E66" s="194">
        <v>182</v>
      </c>
      <c r="F66" s="33"/>
      <c r="G66" s="34">
        <f t="shared" si="0"/>
        <v>0</v>
      </c>
      <c r="H66" s="63">
        <f t="shared" si="1"/>
        <v>1.9780219780219781</v>
      </c>
      <c r="I66" s="63"/>
      <c r="J66" s="2"/>
      <c r="K66" s="2"/>
      <c r="L66" s="2"/>
      <c r="M66" s="2"/>
      <c r="N66" s="2"/>
      <c r="O66" s="2"/>
    </row>
    <row r="67" spans="1:15" ht="15.75" customHeight="1" x14ac:dyDescent="0.3">
      <c r="A67" s="38">
        <v>8105529190</v>
      </c>
      <c r="B67" s="38" t="s">
        <v>808</v>
      </c>
      <c r="C67" s="38" t="s">
        <v>809</v>
      </c>
      <c r="D67" s="172">
        <v>150</v>
      </c>
      <c r="E67" s="194">
        <v>84</v>
      </c>
      <c r="F67" s="12"/>
      <c r="G67" s="34">
        <f t="shared" si="0"/>
        <v>0</v>
      </c>
      <c r="H67" s="63">
        <f t="shared" si="1"/>
        <v>4.2857142857142856</v>
      </c>
      <c r="I67" s="63"/>
      <c r="J67" s="2"/>
      <c r="K67" s="2"/>
      <c r="L67" s="2"/>
      <c r="M67" s="2"/>
      <c r="N67" s="2"/>
      <c r="O67" s="2"/>
    </row>
    <row r="68" spans="1:15" ht="15.75" customHeight="1" x14ac:dyDescent="0.3">
      <c r="A68" s="38">
        <v>8106126190</v>
      </c>
      <c r="B68" s="38" t="s">
        <v>810</v>
      </c>
      <c r="C68" s="38" t="s">
        <v>811</v>
      </c>
      <c r="D68" s="172">
        <v>150</v>
      </c>
      <c r="E68" s="194">
        <v>182</v>
      </c>
      <c r="F68" s="12"/>
      <c r="G68" s="34">
        <f t="shared" si="0"/>
        <v>0</v>
      </c>
      <c r="H68" s="63">
        <f t="shared" si="1"/>
        <v>1.9780219780219781</v>
      </c>
      <c r="I68" s="63"/>
      <c r="J68" s="2"/>
      <c r="K68" s="2"/>
      <c r="L68" s="2"/>
      <c r="M68" s="2"/>
      <c r="N68" s="2"/>
      <c r="O68" s="2"/>
    </row>
    <row r="69" spans="1:15" ht="15.75" customHeight="1" x14ac:dyDescent="0.3">
      <c r="A69" s="38">
        <v>8105596190</v>
      </c>
      <c r="B69" s="38" t="s">
        <v>812</v>
      </c>
      <c r="C69" s="38" t="s">
        <v>813</v>
      </c>
      <c r="D69" s="172">
        <v>250</v>
      </c>
      <c r="E69" s="194">
        <v>182</v>
      </c>
      <c r="F69" s="12"/>
      <c r="G69" s="34">
        <f t="shared" si="0"/>
        <v>0</v>
      </c>
      <c r="H69" s="63">
        <f t="shared" si="1"/>
        <v>1.9780219780219781</v>
      </c>
      <c r="I69" s="63"/>
      <c r="J69" s="2"/>
      <c r="K69" s="2"/>
      <c r="L69" s="2"/>
      <c r="M69" s="2"/>
      <c r="N69" s="2"/>
      <c r="O69" s="2"/>
    </row>
    <row r="70" spans="1:15" ht="15.75" customHeight="1" x14ac:dyDescent="0.3">
      <c r="A70" s="38">
        <v>8057826190</v>
      </c>
      <c r="B70" s="38" t="s">
        <v>814</v>
      </c>
      <c r="C70" s="38" t="s">
        <v>815</v>
      </c>
      <c r="D70" s="172">
        <v>100</v>
      </c>
      <c r="E70" s="194">
        <v>28</v>
      </c>
      <c r="F70" s="12"/>
      <c r="G70" s="34">
        <f t="shared" si="0"/>
        <v>0</v>
      </c>
      <c r="H70" s="63">
        <f t="shared" si="1"/>
        <v>12.857142857142858</v>
      </c>
      <c r="I70" s="63"/>
      <c r="J70" s="2"/>
      <c r="K70" s="2"/>
      <c r="L70" s="2"/>
      <c r="M70" s="2"/>
      <c r="N70" s="2"/>
      <c r="O70" s="2"/>
    </row>
    <row r="71" spans="1:15" ht="15.75" customHeight="1" x14ac:dyDescent="0.3">
      <c r="A71" s="38">
        <v>8057494190</v>
      </c>
      <c r="B71" s="38" t="s">
        <v>816</v>
      </c>
      <c r="C71" s="38" t="s">
        <v>817</v>
      </c>
      <c r="D71" s="172">
        <v>250</v>
      </c>
      <c r="E71" s="194">
        <v>42</v>
      </c>
      <c r="F71" s="12"/>
      <c r="G71" s="34">
        <f t="shared" si="0"/>
        <v>0</v>
      </c>
      <c r="H71" s="63">
        <f t="shared" si="1"/>
        <v>8.5714285714285712</v>
      </c>
      <c r="I71" s="63"/>
      <c r="J71" s="2"/>
      <c r="K71" s="2"/>
      <c r="L71" s="2"/>
      <c r="M71" s="2"/>
      <c r="N71" s="2"/>
      <c r="O71" s="2"/>
    </row>
    <row r="72" spans="1:15" ht="15.75" customHeight="1" x14ac:dyDescent="0.3">
      <c r="A72" s="38">
        <v>8058024190</v>
      </c>
      <c r="B72" s="38" t="s">
        <v>818</v>
      </c>
      <c r="C72" s="38" t="s">
        <v>819</v>
      </c>
      <c r="D72" s="172">
        <v>300</v>
      </c>
      <c r="E72" s="194">
        <v>112</v>
      </c>
      <c r="F72" s="12"/>
      <c r="G72" s="34">
        <f t="shared" si="0"/>
        <v>0</v>
      </c>
      <c r="H72" s="63">
        <f t="shared" si="1"/>
        <v>3.2142857142857144</v>
      </c>
      <c r="I72" s="63"/>
      <c r="J72" s="2"/>
      <c r="K72" s="2"/>
      <c r="L72" s="2"/>
      <c r="M72" s="2"/>
      <c r="N72" s="2"/>
      <c r="O72" s="2"/>
    </row>
    <row r="73" spans="1:15" ht="15.75" customHeight="1" x14ac:dyDescent="0.3">
      <c r="A73" s="38">
        <v>8057630190</v>
      </c>
      <c r="B73" s="38" t="s">
        <v>820</v>
      </c>
      <c r="C73" s="38" t="s">
        <v>821</v>
      </c>
      <c r="D73" s="172">
        <v>850</v>
      </c>
      <c r="E73" s="194">
        <v>84</v>
      </c>
      <c r="F73" s="12"/>
      <c r="G73" s="34">
        <f t="shared" si="0"/>
        <v>0</v>
      </c>
      <c r="H73" s="63">
        <f t="shared" si="1"/>
        <v>4.2857142857142856</v>
      </c>
      <c r="I73" s="63"/>
      <c r="J73" s="2"/>
      <c r="K73" s="2"/>
      <c r="L73" s="2"/>
      <c r="M73" s="2"/>
      <c r="N73" s="2"/>
      <c r="O73" s="2"/>
    </row>
    <row r="74" spans="1:15" ht="15.75" customHeight="1" x14ac:dyDescent="0.3">
      <c r="A74" s="38">
        <v>8445672190</v>
      </c>
      <c r="B74" s="38" t="s">
        <v>822</v>
      </c>
      <c r="C74" s="38" t="s">
        <v>823</v>
      </c>
      <c r="D74" s="172">
        <v>150</v>
      </c>
      <c r="E74" s="194">
        <v>84</v>
      </c>
      <c r="F74" s="12"/>
      <c r="G74" s="34">
        <f t="shared" si="0"/>
        <v>0</v>
      </c>
      <c r="H74" s="63">
        <f t="shared" si="1"/>
        <v>4.2857142857142856</v>
      </c>
      <c r="I74" s="63"/>
      <c r="J74" s="2"/>
      <c r="K74" s="2"/>
      <c r="L74" s="2"/>
      <c r="M74" s="2"/>
      <c r="N74" s="2"/>
      <c r="O74" s="2"/>
    </row>
    <row r="75" spans="1:15" ht="15.75" customHeight="1" x14ac:dyDescent="0.3">
      <c r="A75" s="38">
        <v>8105677190</v>
      </c>
      <c r="B75" s="38" t="s">
        <v>824</v>
      </c>
      <c r="C75" s="38" t="s">
        <v>825</v>
      </c>
      <c r="D75" s="172">
        <v>550</v>
      </c>
      <c r="E75" s="194">
        <v>56</v>
      </c>
      <c r="F75" s="12"/>
      <c r="G75" s="34">
        <f t="shared" si="0"/>
        <v>0</v>
      </c>
      <c r="H75" s="63">
        <f t="shared" si="1"/>
        <v>6.4285714285714288</v>
      </c>
      <c r="I75" s="63"/>
      <c r="J75" s="2"/>
      <c r="K75" s="2"/>
      <c r="L75" s="2"/>
      <c r="M75" s="2"/>
      <c r="N75" s="2"/>
      <c r="O75" s="2"/>
    </row>
    <row r="76" spans="1:15" ht="15.75" customHeight="1" x14ac:dyDescent="0.3">
      <c r="A76" s="38">
        <v>8252629190</v>
      </c>
      <c r="B76" s="38" t="s">
        <v>826</v>
      </c>
      <c r="C76" s="38" t="s">
        <v>827</v>
      </c>
      <c r="D76" s="172">
        <v>200</v>
      </c>
      <c r="E76" s="194">
        <v>84</v>
      </c>
      <c r="F76" s="12"/>
      <c r="G76" s="34">
        <f t="shared" si="0"/>
        <v>0</v>
      </c>
      <c r="H76" s="63">
        <f t="shared" si="1"/>
        <v>4.2857142857142856</v>
      </c>
      <c r="I76" s="63"/>
      <c r="J76" s="2"/>
      <c r="K76" s="2"/>
      <c r="L76" s="2"/>
      <c r="M76" s="2"/>
      <c r="N76" s="2"/>
      <c r="O76" s="2"/>
    </row>
    <row r="77" spans="1:15" ht="15.75" customHeight="1" x14ac:dyDescent="0.3">
      <c r="A77" s="38">
        <v>8058628190</v>
      </c>
      <c r="B77" s="38" t="s">
        <v>828</v>
      </c>
      <c r="C77" s="38" t="s">
        <v>829</v>
      </c>
      <c r="D77" s="172">
        <v>400</v>
      </c>
      <c r="E77" s="194">
        <v>56</v>
      </c>
      <c r="F77" s="33"/>
      <c r="G77" s="34">
        <f t="shared" si="0"/>
        <v>0</v>
      </c>
      <c r="H77" s="63">
        <f t="shared" si="1"/>
        <v>6.4285714285714288</v>
      </c>
      <c r="I77" s="63"/>
      <c r="J77" s="2"/>
      <c r="K77" s="2"/>
      <c r="L77" s="2"/>
      <c r="M77" s="2"/>
      <c r="N77" s="2"/>
      <c r="O77" s="2"/>
    </row>
    <row r="78" spans="1:15" ht="15.75" customHeight="1" x14ac:dyDescent="0.3">
      <c r="A78" s="38">
        <v>8445567190</v>
      </c>
      <c r="B78" s="38" t="s">
        <v>830</v>
      </c>
      <c r="C78" s="38" t="s">
        <v>831</v>
      </c>
      <c r="D78" s="172">
        <v>100</v>
      </c>
      <c r="E78" s="194">
        <v>84</v>
      </c>
      <c r="F78" s="12"/>
      <c r="G78" s="34">
        <f t="shared" si="0"/>
        <v>0</v>
      </c>
      <c r="H78" s="63">
        <f t="shared" si="1"/>
        <v>4.2857142857142856</v>
      </c>
      <c r="I78" s="63"/>
      <c r="J78" s="2"/>
      <c r="K78" s="2"/>
      <c r="L78" s="2"/>
      <c r="M78" s="2"/>
      <c r="N78" s="2"/>
      <c r="O78" s="2"/>
    </row>
    <row r="79" spans="1:15" ht="15.75" customHeight="1" x14ac:dyDescent="0.3">
      <c r="A79" s="38">
        <v>8058580190</v>
      </c>
      <c r="B79" s="38" t="s">
        <v>832</v>
      </c>
      <c r="C79" s="38" t="s">
        <v>833</v>
      </c>
      <c r="D79" s="172">
        <v>200</v>
      </c>
      <c r="E79" s="194">
        <v>90</v>
      </c>
      <c r="F79" s="12"/>
      <c r="G79" s="34">
        <f t="shared" si="0"/>
        <v>0</v>
      </c>
      <c r="H79" s="63">
        <f t="shared" si="1"/>
        <v>4</v>
      </c>
      <c r="I79" s="63"/>
      <c r="J79" s="2"/>
      <c r="K79" s="2"/>
      <c r="L79" s="2"/>
      <c r="M79" s="2"/>
      <c r="N79" s="2"/>
      <c r="O79" s="2"/>
    </row>
    <row r="80" spans="1:15" ht="15.75" customHeight="1" x14ac:dyDescent="0.3">
      <c r="A80" s="38">
        <v>8057435190</v>
      </c>
      <c r="B80" s="38" t="s">
        <v>834</v>
      </c>
      <c r="C80" s="38" t="s">
        <v>835</v>
      </c>
      <c r="D80" s="172">
        <v>500</v>
      </c>
      <c r="E80" s="194">
        <v>182</v>
      </c>
      <c r="F80" s="12"/>
      <c r="G80" s="34">
        <f t="shared" si="0"/>
        <v>0</v>
      </c>
      <c r="H80" s="63">
        <f t="shared" si="1"/>
        <v>1.9780219780219781</v>
      </c>
      <c r="I80" s="63"/>
      <c r="J80" s="2"/>
      <c r="K80" s="2"/>
      <c r="L80" s="2"/>
      <c r="M80" s="2"/>
      <c r="N80" s="2"/>
      <c r="O80" s="2"/>
    </row>
    <row r="81" spans="1:15" ht="15.75" customHeight="1" x14ac:dyDescent="0.3">
      <c r="A81" s="38">
        <v>8445575190</v>
      </c>
      <c r="B81" s="38" t="s">
        <v>836</v>
      </c>
      <c r="C81" s="38" t="s">
        <v>837</v>
      </c>
      <c r="D81" s="172">
        <v>200</v>
      </c>
      <c r="E81" s="194">
        <v>126</v>
      </c>
      <c r="F81" s="12"/>
      <c r="G81" s="34">
        <f t="shared" si="0"/>
        <v>0</v>
      </c>
      <c r="H81" s="63">
        <f t="shared" si="1"/>
        <v>2.8571428571428572</v>
      </c>
      <c r="I81" s="63"/>
      <c r="J81" s="2"/>
      <c r="K81" s="2"/>
      <c r="L81" s="2"/>
      <c r="M81" s="2"/>
      <c r="N81" s="2"/>
      <c r="O81" s="2"/>
    </row>
    <row r="82" spans="1:15" ht="15.75" customHeight="1" x14ac:dyDescent="0.3">
      <c r="A82" s="198">
        <v>8058849190</v>
      </c>
      <c r="B82" s="38" t="s">
        <v>838</v>
      </c>
      <c r="C82" s="38" t="s">
        <v>839</v>
      </c>
      <c r="D82" s="172">
        <v>200</v>
      </c>
      <c r="E82" s="194">
        <v>84</v>
      </c>
      <c r="F82" s="12"/>
      <c r="G82" s="34">
        <f t="shared" si="0"/>
        <v>0</v>
      </c>
      <c r="H82" s="63">
        <f t="shared" si="1"/>
        <v>4.2857142857142856</v>
      </c>
      <c r="I82" s="63"/>
      <c r="J82" s="2"/>
      <c r="K82" s="2"/>
      <c r="L82" s="2"/>
      <c r="M82" s="2"/>
      <c r="N82" s="2"/>
      <c r="O82" s="2"/>
    </row>
    <row r="83" spans="1:15" ht="15.75" customHeight="1" x14ac:dyDescent="0.3">
      <c r="A83" s="161"/>
      <c r="B83" s="161"/>
      <c r="C83" s="162"/>
      <c r="D83" s="163"/>
      <c r="E83" s="199" t="s">
        <v>208</v>
      </c>
      <c r="F83" s="200">
        <f>SUM(F9:F82)</f>
        <v>0</v>
      </c>
      <c r="G83" s="128"/>
      <c r="H83" s="95"/>
      <c r="I83" s="95"/>
      <c r="J83" s="2"/>
      <c r="K83" s="2"/>
      <c r="L83" s="2"/>
      <c r="M83" s="2"/>
      <c r="N83" s="2"/>
      <c r="O83" s="2"/>
    </row>
    <row r="84" spans="1:15" ht="15.75" customHeight="1" x14ac:dyDescent="0.3">
      <c r="A84" s="281" t="s">
        <v>840</v>
      </c>
      <c r="B84" s="279"/>
      <c r="C84" s="277"/>
      <c r="D84" s="201" t="s">
        <v>324</v>
      </c>
      <c r="E84" s="201" t="s">
        <v>559</v>
      </c>
      <c r="F84" s="202"/>
      <c r="G84" s="202" t="s">
        <v>138</v>
      </c>
      <c r="H84" s="203" t="s">
        <v>139</v>
      </c>
      <c r="I84" s="203" t="s">
        <v>140</v>
      </c>
      <c r="J84" s="2"/>
      <c r="K84" s="2"/>
      <c r="L84" s="2"/>
      <c r="M84" s="2"/>
      <c r="N84" s="2"/>
      <c r="O84" s="2"/>
    </row>
    <row r="85" spans="1:15" ht="15.75" customHeight="1" x14ac:dyDescent="0.3">
      <c r="A85" s="38">
        <v>10759350190</v>
      </c>
      <c r="B85" s="38" t="s">
        <v>307</v>
      </c>
      <c r="C85" s="38" t="s">
        <v>307</v>
      </c>
      <c r="D85" s="172">
        <v>12</v>
      </c>
      <c r="E85" s="172">
        <v>28</v>
      </c>
      <c r="F85" s="34"/>
      <c r="G85" s="204"/>
      <c r="H85" s="63">
        <f t="shared" ref="H85:H125" si="2">(360/E85)</f>
        <v>12.857142857142858</v>
      </c>
      <c r="I85" s="63"/>
      <c r="J85" s="2"/>
      <c r="K85" s="2"/>
      <c r="L85" s="2"/>
      <c r="M85" s="2"/>
      <c r="N85" s="2"/>
      <c r="O85" s="2"/>
    </row>
    <row r="86" spans="1:15" ht="15.75" customHeight="1" x14ac:dyDescent="0.3">
      <c r="A86" s="38">
        <v>3121313122</v>
      </c>
      <c r="B86" s="38" t="s">
        <v>338</v>
      </c>
      <c r="C86" s="38" t="s">
        <v>338</v>
      </c>
      <c r="D86" s="172">
        <v>4</v>
      </c>
      <c r="E86" s="172">
        <v>28</v>
      </c>
      <c r="F86" s="34"/>
      <c r="G86" s="204"/>
      <c r="H86" s="63">
        <f t="shared" si="2"/>
        <v>12.857142857142858</v>
      </c>
      <c r="I86" s="63"/>
      <c r="J86" s="2"/>
      <c r="K86" s="2"/>
      <c r="L86" s="2"/>
      <c r="M86" s="2"/>
      <c r="N86" s="2"/>
      <c r="O86" s="2"/>
    </row>
    <row r="87" spans="1:15" ht="15.75" customHeight="1" x14ac:dyDescent="0.3">
      <c r="A87" s="38">
        <v>3121291122</v>
      </c>
      <c r="B87" s="38" t="s">
        <v>340</v>
      </c>
      <c r="C87" s="38" t="s">
        <v>340</v>
      </c>
      <c r="D87" s="172">
        <v>4</v>
      </c>
      <c r="E87" s="172">
        <v>28</v>
      </c>
      <c r="F87" s="34"/>
      <c r="G87" s="204"/>
      <c r="H87" s="63">
        <f t="shared" si="2"/>
        <v>12.857142857142858</v>
      </c>
      <c r="I87" s="63"/>
      <c r="J87" s="2"/>
      <c r="K87" s="2"/>
      <c r="L87" s="2"/>
      <c r="M87" s="2"/>
      <c r="N87" s="2"/>
      <c r="O87" s="2"/>
    </row>
    <row r="88" spans="1:15" ht="15.75" customHeight="1" x14ac:dyDescent="0.3">
      <c r="A88" s="38">
        <v>12172623122</v>
      </c>
      <c r="B88" s="38" t="s">
        <v>310</v>
      </c>
      <c r="C88" s="38" t="s">
        <v>841</v>
      </c>
      <c r="D88" s="172">
        <v>3</v>
      </c>
      <c r="E88" s="172">
        <v>28</v>
      </c>
      <c r="F88" s="34"/>
      <c r="G88" s="204"/>
      <c r="H88" s="63">
        <f t="shared" si="2"/>
        <v>12.857142857142858</v>
      </c>
      <c r="I88" s="63"/>
      <c r="J88" s="2"/>
      <c r="K88" s="2"/>
      <c r="L88" s="2"/>
      <c r="M88" s="2"/>
      <c r="N88" s="2"/>
      <c r="O88" s="2"/>
    </row>
    <row r="89" spans="1:15" ht="15.75" customHeight="1" x14ac:dyDescent="0.3">
      <c r="A89" s="38">
        <v>11447394216</v>
      </c>
      <c r="B89" s="38" t="s">
        <v>308</v>
      </c>
      <c r="C89" s="38" t="s">
        <v>842</v>
      </c>
      <c r="D89" s="172">
        <v>3</v>
      </c>
      <c r="E89" s="172">
        <v>28</v>
      </c>
      <c r="F89" s="34"/>
      <c r="G89" s="204"/>
      <c r="H89" s="63">
        <f t="shared" si="2"/>
        <v>12.857142857142858</v>
      </c>
      <c r="I89" s="63"/>
      <c r="J89" s="2"/>
      <c r="K89" s="2"/>
      <c r="L89" s="2"/>
      <c r="M89" s="2"/>
      <c r="N89" s="2"/>
      <c r="O89" s="2"/>
    </row>
    <row r="90" spans="1:15" ht="15.75" customHeight="1" x14ac:dyDescent="0.3">
      <c r="A90" s="38">
        <v>3121305122</v>
      </c>
      <c r="B90" s="38" t="s">
        <v>315</v>
      </c>
      <c r="C90" s="38" t="s">
        <v>843</v>
      </c>
      <c r="D90" s="172">
        <v>5</v>
      </c>
      <c r="E90" s="172">
        <v>28</v>
      </c>
      <c r="F90" s="34"/>
      <c r="G90" s="204"/>
      <c r="H90" s="63">
        <f t="shared" si="2"/>
        <v>12.857142857142858</v>
      </c>
      <c r="I90" s="63"/>
      <c r="J90" s="2"/>
      <c r="K90" s="2"/>
      <c r="L90" s="2"/>
      <c r="M90" s="2"/>
      <c r="N90" s="2"/>
      <c r="O90" s="2"/>
    </row>
    <row r="91" spans="1:15" ht="15.75" customHeight="1" x14ac:dyDescent="0.3">
      <c r="A91" s="172">
        <v>3555941190</v>
      </c>
      <c r="B91" s="38" t="s">
        <v>306</v>
      </c>
      <c r="C91" s="38" t="s">
        <v>306</v>
      </c>
      <c r="D91" s="172">
        <v>3</v>
      </c>
      <c r="E91" s="172">
        <v>14</v>
      </c>
      <c r="F91" s="34"/>
      <c r="G91" s="204"/>
      <c r="H91" s="63">
        <f t="shared" si="2"/>
        <v>25.714285714285715</v>
      </c>
      <c r="I91" s="63"/>
      <c r="J91" s="2"/>
      <c r="K91" s="2"/>
      <c r="L91" s="2"/>
      <c r="M91" s="2"/>
      <c r="N91" s="2"/>
      <c r="O91" s="2"/>
    </row>
    <row r="92" spans="1:15" ht="15.75" customHeight="1" x14ac:dyDescent="0.3">
      <c r="A92" s="172">
        <v>6533850190</v>
      </c>
      <c r="B92" s="38" t="s">
        <v>309</v>
      </c>
      <c r="C92" s="38" t="s">
        <v>309</v>
      </c>
      <c r="D92" s="172">
        <v>3</v>
      </c>
      <c r="E92" s="172">
        <v>14</v>
      </c>
      <c r="F92" s="34"/>
      <c r="G92" s="204"/>
      <c r="H92" s="63">
        <f t="shared" si="2"/>
        <v>25.714285714285715</v>
      </c>
      <c r="I92" s="63"/>
      <c r="J92" s="2"/>
      <c r="K92" s="2"/>
      <c r="L92" s="2"/>
      <c r="M92" s="2"/>
      <c r="N92" s="2"/>
      <c r="O92" s="2"/>
    </row>
    <row r="93" spans="1:15" ht="15.75" customHeight="1" x14ac:dyDescent="0.3">
      <c r="A93" s="172">
        <v>12146401216</v>
      </c>
      <c r="B93" s="38" t="s">
        <v>317</v>
      </c>
      <c r="C93" s="38" t="s">
        <v>317</v>
      </c>
      <c r="D93" s="172">
        <v>1</v>
      </c>
      <c r="E93" s="172">
        <v>183</v>
      </c>
      <c r="F93" s="34"/>
      <c r="G93" s="204"/>
      <c r="H93" s="63">
        <f t="shared" si="2"/>
        <v>1.9672131147540983</v>
      </c>
      <c r="I93" s="63"/>
      <c r="J93" s="2"/>
      <c r="K93" s="2"/>
      <c r="L93" s="2"/>
      <c r="M93" s="2"/>
      <c r="N93" s="2"/>
      <c r="O93" s="2"/>
    </row>
    <row r="94" spans="1:15" ht="15.75" customHeight="1" x14ac:dyDescent="0.3">
      <c r="A94" s="172">
        <v>11355279216</v>
      </c>
      <c r="B94" s="38" t="s">
        <v>311</v>
      </c>
      <c r="C94" s="38" t="s">
        <v>311</v>
      </c>
      <c r="D94" s="172">
        <v>5</v>
      </c>
      <c r="E94" s="172">
        <v>28</v>
      </c>
      <c r="F94" s="34"/>
      <c r="G94" s="204"/>
      <c r="H94" s="63">
        <f t="shared" si="2"/>
        <v>12.857142857142858</v>
      </c>
      <c r="I94" s="63"/>
      <c r="J94" s="2"/>
      <c r="K94" s="2"/>
      <c r="L94" s="2"/>
      <c r="M94" s="2"/>
      <c r="N94" s="2"/>
      <c r="O94" s="2"/>
    </row>
    <row r="95" spans="1:15" ht="15.75" customHeight="1" x14ac:dyDescent="0.3">
      <c r="A95" s="172">
        <v>5117003190</v>
      </c>
      <c r="B95" s="38" t="s">
        <v>844</v>
      </c>
      <c r="C95" s="38" t="s">
        <v>844</v>
      </c>
      <c r="D95" s="172">
        <v>20</v>
      </c>
      <c r="E95" s="172">
        <v>28</v>
      </c>
      <c r="F95" s="34"/>
      <c r="G95" s="204"/>
      <c r="H95" s="63">
        <f t="shared" si="2"/>
        <v>12.857142857142858</v>
      </c>
      <c r="I95" s="63"/>
      <c r="J95" s="2"/>
      <c r="K95" s="2"/>
      <c r="L95" s="2"/>
      <c r="M95" s="2"/>
      <c r="N95" s="2"/>
      <c r="O95" s="2"/>
    </row>
    <row r="96" spans="1:15" ht="15.75" customHeight="1" x14ac:dyDescent="0.3">
      <c r="A96" s="172">
        <v>5117216190</v>
      </c>
      <c r="B96" s="38" t="s">
        <v>845</v>
      </c>
      <c r="C96" s="38" t="s">
        <v>845</v>
      </c>
      <c r="D96" s="172">
        <v>20</v>
      </c>
      <c r="E96" s="172">
        <v>14</v>
      </c>
      <c r="F96" s="34"/>
      <c r="G96" s="204"/>
      <c r="H96" s="63">
        <f t="shared" si="2"/>
        <v>25.714285714285715</v>
      </c>
      <c r="I96" s="63"/>
      <c r="J96" s="2"/>
      <c r="K96" s="2"/>
      <c r="L96" s="2"/>
      <c r="M96" s="2"/>
      <c r="N96" s="2"/>
      <c r="O96" s="2"/>
    </row>
    <row r="97" spans="1:15" ht="15.75" customHeight="1" x14ac:dyDescent="0.3">
      <c r="A97" s="172">
        <v>5117208922</v>
      </c>
      <c r="B97" s="38" t="s">
        <v>846</v>
      </c>
      <c r="C97" s="38" t="s">
        <v>846</v>
      </c>
      <c r="D97" s="172">
        <v>20</v>
      </c>
      <c r="E97" s="172"/>
      <c r="F97" s="34"/>
      <c r="G97" s="204"/>
      <c r="H97" s="63" t="e">
        <f t="shared" si="2"/>
        <v>#DIV/0!</v>
      </c>
      <c r="I97" s="63"/>
      <c r="J97" s="2"/>
      <c r="K97" s="2"/>
      <c r="L97" s="2"/>
      <c r="M97" s="2"/>
      <c r="N97" s="2"/>
      <c r="O97" s="2"/>
    </row>
    <row r="98" spans="1:15" ht="15.75" customHeight="1" x14ac:dyDescent="0.3">
      <c r="A98" s="172">
        <v>5117291922</v>
      </c>
      <c r="B98" s="38" t="s">
        <v>847</v>
      </c>
      <c r="C98" s="38" t="s">
        <v>847</v>
      </c>
      <c r="D98" s="172">
        <v>20</v>
      </c>
      <c r="E98" s="172"/>
      <c r="F98" s="34"/>
      <c r="G98" s="204"/>
      <c r="H98" s="63" t="e">
        <f t="shared" si="2"/>
        <v>#DIV/0!</v>
      </c>
      <c r="I98" s="63"/>
      <c r="J98" s="2"/>
      <c r="K98" s="2"/>
      <c r="L98" s="2"/>
      <c r="M98" s="2"/>
      <c r="N98" s="2"/>
      <c r="O98" s="2"/>
    </row>
    <row r="99" spans="1:15" ht="15.75" customHeight="1" x14ac:dyDescent="0.3">
      <c r="A99" s="172">
        <v>5947626190</v>
      </c>
      <c r="B99" s="38" t="s">
        <v>332</v>
      </c>
      <c r="C99" s="38" t="s">
        <v>332</v>
      </c>
      <c r="D99" s="172">
        <v>4</v>
      </c>
      <c r="E99" s="172">
        <v>14</v>
      </c>
      <c r="F99" s="34"/>
      <c r="G99" s="204"/>
      <c r="H99" s="63">
        <f t="shared" si="2"/>
        <v>25.714285714285715</v>
      </c>
      <c r="I99" s="63"/>
      <c r="J99" s="2"/>
      <c r="K99" s="2"/>
      <c r="L99" s="2"/>
      <c r="M99" s="2"/>
      <c r="N99" s="2"/>
      <c r="O99" s="2"/>
    </row>
    <row r="100" spans="1:15" ht="15.75" customHeight="1" x14ac:dyDescent="0.3">
      <c r="A100" s="172">
        <v>5947774190</v>
      </c>
      <c r="B100" s="38" t="s">
        <v>333</v>
      </c>
      <c r="C100" s="38" t="s">
        <v>333</v>
      </c>
      <c r="D100" s="172">
        <v>4</v>
      </c>
      <c r="E100" s="172">
        <v>14</v>
      </c>
      <c r="F100" s="34"/>
      <c r="G100" s="204"/>
      <c r="H100" s="63">
        <f t="shared" si="2"/>
        <v>25.714285714285715</v>
      </c>
      <c r="I100" s="63"/>
      <c r="J100" s="2"/>
      <c r="K100" s="2"/>
      <c r="L100" s="2"/>
      <c r="M100" s="2"/>
      <c r="N100" s="2"/>
      <c r="O100" s="2"/>
    </row>
    <row r="101" spans="1:15" ht="15.75" customHeight="1" x14ac:dyDescent="0.3">
      <c r="A101" s="38">
        <v>4528417190</v>
      </c>
      <c r="B101" s="38" t="s">
        <v>314</v>
      </c>
      <c r="C101" s="38" t="s">
        <v>314</v>
      </c>
      <c r="D101" s="172">
        <v>3</v>
      </c>
      <c r="E101" s="172">
        <v>84</v>
      </c>
      <c r="F101" s="38"/>
      <c r="G101" s="204"/>
      <c r="H101" s="63">
        <f t="shared" si="2"/>
        <v>4.2857142857142856</v>
      </c>
      <c r="I101" s="63"/>
      <c r="J101" s="2"/>
      <c r="K101" s="2"/>
      <c r="L101" s="2"/>
      <c r="M101" s="2"/>
      <c r="N101" s="2"/>
      <c r="O101" s="2"/>
    </row>
    <row r="102" spans="1:15" ht="15.75" customHeight="1" x14ac:dyDescent="0.3">
      <c r="A102" s="38">
        <v>5479207190</v>
      </c>
      <c r="B102" s="38" t="s">
        <v>334</v>
      </c>
      <c r="C102" s="38" t="s">
        <v>334</v>
      </c>
      <c r="D102" s="172">
        <v>4</v>
      </c>
      <c r="E102" s="172">
        <v>28</v>
      </c>
      <c r="F102" s="34"/>
      <c r="G102" s="204"/>
      <c r="H102" s="63">
        <f t="shared" si="2"/>
        <v>12.857142857142858</v>
      </c>
      <c r="I102" s="63"/>
      <c r="J102" s="2"/>
      <c r="K102" s="2"/>
      <c r="L102" s="2"/>
      <c r="M102" s="2"/>
      <c r="N102" s="2"/>
      <c r="O102" s="2"/>
    </row>
    <row r="103" spans="1:15" ht="15.75" customHeight="1" x14ac:dyDescent="0.3">
      <c r="A103" s="38">
        <v>5912504190</v>
      </c>
      <c r="B103" s="38" t="s">
        <v>335</v>
      </c>
      <c r="C103" s="38" t="s">
        <v>335</v>
      </c>
      <c r="D103" s="172">
        <v>4</v>
      </c>
      <c r="E103" s="172">
        <v>28</v>
      </c>
      <c r="F103" s="34"/>
      <c r="G103" s="204"/>
      <c r="H103" s="63">
        <f t="shared" si="2"/>
        <v>12.857142857142858</v>
      </c>
      <c r="I103" s="63"/>
      <c r="J103" s="2"/>
      <c r="K103" s="2"/>
      <c r="L103" s="2"/>
      <c r="M103" s="2"/>
      <c r="N103" s="2"/>
      <c r="O103" s="2"/>
    </row>
    <row r="104" spans="1:15" ht="15.75" customHeight="1" x14ac:dyDescent="0.3">
      <c r="A104" s="38">
        <v>5050901190</v>
      </c>
      <c r="B104" s="38" t="s">
        <v>316</v>
      </c>
      <c r="C104" s="38"/>
      <c r="D104" s="172">
        <v>1</v>
      </c>
      <c r="E104" s="172">
        <v>84</v>
      </c>
      <c r="F104" s="34"/>
      <c r="G104" s="204"/>
      <c r="H104" s="63">
        <f t="shared" si="2"/>
        <v>4.2857142857142856</v>
      </c>
      <c r="I104" s="63"/>
      <c r="J104" s="2"/>
      <c r="K104" s="2"/>
      <c r="L104" s="2"/>
      <c r="M104" s="2"/>
      <c r="N104" s="2"/>
      <c r="O104" s="2"/>
    </row>
    <row r="105" spans="1:15" ht="15.75" customHeight="1" x14ac:dyDescent="0.3">
      <c r="A105" s="38">
        <v>5050936190</v>
      </c>
      <c r="B105" s="38" t="s">
        <v>330</v>
      </c>
      <c r="C105" s="38"/>
      <c r="D105" s="172">
        <v>2</v>
      </c>
      <c r="E105" s="172">
        <v>84</v>
      </c>
      <c r="F105" s="34"/>
      <c r="G105" s="204"/>
      <c r="H105" s="63">
        <f t="shared" si="2"/>
        <v>4.2857142857142856</v>
      </c>
      <c r="I105" s="63"/>
      <c r="J105" s="2"/>
      <c r="K105" s="2"/>
      <c r="L105" s="2"/>
      <c r="M105" s="2"/>
      <c r="N105" s="2"/>
      <c r="O105" s="2"/>
    </row>
    <row r="106" spans="1:15" ht="15.75" customHeight="1" x14ac:dyDescent="0.3">
      <c r="A106" s="38">
        <v>8047545190</v>
      </c>
      <c r="B106" s="38" t="s">
        <v>313</v>
      </c>
      <c r="C106" s="38"/>
      <c r="D106" s="172">
        <v>2</v>
      </c>
      <c r="E106" s="172">
        <v>84</v>
      </c>
      <c r="F106" s="34"/>
      <c r="G106" s="204"/>
      <c r="H106" s="63">
        <f t="shared" si="2"/>
        <v>4.2857142857142856</v>
      </c>
      <c r="I106" s="63"/>
      <c r="J106" s="2"/>
      <c r="K106" s="2"/>
      <c r="L106" s="2"/>
      <c r="M106" s="2"/>
      <c r="N106" s="2"/>
      <c r="O106" s="2"/>
    </row>
    <row r="107" spans="1:15" ht="15.75" customHeight="1" x14ac:dyDescent="0.3">
      <c r="A107" s="38">
        <v>8362785190</v>
      </c>
      <c r="B107" s="38" t="s">
        <v>327</v>
      </c>
      <c r="C107" s="38"/>
      <c r="D107" s="172">
        <v>2</v>
      </c>
      <c r="E107" s="172">
        <v>84</v>
      </c>
      <c r="F107" s="34"/>
      <c r="G107" s="204"/>
      <c r="H107" s="63">
        <f t="shared" si="2"/>
        <v>4.2857142857142856</v>
      </c>
      <c r="I107" s="63"/>
      <c r="J107" s="2"/>
      <c r="K107" s="2"/>
      <c r="L107" s="2"/>
      <c r="M107" s="2"/>
      <c r="N107" s="2"/>
      <c r="O107" s="2"/>
    </row>
    <row r="108" spans="1:15" ht="15.75" customHeight="1" x14ac:dyDescent="0.3">
      <c r="A108" s="38">
        <v>5852641190</v>
      </c>
      <c r="B108" s="38" t="s">
        <v>321</v>
      </c>
      <c r="C108" s="38"/>
      <c r="D108" s="172">
        <v>1</v>
      </c>
      <c r="E108" s="172">
        <v>14</v>
      </c>
      <c r="F108" s="34"/>
      <c r="G108" s="204"/>
      <c r="H108" s="63">
        <f t="shared" si="2"/>
        <v>25.714285714285715</v>
      </c>
      <c r="I108" s="63"/>
      <c r="J108" s="2"/>
      <c r="K108" s="2"/>
      <c r="L108" s="2"/>
      <c r="M108" s="2"/>
      <c r="N108" s="2"/>
      <c r="O108" s="2"/>
    </row>
    <row r="109" spans="1:15" ht="15.75" customHeight="1" x14ac:dyDescent="0.3">
      <c r="A109" s="38">
        <v>5852650190</v>
      </c>
      <c r="B109" s="38" t="s">
        <v>336</v>
      </c>
      <c r="C109" s="38"/>
      <c r="D109" s="172">
        <v>2</v>
      </c>
      <c r="E109" s="172">
        <v>14</v>
      </c>
      <c r="F109" s="34"/>
      <c r="G109" s="204"/>
      <c r="H109" s="63">
        <f t="shared" si="2"/>
        <v>25.714285714285715</v>
      </c>
      <c r="I109" s="63"/>
      <c r="J109" s="2"/>
      <c r="K109" s="2"/>
      <c r="L109" s="2"/>
      <c r="M109" s="2"/>
      <c r="N109" s="2"/>
      <c r="O109" s="2"/>
    </row>
    <row r="110" spans="1:15" ht="15.75" customHeight="1" x14ac:dyDescent="0.3">
      <c r="A110" s="38">
        <v>4975901191</v>
      </c>
      <c r="B110" s="38" t="s">
        <v>305</v>
      </c>
      <c r="C110" s="38"/>
      <c r="D110" s="172">
        <v>1</v>
      </c>
      <c r="E110" s="172">
        <v>30</v>
      </c>
      <c r="F110" s="34"/>
      <c r="G110" s="204"/>
      <c r="H110" s="63">
        <f t="shared" si="2"/>
        <v>12</v>
      </c>
      <c r="I110" s="63"/>
      <c r="J110" s="2"/>
      <c r="K110" s="2"/>
      <c r="L110" s="2"/>
      <c r="M110" s="2"/>
      <c r="N110" s="2"/>
      <c r="O110" s="2"/>
    </row>
    <row r="111" spans="1:15" ht="15.75" customHeight="1" x14ac:dyDescent="0.3">
      <c r="A111" s="38">
        <v>6729371190</v>
      </c>
      <c r="B111" s="38" t="s">
        <v>329</v>
      </c>
      <c r="C111" s="38"/>
      <c r="D111" s="172">
        <v>3</v>
      </c>
      <c r="E111" s="172">
        <v>30</v>
      </c>
      <c r="F111" s="34"/>
      <c r="G111" s="204"/>
      <c r="H111" s="63">
        <f t="shared" si="2"/>
        <v>12</v>
      </c>
      <c r="I111" s="63"/>
      <c r="J111" s="2"/>
      <c r="K111" s="2"/>
      <c r="L111" s="2"/>
      <c r="M111" s="2"/>
      <c r="N111" s="2"/>
      <c r="O111" s="2"/>
    </row>
    <row r="112" spans="1:15" ht="15.75" customHeight="1" x14ac:dyDescent="0.3">
      <c r="A112" s="38">
        <v>5385504190</v>
      </c>
      <c r="B112" s="38" t="s">
        <v>318</v>
      </c>
      <c r="C112" s="38"/>
      <c r="D112" s="172">
        <v>2</v>
      </c>
      <c r="E112" s="172">
        <v>28</v>
      </c>
      <c r="F112" s="34"/>
      <c r="G112" s="204"/>
      <c r="H112" s="63">
        <f t="shared" si="2"/>
        <v>12.857142857142858</v>
      </c>
      <c r="I112" s="63"/>
      <c r="J112" s="2"/>
      <c r="K112" s="2"/>
      <c r="L112" s="2"/>
      <c r="M112" s="2"/>
      <c r="N112" s="2"/>
      <c r="O112" s="2"/>
    </row>
    <row r="113" spans="1:15" ht="15.75" customHeight="1" x14ac:dyDescent="0.3">
      <c r="A113" s="38">
        <v>5142423190</v>
      </c>
      <c r="B113" s="38" t="s">
        <v>331</v>
      </c>
      <c r="C113" s="38"/>
      <c r="D113" s="172">
        <v>2</v>
      </c>
      <c r="E113" s="172">
        <v>28</v>
      </c>
      <c r="F113" s="34"/>
      <c r="G113" s="204"/>
      <c r="H113" s="63">
        <f t="shared" si="2"/>
        <v>12.857142857142858</v>
      </c>
      <c r="I113" s="63"/>
      <c r="J113" s="2"/>
      <c r="K113" s="2"/>
      <c r="L113" s="2"/>
      <c r="M113" s="2"/>
      <c r="N113" s="2"/>
      <c r="O113" s="2"/>
    </row>
    <row r="114" spans="1:15" ht="15.75" customHeight="1" x14ac:dyDescent="0.3">
      <c r="A114" s="38">
        <v>20751995190</v>
      </c>
      <c r="B114" s="38" t="s">
        <v>214</v>
      </c>
      <c r="C114" s="38" t="s">
        <v>848</v>
      </c>
      <c r="D114" s="172">
        <v>2</v>
      </c>
      <c r="E114" s="172">
        <v>56</v>
      </c>
      <c r="F114" s="34"/>
      <c r="G114" s="204"/>
      <c r="H114" s="63">
        <f t="shared" si="2"/>
        <v>6.4285714285714288</v>
      </c>
      <c r="I114" s="63"/>
      <c r="J114" s="2"/>
      <c r="K114" s="2"/>
      <c r="L114" s="2"/>
      <c r="M114" s="2"/>
      <c r="N114" s="2"/>
      <c r="O114" s="2"/>
    </row>
    <row r="115" spans="1:15" ht="15.75" customHeight="1" x14ac:dyDescent="0.3">
      <c r="A115" s="38">
        <v>20752401190</v>
      </c>
      <c r="B115" s="38" t="s">
        <v>325</v>
      </c>
      <c r="C115" s="38" t="s">
        <v>849</v>
      </c>
      <c r="D115" s="172">
        <v>5</v>
      </c>
      <c r="E115" s="172">
        <v>56</v>
      </c>
      <c r="F115" s="34"/>
      <c r="G115" s="204"/>
      <c r="H115" s="63">
        <f t="shared" si="2"/>
        <v>6.4285714285714288</v>
      </c>
      <c r="I115" s="63"/>
      <c r="J115" s="2"/>
      <c r="K115" s="2"/>
      <c r="L115" s="2"/>
      <c r="M115" s="2"/>
      <c r="N115" s="2"/>
      <c r="O115" s="2"/>
    </row>
    <row r="116" spans="1:15" ht="15.75" customHeight="1" x14ac:dyDescent="0.3">
      <c r="A116" s="38">
        <v>20753009190</v>
      </c>
      <c r="B116" s="38" t="s">
        <v>326</v>
      </c>
      <c r="C116" s="38" t="s">
        <v>850</v>
      </c>
      <c r="D116" s="172">
        <v>5</v>
      </c>
      <c r="E116" s="172">
        <v>56</v>
      </c>
      <c r="F116" s="34"/>
      <c r="G116" s="204"/>
      <c r="H116" s="63">
        <f t="shared" si="2"/>
        <v>6.4285714285714288</v>
      </c>
      <c r="I116" s="63"/>
      <c r="J116" s="2"/>
      <c r="K116" s="2"/>
      <c r="L116" s="2"/>
      <c r="M116" s="2"/>
      <c r="N116" s="2"/>
      <c r="O116" s="2"/>
    </row>
    <row r="117" spans="1:15" ht="15.75" customHeight="1" x14ac:dyDescent="0.3">
      <c r="A117" s="38">
        <v>11098993122</v>
      </c>
      <c r="B117" s="38" t="s">
        <v>319</v>
      </c>
      <c r="C117" s="38" t="s">
        <v>851</v>
      </c>
      <c r="D117" s="172">
        <v>3</v>
      </c>
      <c r="E117" s="172">
        <v>28</v>
      </c>
      <c r="F117" s="34"/>
      <c r="G117" s="204"/>
      <c r="H117" s="63">
        <f t="shared" si="2"/>
        <v>12.857142857142858</v>
      </c>
      <c r="I117" s="63"/>
      <c r="J117" s="2"/>
      <c r="K117" s="2"/>
      <c r="L117" s="2"/>
      <c r="M117" s="2"/>
      <c r="N117" s="2"/>
      <c r="O117" s="2"/>
    </row>
    <row r="118" spans="1:15" ht="15.75" customHeight="1" x14ac:dyDescent="0.3">
      <c r="A118" s="38">
        <v>11098985122</v>
      </c>
      <c r="B118" s="38" t="s">
        <v>337</v>
      </c>
      <c r="C118" s="38"/>
      <c r="D118" s="172">
        <v>3</v>
      </c>
      <c r="E118" s="172">
        <v>28</v>
      </c>
      <c r="F118" s="34"/>
      <c r="G118" s="204"/>
      <c r="H118" s="63">
        <f t="shared" si="2"/>
        <v>12.857142857142858</v>
      </c>
      <c r="I118" s="63"/>
      <c r="J118" s="2"/>
      <c r="K118" s="2"/>
      <c r="L118" s="2"/>
      <c r="M118" s="2"/>
      <c r="N118" s="2"/>
      <c r="O118" s="2"/>
    </row>
    <row r="119" spans="1:15" ht="15.75" customHeight="1" x14ac:dyDescent="0.3">
      <c r="A119" s="38">
        <v>11174118122</v>
      </c>
      <c r="B119" s="38" t="s">
        <v>339</v>
      </c>
      <c r="C119" s="38"/>
      <c r="D119" s="172">
        <v>3</v>
      </c>
      <c r="E119" s="172">
        <v>28</v>
      </c>
      <c r="F119" s="34"/>
      <c r="G119" s="204"/>
      <c r="H119" s="63">
        <f t="shared" si="2"/>
        <v>12.857142857142858</v>
      </c>
      <c r="I119" s="63"/>
      <c r="J119" s="2"/>
      <c r="K119" s="2"/>
      <c r="L119" s="2"/>
      <c r="M119" s="2"/>
      <c r="N119" s="2"/>
      <c r="O119" s="2"/>
    </row>
    <row r="120" spans="1:15" ht="15.75" customHeight="1" x14ac:dyDescent="0.3">
      <c r="A120" s="38">
        <v>4580044190</v>
      </c>
      <c r="B120" s="38" t="s">
        <v>852</v>
      </c>
      <c r="C120" s="38"/>
      <c r="D120" s="172">
        <v>3</v>
      </c>
      <c r="E120" s="172">
        <v>28</v>
      </c>
      <c r="F120" s="34"/>
      <c r="G120" s="204"/>
      <c r="H120" s="63">
        <f t="shared" si="2"/>
        <v>12.857142857142858</v>
      </c>
      <c r="I120" s="63"/>
      <c r="J120" s="2"/>
      <c r="K120" s="2"/>
      <c r="L120" s="2"/>
      <c r="M120" s="2"/>
      <c r="N120" s="2"/>
      <c r="O120" s="2"/>
    </row>
    <row r="121" spans="1:15" ht="15.75" customHeight="1" x14ac:dyDescent="0.3">
      <c r="A121" s="38">
        <v>11730835216</v>
      </c>
      <c r="B121" s="38" t="s">
        <v>853</v>
      </c>
      <c r="C121" s="38"/>
      <c r="D121" s="172">
        <v>2</v>
      </c>
      <c r="E121" s="172">
        <v>56</v>
      </c>
      <c r="F121" s="34"/>
      <c r="G121" s="204"/>
      <c r="H121" s="63">
        <f t="shared" si="2"/>
        <v>6.4285714285714288</v>
      </c>
      <c r="I121" s="63"/>
      <c r="J121" s="2"/>
      <c r="K121" s="2"/>
      <c r="L121" s="2"/>
      <c r="M121" s="2"/>
      <c r="N121" s="2"/>
      <c r="O121" s="2"/>
    </row>
    <row r="122" spans="1:15" ht="15.75" customHeight="1" x14ac:dyDescent="0.3">
      <c r="A122" s="38">
        <v>12172828322</v>
      </c>
      <c r="B122" s="38" t="s">
        <v>322</v>
      </c>
      <c r="C122" s="38"/>
      <c r="D122" s="172">
        <v>1</v>
      </c>
      <c r="E122" s="172">
        <v>30</v>
      </c>
      <c r="F122" s="34"/>
      <c r="G122" s="204"/>
      <c r="H122" s="63">
        <f t="shared" si="2"/>
        <v>12</v>
      </c>
      <c r="I122" s="63"/>
      <c r="J122" s="2"/>
      <c r="K122" s="2"/>
      <c r="L122" s="2"/>
      <c r="M122" s="2"/>
      <c r="N122" s="2"/>
      <c r="O122" s="2"/>
    </row>
    <row r="123" spans="1:15" ht="15.75" customHeight="1" x14ac:dyDescent="0.3">
      <c r="A123" s="38">
        <v>3005496122</v>
      </c>
      <c r="B123" s="38" t="s">
        <v>341</v>
      </c>
      <c r="C123" s="38"/>
      <c r="D123" s="172">
        <v>4</v>
      </c>
      <c r="E123" s="172">
        <v>30</v>
      </c>
      <c r="F123" s="34"/>
      <c r="G123" s="204"/>
      <c r="H123" s="63">
        <f t="shared" si="2"/>
        <v>12</v>
      </c>
      <c r="I123" s="63"/>
      <c r="J123" s="2"/>
      <c r="K123" s="2"/>
      <c r="L123" s="2"/>
      <c r="M123" s="2"/>
      <c r="N123" s="2"/>
      <c r="O123" s="2"/>
    </row>
    <row r="124" spans="1:15" ht="15.75" customHeight="1" x14ac:dyDescent="0.3">
      <c r="A124" s="38">
        <v>3375790190</v>
      </c>
      <c r="B124" s="38" t="s">
        <v>854</v>
      </c>
      <c r="C124" s="38"/>
      <c r="D124" s="172">
        <v>6</v>
      </c>
      <c r="E124" s="172">
        <v>280</v>
      </c>
      <c r="F124" s="34"/>
      <c r="G124" s="204"/>
      <c r="H124" s="63">
        <f t="shared" si="2"/>
        <v>1.2857142857142858</v>
      </c>
      <c r="I124" s="63"/>
      <c r="J124" s="2"/>
      <c r="K124" s="2"/>
      <c r="L124" s="2"/>
      <c r="M124" s="2"/>
      <c r="N124" s="2"/>
      <c r="O124" s="2"/>
    </row>
    <row r="125" spans="1:15" ht="15.75" customHeight="1" x14ac:dyDescent="0.3">
      <c r="A125" s="38">
        <v>4521536190</v>
      </c>
      <c r="B125" s="38" t="s">
        <v>855</v>
      </c>
      <c r="C125" s="38"/>
      <c r="D125" s="172">
        <v>6</v>
      </c>
      <c r="E125" s="172">
        <v>336</v>
      </c>
      <c r="F125" s="34"/>
      <c r="G125" s="204"/>
      <c r="H125" s="63">
        <f t="shared" si="2"/>
        <v>1.0714285714285714</v>
      </c>
      <c r="I125" s="63"/>
      <c r="J125" s="2"/>
      <c r="K125" s="2"/>
      <c r="L125" s="2"/>
      <c r="M125" s="2"/>
      <c r="N125" s="2"/>
      <c r="O125" s="2"/>
    </row>
    <row r="126" spans="1:15" ht="15.75" customHeight="1" x14ac:dyDescent="0.3">
      <c r="A126" s="281" t="s">
        <v>224</v>
      </c>
      <c r="B126" s="279"/>
      <c r="C126" s="277"/>
      <c r="D126" s="201" t="s">
        <v>324</v>
      </c>
      <c r="E126" s="201" t="s">
        <v>559</v>
      </c>
      <c r="F126" s="202"/>
      <c r="G126" s="202" t="s">
        <v>138</v>
      </c>
      <c r="H126" s="203" t="s">
        <v>139</v>
      </c>
      <c r="I126" s="203" t="s">
        <v>140</v>
      </c>
      <c r="J126" s="2"/>
      <c r="K126" s="2"/>
      <c r="L126" s="2"/>
      <c r="M126" s="2"/>
      <c r="N126" s="2"/>
      <c r="O126" s="2"/>
    </row>
    <row r="127" spans="1:15" ht="15.75" customHeight="1" x14ac:dyDescent="0.3">
      <c r="A127" s="38">
        <v>7700814001</v>
      </c>
      <c r="B127" s="38" t="s">
        <v>856</v>
      </c>
      <c r="C127" s="38" t="s">
        <v>857</v>
      </c>
      <c r="D127" s="172">
        <v>1</v>
      </c>
      <c r="E127" s="172">
        <v>60</v>
      </c>
      <c r="F127" s="34"/>
      <c r="G127" s="204"/>
      <c r="H127" s="63">
        <f t="shared" ref="H127:H146" si="3">(360/E127)</f>
        <v>6</v>
      </c>
      <c r="I127" s="63"/>
      <c r="J127" s="2"/>
      <c r="K127" s="2"/>
      <c r="L127" s="2"/>
      <c r="M127" s="2"/>
      <c r="N127" s="2"/>
      <c r="O127" s="2"/>
    </row>
    <row r="128" spans="1:15" ht="15.75" customHeight="1" x14ac:dyDescent="0.3">
      <c r="A128" s="172">
        <v>9033408001</v>
      </c>
      <c r="B128" s="38" t="s">
        <v>858</v>
      </c>
      <c r="C128" s="38" t="s">
        <v>857</v>
      </c>
      <c r="D128" s="205">
        <v>1</v>
      </c>
      <c r="E128" s="205">
        <v>60</v>
      </c>
      <c r="F128" s="206"/>
      <c r="G128" s="204"/>
      <c r="H128" s="63">
        <f t="shared" si="3"/>
        <v>6</v>
      </c>
      <c r="I128" s="63"/>
      <c r="J128" s="2"/>
      <c r="K128" s="2"/>
      <c r="L128" s="2"/>
      <c r="M128" s="2"/>
      <c r="N128" s="2"/>
      <c r="O128" s="2"/>
    </row>
    <row r="129" spans="1:15" ht="15.75" customHeight="1" x14ac:dyDescent="0.3">
      <c r="A129" s="38">
        <v>8063354190</v>
      </c>
      <c r="B129" s="38" t="s">
        <v>859</v>
      </c>
      <c r="C129" s="38" t="s">
        <v>860</v>
      </c>
      <c r="D129" s="172">
        <v>1</v>
      </c>
      <c r="E129" s="172">
        <v>28</v>
      </c>
      <c r="F129" s="34"/>
      <c r="G129" s="204"/>
      <c r="H129" s="63">
        <f t="shared" si="3"/>
        <v>12.857142857142858</v>
      </c>
      <c r="I129" s="63"/>
      <c r="J129" s="2"/>
      <c r="K129" s="2"/>
      <c r="L129" s="2"/>
      <c r="M129" s="2"/>
      <c r="N129" s="2"/>
      <c r="O129" s="2"/>
    </row>
    <row r="130" spans="1:15" ht="15.75" customHeight="1" x14ac:dyDescent="0.3">
      <c r="A130" s="38">
        <v>8063354190</v>
      </c>
      <c r="B130" s="38" t="s">
        <v>861</v>
      </c>
      <c r="C130" s="38" t="s">
        <v>860</v>
      </c>
      <c r="D130" s="172">
        <v>1</v>
      </c>
      <c r="E130" s="172">
        <v>28</v>
      </c>
      <c r="F130" s="34"/>
      <c r="G130" s="204"/>
      <c r="H130" s="63">
        <f t="shared" si="3"/>
        <v>12.857142857142858</v>
      </c>
      <c r="I130" s="63"/>
      <c r="J130" s="2"/>
      <c r="K130" s="2"/>
      <c r="L130" s="2"/>
      <c r="M130" s="2"/>
      <c r="N130" s="2"/>
      <c r="O130" s="2"/>
    </row>
    <row r="131" spans="1:15" ht="15.75" customHeight="1" x14ac:dyDescent="0.3">
      <c r="A131" s="38">
        <v>8063451190</v>
      </c>
      <c r="B131" s="38" t="s">
        <v>862</v>
      </c>
      <c r="C131" s="38" t="s">
        <v>860</v>
      </c>
      <c r="D131" s="172">
        <v>1</v>
      </c>
      <c r="E131" s="172">
        <v>84</v>
      </c>
      <c r="F131" s="34"/>
      <c r="G131" s="204"/>
      <c r="H131" s="63">
        <f t="shared" si="3"/>
        <v>4.2857142857142856</v>
      </c>
      <c r="I131" s="63"/>
      <c r="J131" s="2"/>
      <c r="K131" s="2"/>
      <c r="L131" s="2"/>
      <c r="M131" s="2"/>
      <c r="N131" s="2"/>
      <c r="O131" s="2"/>
    </row>
    <row r="132" spans="1:15" ht="15.75" customHeight="1" x14ac:dyDescent="0.3">
      <c r="A132" s="38">
        <v>8063451190</v>
      </c>
      <c r="B132" s="38" t="s">
        <v>863</v>
      </c>
      <c r="C132" s="38" t="s">
        <v>860</v>
      </c>
      <c r="D132" s="172">
        <v>1</v>
      </c>
      <c r="E132" s="172">
        <v>84</v>
      </c>
      <c r="F132" s="34"/>
      <c r="G132" s="204"/>
      <c r="H132" s="63">
        <f t="shared" si="3"/>
        <v>4.2857142857142856</v>
      </c>
      <c r="I132" s="63"/>
      <c r="J132" s="2"/>
      <c r="K132" s="2"/>
      <c r="L132" s="2"/>
      <c r="M132" s="2"/>
      <c r="N132" s="2"/>
      <c r="O132" s="2"/>
    </row>
    <row r="133" spans="1:15" ht="15.75" customHeight="1" x14ac:dyDescent="0.3">
      <c r="A133" s="38">
        <v>8063494190</v>
      </c>
      <c r="B133" s="38" t="s">
        <v>864</v>
      </c>
      <c r="C133" s="38" t="s">
        <v>860</v>
      </c>
      <c r="D133" s="207">
        <v>1</v>
      </c>
      <c r="E133" s="207">
        <v>182</v>
      </c>
      <c r="F133" s="34"/>
      <c r="G133" s="204"/>
      <c r="H133" s="63">
        <f t="shared" si="3"/>
        <v>1.9780219780219781</v>
      </c>
      <c r="I133" s="63"/>
      <c r="J133" s="2"/>
      <c r="K133" s="2"/>
      <c r="L133" s="2"/>
      <c r="M133" s="2"/>
      <c r="N133" s="2"/>
      <c r="O133" s="2"/>
    </row>
    <row r="134" spans="1:15" ht="15.75" customHeight="1" x14ac:dyDescent="0.3">
      <c r="A134" s="38">
        <v>8063478190</v>
      </c>
      <c r="B134" s="38" t="s">
        <v>865</v>
      </c>
      <c r="C134" s="38" t="s">
        <v>860</v>
      </c>
      <c r="D134" s="172">
        <v>1</v>
      </c>
      <c r="E134" s="172">
        <v>84</v>
      </c>
      <c r="F134" s="34"/>
      <c r="G134" s="204"/>
      <c r="H134" s="63">
        <f t="shared" si="3"/>
        <v>4.2857142857142856</v>
      </c>
      <c r="I134" s="63"/>
      <c r="J134" s="2"/>
      <c r="K134" s="2"/>
      <c r="L134" s="2"/>
      <c r="M134" s="2"/>
      <c r="N134" s="2"/>
      <c r="O134" s="2"/>
    </row>
    <row r="135" spans="1:15" ht="15.75" customHeight="1" x14ac:dyDescent="0.3">
      <c r="A135" s="38">
        <v>8302723190</v>
      </c>
      <c r="B135" s="38" t="s">
        <v>866</v>
      </c>
      <c r="C135" s="38" t="s">
        <v>867</v>
      </c>
      <c r="D135" s="172">
        <v>2</v>
      </c>
      <c r="E135" s="172">
        <v>84</v>
      </c>
      <c r="F135" s="34"/>
      <c r="G135" s="204"/>
      <c r="H135" s="63">
        <f t="shared" si="3"/>
        <v>4.2857142857142856</v>
      </c>
      <c r="I135" s="63"/>
      <c r="J135" s="2"/>
      <c r="K135" s="2"/>
      <c r="L135" s="2"/>
      <c r="M135" s="2"/>
      <c r="N135" s="2"/>
      <c r="O135" s="2"/>
    </row>
    <row r="136" spans="1:15" ht="15.75" customHeight="1" x14ac:dyDescent="0.3">
      <c r="A136" s="38">
        <v>8302723190</v>
      </c>
      <c r="B136" s="38" t="s">
        <v>868</v>
      </c>
      <c r="C136" s="38" t="s">
        <v>867</v>
      </c>
      <c r="D136" s="172">
        <v>2</v>
      </c>
      <c r="E136" s="172">
        <v>84</v>
      </c>
      <c r="F136" s="34"/>
      <c r="G136" s="204"/>
      <c r="H136" s="63">
        <f t="shared" si="3"/>
        <v>4.2857142857142856</v>
      </c>
      <c r="I136" s="63"/>
      <c r="J136" s="2"/>
      <c r="K136" s="2"/>
      <c r="L136" s="2"/>
      <c r="M136" s="2"/>
      <c r="N136" s="2"/>
      <c r="O136" s="2"/>
    </row>
    <row r="137" spans="1:15" ht="15.75" customHeight="1" x14ac:dyDescent="0.3">
      <c r="A137" s="38">
        <v>8463093190</v>
      </c>
      <c r="B137" s="38" t="s">
        <v>869</v>
      </c>
      <c r="C137" s="38" t="s">
        <v>860</v>
      </c>
      <c r="D137" s="172">
        <v>1</v>
      </c>
      <c r="E137" s="172">
        <v>7</v>
      </c>
      <c r="F137" s="34"/>
      <c r="G137" s="204"/>
      <c r="H137" s="63">
        <f t="shared" si="3"/>
        <v>51.428571428571431</v>
      </c>
      <c r="I137" s="63"/>
      <c r="J137" s="2"/>
      <c r="K137" s="2"/>
      <c r="L137" s="2"/>
      <c r="M137" s="2"/>
      <c r="N137" s="2"/>
      <c r="O137" s="2"/>
    </row>
    <row r="138" spans="1:15" ht="15.75" customHeight="1" x14ac:dyDescent="0.3">
      <c r="A138" s="38">
        <v>8302545190</v>
      </c>
      <c r="B138" s="38" t="s">
        <v>870</v>
      </c>
      <c r="C138" s="38" t="s">
        <v>867</v>
      </c>
      <c r="D138" s="172">
        <v>2</v>
      </c>
      <c r="E138" s="172">
        <v>70</v>
      </c>
      <c r="F138" s="34"/>
      <c r="G138" s="204"/>
      <c r="H138" s="63">
        <f t="shared" si="3"/>
        <v>5.1428571428571432</v>
      </c>
      <c r="I138" s="63"/>
      <c r="J138" s="2"/>
      <c r="K138" s="2"/>
      <c r="L138" s="2"/>
      <c r="M138" s="2"/>
      <c r="N138" s="2"/>
      <c r="O138" s="2"/>
    </row>
    <row r="139" spans="1:15" ht="15.75" customHeight="1" x14ac:dyDescent="0.3">
      <c r="A139" s="38">
        <v>8302545190</v>
      </c>
      <c r="B139" s="38" t="s">
        <v>871</v>
      </c>
      <c r="C139" s="38" t="s">
        <v>867</v>
      </c>
      <c r="D139" s="172">
        <v>2</v>
      </c>
      <c r="E139" s="172">
        <v>70</v>
      </c>
      <c r="F139" s="34"/>
      <c r="G139" s="204"/>
      <c r="H139" s="63">
        <f t="shared" si="3"/>
        <v>5.1428571428571432</v>
      </c>
      <c r="I139" s="63"/>
      <c r="J139" s="2"/>
      <c r="K139" s="2"/>
      <c r="L139" s="2"/>
      <c r="M139" s="2"/>
      <c r="N139" s="2"/>
      <c r="O139" s="2"/>
    </row>
    <row r="140" spans="1:15" ht="15.75" customHeight="1" x14ac:dyDescent="0.3">
      <c r="A140" s="38">
        <v>4444191001</v>
      </c>
      <c r="B140" s="38" t="s">
        <v>682</v>
      </c>
      <c r="C140" s="61" t="s">
        <v>872</v>
      </c>
      <c r="D140" s="172">
        <v>1</v>
      </c>
      <c r="E140" s="172">
        <v>365</v>
      </c>
      <c r="F140" s="34"/>
      <c r="G140" s="204"/>
      <c r="H140" s="63">
        <f t="shared" si="3"/>
        <v>0.98630136986301364</v>
      </c>
      <c r="I140" s="63"/>
      <c r="J140" s="2"/>
      <c r="K140" s="2"/>
      <c r="L140" s="2"/>
      <c r="M140" s="2"/>
      <c r="N140" s="2"/>
      <c r="O140" s="2"/>
    </row>
    <row r="141" spans="1:15" ht="15.75" customHeight="1" x14ac:dyDescent="0.3">
      <c r="A141" s="38">
        <v>8463107190</v>
      </c>
      <c r="B141" s="38" t="s">
        <v>873</v>
      </c>
      <c r="C141" s="38" t="s">
        <v>860</v>
      </c>
      <c r="D141" s="172">
        <v>1</v>
      </c>
      <c r="E141" s="172">
        <v>28</v>
      </c>
      <c r="F141" s="34"/>
      <c r="G141" s="204"/>
      <c r="H141" s="63">
        <f t="shared" si="3"/>
        <v>12.857142857142858</v>
      </c>
      <c r="I141" s="63"/>
      <c r="J141" s="2"/>
      <c r="K141" s="2"/>
      <c r="L141" s="2"/>
      <c r="M141" s="2"/>
      <c r="N141" s="2"/>
      <c r="O141" s="2"/>
    </row>
    <row r="142" spans="1:15" ht="15.75" customHeight="1" x14ac:dyDescent="0.3">
      <c r="A142" s="38">
        <v>8059322190</v>
      </c>
      <c r="B142" s="38" t="s">
        <v>874</v>
      </c>
      <c r="C142" s="38" t="s">
        <v>875</v>
      </c>
      <c r="D142" s="172">
        <v>1</v>
      </c>
      <c r="E142" s="172">
        <v>182</v>
      </c>
      <c r="F142" s="34"/>
      <c r="G142" s="204"/>
      <c r="H142" s="63">
        <f t="shared" si="3"/>
        <v>1.9780219780219781</v>
      </c>
      <c r="I142" s="63"/>
      <c r="J142" s="2"/>
      <c r="K142" s="2"/>
      <c r="L142" s="2"/>
      <c r="M142" s="2"/>
      <c r="N142" s="2"/>
      <c r="O142" s="2"/>
    </row>
    <row r="143" spans="1:15" ht="15.75" customHeight="1" x14ac:dyDescent="0.3">
      <c r="A143" s="38">
        <v>5870020001</v>
      </c>
      <c r="B143" s="38" t="s">
        <v>876</v>
      </c>
      <c r="C143" s="61" t="s">
        <v>877</v>
      </c>
      <c r="D143" s="172">
        <v>1</v>
      </c>
      <c r="E143" s="172"/>
      <c r="F143" s="34"/>
      <c r="G143" s="204"/>
      <c r="H143" s="63" t="e">
        <f t="shared" si="3"/>
        <v>#DIV/0!</v>
      </c>
      <c r="I143" s="63"/>
      <c r="J143" s="2"/>
      <c r="K143" s="2"/>
      <c r="L143" s="2"/>
      <c r="M143" s="2"/>
      <c r="N143" s="2"/>
      <c r="O143" s="2"/>
    </row>
    <row r="144" spans="1:15" ht="15.75" customHeight="1" x14ac:dyDescent="0.3">
      <c r="A144" s="38">
        <v>4419987001</v>
      </c>
      <c r="B144" s="38" t="s">
        <v>878</v>
      </c>
      <c r="C144" s="61" t="s">
        <v>879</v>
      </c>
      <c r="D144" s="172">
        <v>1</v>
      </c>
      <c r="E144" s="172"/>
      <c r="F144" s="34"/>
      <c r="G144" s="204"/>
      <c r="H144" s="63" t="e">
        <f t="shared" si="3"/>
        <v>#DIV/0!</v>
      </c>
      <c r="I144" s="63"/>
      <c r="J144" s="2"/>
      <c r="K144" s="2"/>
      <c r="L144" s="2"/>
      <c r="M144" s="2"/>
      <c r="N144" s="2"/>
      <c r="O144" s="2"/>
    </row>
    <row r="145" spans="1:15" ht="15.75" customHeight="1" x14ac:dyDescent="0.3">
      <c r="A145" s="172">
        <v>4740955001</v>
      </c>
      <c r="B145" s="38" t="s">
        <v>880</v>
      </c>
      <c r="C145" s="61"/>
      <c r="D145" s="172">
        <v>1</v>
      </c>
      <c r="E145" s="172"/>
      <c r="F145" s="61"/>
      <c r="G145" s="204"/>
      <c r="H145" s="63" t="e">
        <f t="shared" si="3"/>
        <v>#DIV/0!</v>
      </c>
      <c r="I145" s="63"/>
      <c r="J145" s="2"/>
      <c r="K145" s="2"/>
      <c r="L145" s="2"/>
      <c r="M145" s="2"/>
      <c r="N145" s="2"/>
      <c r="O145" s="2"/>
    </row>
    <row r="146" spans="1:15" ht="15.75" customHeight="1" x14ac:dyDescent="0.3">
      <c r="A146" s="172">
        <v>4813707001</v>
      </c>
      <c r="B146" s="38" t="s">
        <v>351</v>
      </c>
      <c r="C146" s="208"/>
      <c r="D146" s="209">
        <v>1</v>
      </c>
      <c r="E146" s="209"/>
      <c r="F146" s="208"/>
      <c r="G146" s="204"/>
      <c r="H146" s="63" t="e">
        <f t="shared" si="3"/>
        <v>#DIV/0!</v>
      </c>
      <c r="I146" s="63"/>
      <c r="J146" s="2"/>
      <c r="K146" s="2"/>
      <c r="L146" s="2"/>
      <c r="M146" s="2"/>
      <c r="N146" s="2"/>
      <c r="O146" s="2"/>
    </row>
    <row r="147" spans="1:15" ht="15.75" customHeight="1" x14ac:dyDescent="0.3">
      <c r="A147" s="281" t="s">
        <v>881</v>
      </c>
      <c r="B147" s="279"/>
      <c r="C147" s="190" t="s">
        <v>237</v>
      </c>
      <c r="D147" s="201" t="s">
        <v>324</v>
      </c>
      <c r="E147" s="201" t="s">
        <v>559</v>
      </c>
      <c r="F147" s="202"/>
      <c r="G147" s="202" t="s">
        <v>138</v>
      </c>
      <c r="H147" s="202" t="s">
        <v>139</v>
      </c>
      <c r="I147" s="202" t="s">
        <v>140</v>
      </c>
      <c r="J147" s="2"/>
      <c r="K147" s="2"/>
      <c r="L147" s="2"/>
      <c r="M147" s="2"/>
      <c r="N147" s="2"/>
      <c r="O147" s="2"/>
    </row>
    <row r="148" spans="1:15" ht="15.75" customHeight="1" x14ac:dyDescent="0.3">
      <c r="A148" s="38">
        <v>11183974216</v>
      </c>
      <c r="B148" s="210" t="s">
        <v>358</v>
      </c>
      <c r="C148" s="165">
        <v>7500</v>
      </c>
      <c r="D148" s="34">
        <v>10</v>
      </c>
      <c r="E148" s="34">
        <v>1</v>
      </c>
      <c r="F148" s="34"/>
      <c r="G148" s="211"/>
      <c r="H148" s="34">
        <f t="shared" ref="H148:H160" si="4">(360/E148)</f>
        <v>360</v>
      </c>
      <c r="I148" s="34"/>
      <c r="J148" s="2"/>
      <c r="K148" s="2"/>
      <c r="L148" s="2"/>
      <c r="M148" s="2"/>
      <c r="N148" s="2"/>
      <c r="O148" s="2"/>
    </row>
    <row r="149" spans="1:15" ht="15.75" customHeight="1" x14ac:dyDescent="0.3">
      <c r="A149" s="38">
        <v>11183982216</v>
      </c>
      <c r="B149" s="210" t="s">
        <v>359</v>
      </c>
      <c r="C149" s="146"/>
      <c r="D149" s="34">
        <v>10</v>
      </c>
      <c r="E149" s="34">
        <v>1</v>
      </c>
      <c r="F149" s="34"/>
      <c r="G149" s="211"/>
      <c r="H149" s="34">
        <f t="shared" si="4"/>
        <v>360</v>
      </c>
      <c r="I149" s="34"/>
      <c r="J149" s="2"/>
      <c r="K149" s="2"/>
      <c r="L149" s="2"/>
      <c r="M149" s="2"/>
      <c r="N149" s="2"/>
      <c r="O149" s="2"/>
    </row>
    <row r="150" spans="1:15" ht="15.75" customHeight="1" x14ac:dyDescent="0.3">
      <c r="A150" s="38">
        <v>11298500316</v>
      </c>
      <c r="B150" s="210" t="s">
        <v>360</v>
      </c>
      <c r="C150" s="146"/>
      <c r="D150" s="34">
        <v>5</v>
      </c>
      <c r="E150" s="34">
        <v>73</v>
      </c>
      <c r="F150" s="34"/>
      <c r="G150" s="211"/>
      <c r="H150" s="63">
        <f t="shared" si="4"/>
        <v>4.9315068493150687</v>
      </c>
      <c r="I150" s="63"/>
      <c r="J150" s="2"/>
      <c r="K150" s="2"/>
      <c r="L150" s="2"/>
      <c r="M150" s="2"/>
      <c r="N150" s="2"/>
      <c r="O150" s="2"/>
    </row>
    <row r="151" spans="1:15" ht="15.75" customHeight="1" x14ac:dyDescent="0.3">
      <c r="A151" s="38">
        <v>4663632190</v>
      </c>
      <c r="B151" s="210" t="s">
        <v>361</v>
      </c>
      <c r="C151" s="146"/>
      <c r="D151" s="34">
        <v>9</v>
      </c>
      <c r="E151" s="34">
        <v>12</v>
      </c>
      <c r="F151" s="34"/>
      <c r="G151" s="211"/>
      <c r="H151" s="63">
        <f t="shared" si="4"/>
        <v>30</v>
      </c>
      <c r="I151" s="63"/>
      <c r="J151" s="2"/>
      <c r="K151" s="2"/>
      <c r="L151" s="2"/>
      <c r="M151" s="2"/>
      <c r="N151" s="2"/>
      <c r="O151" s="2"/>
    </row>
    <row r="152" spans="1:15" ht="15.75" customHeight="1" x14ac:dyDescent="0.3">
      <c r="A152" s="172">
        <v>20763071122</v>
      </c>
      <c r="B152" s="210" t="s">
        <v>882</v>
      </c>
      <c r="C152" s="146"/>
      <c r="D152" s="34">
        <v>6</v>
      </c>
      <c r="E152" s="34">
        <v>56</v>
      </c>
      <c r="F152" s="34"/>
      <c r="G152" s="211"/>
      <c r="H152" s="63">
        <f t="shared" si="4"/>
        <v>6.4285714285714288</v>
      </c>
      <c r="I152" s="63"/>
      <c r="J152" s="2"/>
      <c r="K152" s="2"/>
      <c r="L152" s="2"/>
      <c r="M152" s="2"/>
      <c r="N152" s="2"/>
      <c r="O152" s="2"/>
    </row>
    <row r="153" spans="1:15" ht="15.75" customHeight="1" x14ac:dyDescent="0.3">
      <c r="A153" s="38">
        <v>4880480190</v>
      </c>
      <c r="B153" s="210" t="s">
        <v>883</v>
      </c>
      <c r="C153" s="146"/>
      <c r="D153" s="34">
        <v>2</v>
      </c>
      <c r="E153" s="34">
        <v>42</v>
      </c>
      <c r="F153" s="34"/>
      <c r="G153" s="211"/>
      <c r="H153" s="63">
        <f t="shared" si="4"/>
        <v>8.5714285714285712</v>
      </c>
      <c r="I153" s="63"/>
      <c r="J153" s="2"/>
      <c r="K153" s="2"/>
      <c r="L153" s="2"/>
      <c r="M153" s="2"/>
      <c r="N153" s="2"/>
      <c r="O153" s="2"/>
    </row>
    <row r="154" spans="1:15" ht="15.75" customHeight="1" x14ac:dyDescent="0.3">
      <c r="A154" s="38">
        <v>4880455190</v>
      </c>
      <c r="B154" s="210" t="s">
        <v>884</v>
      </c>
      <c r="C154" s="146"/>
      <c r="D154" s="34">
        <v>2</v>
      </c>
      <c r="E154" s="34">
        <v>42</v>
      </c>
      <c r="F154" s="34"/>
      <c r="G154" s="211"/>
      <c r="H154" s="63">
        <f t="shared" si="4"/>
        <v>8.5714285714285712</v>
      </c>
      <c r="I154" s="63"/>
      <c r="J154" s="2"/>
      <c r="K154" s="2"/>
      <c r="L154" s="2"/>
      <c r="M154" s="2"/>
      <c r="N154" s="2"/>
      <c r="O154" s="2"/>
    </row>
    <row r="155" spans="1:15" ht="15.75" customHeight="1" x14ac:dyDescent="0.3">
      <c r="A155" s="38">
        <v>8392013190</v>
      </c>
      <c r="B155" s="210" t="s">
        <v>885</v>
      </c>
      <c r="C155" s="146"/>
      <c r="D155" s="34">
        <v>2</v>
      </c>
      <c r="E155" s="34">
        <v>365</v>
      </c>
      <c r="F155" s="34"/>
      <c r="G155" s="211"/>
      <c r="H155" s="63">
        <f t="shared" si="4"/>
        <v>0.98630136986301364</v>
      </c>
      <c r="I155" s="63"/>
      <c r="J155" s="2"/>
      <c r="K155" s="2"/>
      <c r="L155" s="2"/>
      <c r="M155" s="2"/>
      <c r="N155" s="2"/>
      <c r="O155" s="2"/>
    </row>
    <row r="156" spans="1:15" ht="15.75" customHeight="1" x14ac:dyDescent="0.3">
      <c r="A156" s="38">
        <v>10820652216</v>
      </c>
      <c r="B156" s="210" t="s">
        <v>886</v>
      </c>
      <c r="C156" s="146"/>
      <c r="D156" s="34">
        <v>1</v>
      </c>
      <c r="E156" s="34">
        <v>365</v>
      </c>
      <c r="F156" s="34"/>
      <c r="G156" s="211"/>
      <c r="H156" s="63">
        <f t="shared" si="4"/>
        <v>0.98630136986301364</v>
      </c>
      <c r="I156" s="63"/>
      <c r="J156" s="2"/>
      <c r="K156" s="2"/>
      <c r="L156" s="2"/>
      <c r="M156" s="2"/>
      <c r="N156" s="2"/>
      <c r="O156" s="2"/>
    </row>
    <row r="157" spans="1:15" ht="15.75" customHeight="1" x14ac:dyDescent="0.3">
      <c r="A157" s="38">
        <v>3149501001</v>
      </c>
      <c r="B157" s="210" t="s">
        <v>365</v>
      </c>
      <c r="C157" s="146"/>
      <c r="D157" s="34">
        <v>1</v>
      </c>
      <c r="E157" s="34">
        <v>168</v>
      </c>
      <c r="F157" s="34"/>
      <c r="G157" s="211"/>
      <c r="H157" s="63">
        <f t="shared" si="4"/>
        <v>2.1428571428571428</v>
      </c>
      <c r="I157" s="63"/>
      <c r="J157" s="2"/>
      <c r="K157" s="2"/>
      <c r="L157" s="2"/>
      <c r="M157" s="2"/>
      <c r="N157" s="2"/>
      <c r="O157" s="2"/>
    </row>
    <row r="158" spans="1:15" ht="15.75" customHeight="1" x14ac:dyDescent="0.3">
      <c r="A158" s="38">
        <v>10825468001</v>
      </c>
      <c r="B158" s="210" t="s">
        <v>366</v>
      </c>
      <c r="C158" s="146"/>
      <c r="D158" s="34">
        <v>1</v>
      </c>
      <c r="E158" s="34">
        <v>56</v>
      </c>
      <c r="F158" s="34"/>
      <c r="G158" s="211"/>
      <c r="H158" s="63">
        <f t="shared" si="4"/>
        <v>6.4285714285714288</v>
      </c>
      <c r="I158" s="63"/>
      <c r="J158" s="2"/>
      <c r="K158" s="2"/>
      <c r="L158" s="2"/>
      <c r="M158" s="2"/>
      <c r="N158" s="2"/>
      <c r="O158" s="2"/>
    </row>
    <row r="159" spans="1:15" ht="15.75" customHeight="1" x14ac:dyDescent="0.3">
      <c r="A159" s="38">
        <v>10825441001</v>
      </c>
      <c r="B159" s="210" t="s">
        <v>367</v>
      </c>
      <c r="C159" s="146"/>
      <c r="D159" s="34">
        <v>1</v>
      </c>
      <c r="E159" s="34">
        <v>56</v>
      </c>
      <c r="F159" s="34"/>
      <c r="G159" s="211"/>
      <c r="H159" s="63">
        <f t="shared" si="4"/>
        <v>6.4285714285714288</v>
      </c>
      <c r="I159" s="63"/>
      <c r="J159" s="2"/>
      <c r="K159" s="2"/>
      <c r="L159" s="2"/>
      <c r="M159" s="2"/>
      <c r="N159" s="2"/>
      <c r="O159" s="2"/>
    </row>
    <row r="160" spans="1:15" ht="15.75" customHeight="1" x14ac:dyDescent="0.3">
      <c r="A160" s="38">
        <v>3246353001</v>
      </c>
      <c r="B160" s="210" t="s">
        <v>368</v>
      </c>
      <c r="C160" s="146"/>
      <c r="D160" s="34">
        <v>1</v>
      </c>
      <c r="E160" s="34">
        <v>56</v>
      </c>
      <c r="F160" s="34"/>
      <c r="G160" s="211"/>
      <c r="H160" s="63">
        <f t="shared" si="4"/>
        <v>6.4285714285714288</v>
      </c>
      <c r="I160" s="63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2"/>
      <c r="C161" s="52"/>
      <c r="D161" s="151"/>
      <c r="E161" s="52"/>
      <c r="F161" s="21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2"/>
      <c r="C162" s="2"/>
      <c r="D162" s="151"/>
      <c r="E162" s="52"/>
      <c r="F162" s="21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2"/>
      <c r="C163" s="2"/>
      <c r="D163" s="151"/>
      <c r="E163" s="52"/>
      <c r="F163" s="21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2"/>
      <c r="C164" s="2"/>
      <c r="D164" s="151"/>
      <c r="E164" s="52"/>
      <c r="F164" s="21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2"/>
      <c r="C165" s="2"/>
      <c r="D165" s="151"/>
      <c r="E165" s="52"/>
      <c r="F165" s="21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2"/>
      <c r="C166" s="2"/>
      <c r="D166" s="151"/>
      <c r="E166" s="52"/>
      <c r="F166" s="21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2"/>
      <c r="C167" s="2"/>
      <c r="D167" s="151"/>
      <c r="E167" s="52"/>
      <c r="F167" s="21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2"/>
      <c r="C168" s="2"/>
      <c r="D168" s="151"/>
      <c r="E168" s="52"/>
      <c r="F168" s="21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2"/>
      <c r="C169" s="2"/>
      <c r="D169" s="151"/>
      <c r="E169" s="52"/>
      <c r="F169" s="21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2"/>
      <c r="C170" s="2"/>
      <c r="D170" s="151"/>
      <c r="E170" s="52"/>
      <c r="F170" s="21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2"/>
      <c r="C171" s="2"/>
      <c r="D171" s="151"/>
      <c r="E171" s="52"/>
      <c r="F171" s="21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2"/>
      <c r="C172" s="2"/>
      <c r="D172" s="151"/>
      <c r="E172" s="52"/>
      <c r="F172" s="21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2"/>
      <c r="C173" s="2"/>
      <c r="D173" s="151"/>
      <c r="E173" s="52"/>
      <c r="F173" s="21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2"/>
      <c r="C174" s="2"/>
      <c r="D174" s="151"/>
      <c r="E174" s="52"/>
      <c r="F174" s="21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2"/>
      <c r="C175" s="2"/>
      <c r="D175" s="151"/>
      <c r="E175" s="52"/>
      <c r="F175" s="21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2"/>
      <c r="C176" s="2"/>
      <c r="D176" s="151"/>
      <c r="E176" s="52"/>
      <c r="F176" s="21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2"/>
      <c r="C177" s="2"/>
      <c r="D177" s="151"/>
      <c r="E177" s="52"/>
      <c r="F177" s="21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2"/>
      <c r="C178" s="2"/>
      <c r="D178" s="151"/>
      <c r="E178" s="52"/>
      <c r="F178" s="21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2"/>
      <c r="C179" s="2"/>
      <c r="D179" s="151"/>
      <c r="E179" s="52"/>
      <c r="F179" s="21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2"/>
      <c r="C180" s="2"/>
      <c r="D180" s="151"/>
      <c r="E180" s="52"/>
      <c r="F180" s="21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2"/>
      <c r="C181" s="2"/>
      <c r="D181" s="151"/>
      <c r="E181" s="52"/>
      <c r="F181" s="21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2"/>
      <c r="C182" s="2"/>
      <c r="D182" s="151"/>
      <c r="E182" s="52"/>
      <c r="F182" s="21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2"/>
      <c r="C183" s="2"/>
      <c r="D183" s="151"/>
      <c r="E183" s="52"/>
      <c r="F183" s="21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2"/>
      <c r="C184" s="2"/>
      <c r="D184" s="151"/>
      <c r="E184" s="52"/>
      <c r="F184" s="21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2"/>
      <c r="C185" s="2"/>
      <c r="D185" s="151"/>
      <c r="E185" s="52"/>
      <c r="F185" s="21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2"/>
      <c r="C186" s="2"/>
      <c r="D186" s="151"/>
      <c r="E186" s="52"/>
      <c r="F186" s="21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2"/>
      <c r="C187" s="2"/>
      <c r="D187" s="151"/>
      <c r="E187" s="52"/>
      <c r="F187" s="21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2"/>
      <c r="C188" s="2"/>
      <c r="D188" s="151"/>
      <c r="E188" s="52"/>
      <c r="F188" s="21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2"/>
      <c r="C189" s="2"/>
      <c r="D189" s="151"/>
      <c r="E189" s="52"/>
      <c r="F189" s="21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2"/>
      <c r="C190" s="2"/>
      <c r="D190" s="151"/>
      <c r="E190" s="52"/>
      <c r="F190" s="21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2"/>
      <c r="C191" s="2"/>
      <c r="D191" s="151"/>
      <c r="E191" s="52"/>
      <c r="F191" s="21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2"/>
      <c r="C192" s="2"/>
      <c r="D192" s="151"/>
      <c r="E192" s="52"/>
      <c r="F192" s="21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2"/>
      <c r="C193" s="2"/>
      <c r="D193" s="151"/>
      <c r="E193" s="52"/>
      <c r="F193" s="21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2"/>
      <c r="C194" s="2"/>
      <c r="D194" s="151"/>
      <c r="E194" s="52"/>
      <c r="F194" s="21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2"/>
      <c r="C195" s="2"/>
      <c r="D195" s="151"/>
      <c r="E195" s="52"/>
      <c r="F195" s="21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2"/>
      <c r="C196" s="2"/>
      <c r="D196" s="151"/>
      <c r="E196" s="52"/>
      <c r="F196" s="21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2"/>
      <c r="C197" s="2"/>
      <c r="D197" s="151"/>
      <c r="E197" s="52"/>
      <c r="F197" s="21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2"/>
      <c r="C198" s="2"/>
      <c r="D198" s="151"/>
      <c r="E198" s="52"/>
      <c r="F198" s="21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2"/>
      <c r="C199" s="2"/>
      <c r="D199" s="151"/>
      <c r="E199" s="52"/>
      <c r="F199" s="21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2"/>
      <c r="C200" s="2"/>
      <c r="D200" s="151"/>
      <c r="E200" s="52"/>
      <c r="F200" s="21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2"/>
      <c r="C201" s="2"/>
      <c r="D201" s="151"/>
      <c r="E201" s="52"/>
      <c r="F201" s="21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2"/>
      <c r="C202" s="2"/>
      <c r="D202" s="151"/>
      <c r="E202" s="52"/>
      <c r="F202" s="21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2"/>
      <c r="C203" s="2"/>
      <c r="D203" s="151"/>
      <c r="E203" s="52"/>
      <c r="F203" s="21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2"/>
      <c r="C204" s="2"/>
      <c r="D204" s="151"/>
      <c r="E204" s="52"/>
      <c r="F204" s="21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2"/>
      <c r="C205" s="2"/>
      <c r="D205" s="151"/>
      <c r="E205" s="52"/>
      <c r="F205" s="21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2"/>
      <c r="C206" s="2"/>
      <c r="D206" s="151"/>
      <c r="E206" s="52"/>
      <c r="F206" s="21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2"/>
      <c r="C207" s="2"/>
      <c r="D207" s="151"/>
      <c r="E207" s="52"/>
      <c r="F207" s="21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2"/>
      <c r="C208" s="2"/>
      <c r="D208" s="151"/>
      <c r="E208" s="52"/>
      <c r="F208" s="21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2"/>
      <c r="C209" s="2"/>
      <c r="D209" s="151"/>
      <c r="E209" s="52"/>
      <c r="F209" s="21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2"/>
      <c r="C210" s="2"/>
      <c r="D210" s="151"/>
      <c r="E210" s="52"/>
      <c r="F210" s="21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2"/>
      <c r="C211" s="2"/>
      <c r="D211" s="151"/>
      <c r="E211" s="52"/>
      <c r="F211" s="21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3">
      <c r="A212" s="2"/>
      <c r="B212" s="2"/>
      <c r="C212" s="2"/>
      <c r="D212" s="151"/>
      <c r="E212" s="52"/>
      <c r="F212" s="21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3">
      <c r="A213" s="2"/>
      <c r="B213" s="2"/>
      <c r="C213" s="2"/>
      <c r="D213" s="151"/>
      <c r="E213" s="52"/>
      <c r="F213" s="21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3">
      <c r="A214" s="2"/>
      <c r="B214" s="2"/>
      <c r="C214" s="2"/>
      <c r="D214" s="151"/>
      <c r="E214" s="52"/>
      <c r="F214" s="21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3">
      <c r="A215" s="2"/>
      <c r="B215" s="2"/>
      <c r="C215" s="2"/>
      <c r="D215" s="151"/>
      <c r="E215" s="52"/>
      <c r="F215" s="21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3">
      <c r="A216" s="2"/>
      <c r="B216" s="2"/>
      <c r="C216" s="2"/>
      <c r="D216" s="151"/>
      <c r="E216" s="52"/>
      <c r="F216" s="21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3">
      <c r="A217" s="2"/>
      <c r="B217" s="2"/>
      <c r="C217" s="2"/>
      <c r="D217" s="151"/>
      <c r="E217" s="52"/>
      <c r="F217" s="21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3">
      <c r="A218" s="2"/>
      <c r="B218" s="2"/>
      <c r="C218" s="2"/>
      <c r="D218" s="151"/>
      <c r="E218" s="52"/>
      <c r="F218" s="21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3">
      <c r="A219" s="2"/>
      <c r="B219" s="2"/>
      <c r="C219" s="2"/>
      <c r="D219" s="151"/>
      <c r="E219" s="52"/>
      <c r="F219" s="21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3">
      <c r="A220" s="2"/>
      <c r="B220" s="2"/>
      <c r="C220" s="2"/>
      <c r="D220" s="151"/>
      <c r="E220" s="52"/>
      <c r="F220" s="21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3">
      <c r="A221" s="2"/>
      <c r="B221" s="2"/>
      <c r="C221" s="2"/>
      <c r="D221" s="151"/>
      <c r="E221" s="52"/>
      <c r="F221" s="21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3">
      <c r="A222" s="2"/>
      <c r="B222" s="2"/>
      <c r="C222" s="2"/>
      <c r="D222" s="151"/>
      <c r="E222" s="52"/>
      <c r="F222" s="21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3">
      <c r="A223" s="2"/>
      <c r="B223" s="2"/>
      <c r="C223" s="2"/>
      <c r="D223" s="151"/>
      <c r="E223" s="52"/>
      <c r="F223" s="21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3">
      <c r="A224" s="2"/>
      <c r="B224" s="2"/>
      <c r="C224" s="2"/>
      <c r="D224" s="151"/>
      <c r="E224" s="52"/>
      <c r="F224" s="21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3">
      <c r="A225" s="2"/>
      <c r="B225" s="2"/>
      <c r="C225" s="2"/>
      <c r="D225" s="151"/>
      <c r="E225" s="52"/>
      <c r="F225" s="21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3">
      <c r="A226" s="2"/>
      <c r="B226" s="2"/>
      <c r="C226" s="2"/>
      <c r="D226" s="151"/>
      <c r="E226" s="52"/>
      <c r="F226" s="21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3">
      <c r="A227" s="2"/>
      <c r="B227" s="2"/>
      <c r="C227" s="2"/>
      <c r="D227" s="151"/>
      <c r="E227" s="52"/>
      <c r="F227" s="21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3">
      <c r="A228" s="2"/>
      <c r="B228" s="2"/>
      <c r="C228" s="2"/>
      <c r="D228" s="151"/>
      <c r="E228" s="52"/>
      <c r="F228" s="21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3">
      <c r="A229" s="2"/>
      <c r="B229" s="2"/>
      <c r="C229" s="2"/>
      <c r="D229" s="151"/>
      <c r="E229" s="52"/>
      <c r="F229" s="21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3">
      <c r="A230" s="2"/>
      <c r="B230" s="2"/>
      <c r="C230" s="2"/>
      <c r="D230" s="151"/>
      <c r="E230" s="52"/>
      <c r="F230" s="21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3">
      <c r="A231" s="2"/>
      <c r="B231" s="2"/>
      <c r="C231" s="2"/>
      <c r="D231" s="151"/>
      <c r="E231" s="52"/>
      <c r="F231" s="21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3">
      <c r="A232" s="2"/>
      <c r="B232" s="2"/>
      <c r="C232" s="2"/>
      <c r="D232" s="151"/>
      <c r="E232" s="52"/>
      <c r="F232" s="21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3">
      <c r="A233" s="2"/>
      <c r="B233" s="2"/>
      <c r="C233" s="2"/>
      <c r="D233" s="151"/>
      <c r="E233" s="52"/>
      <c r="F233" s="21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3">
      <c r="A234" s="2"/>
      <c r="B234" s="2"/>
      <c r="C234" s="2"/>
      <c r="D234" s="151"/>
      <c r="E234" s="52"/>
      <c r="F234" s="21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3">
      <c r="A235" s="2"/>
      <c r="B235" s="2"/>
      <c r="C235" s="2"/>
      <c r="D235" s="151"/>
      <c r="E235" s="52"/>
      <c r="F235" s="21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3">
      <c r="A236" s="2"/>
      <c r="B236" s="2"/>
      <c r="C236" s="2"/>
      <c r="D236" s="151"/>
      <c r="E236" s="52"/>
      <c r="F236" s="21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3">
      <c r="A237" s="2"/>
      <c r="B237" s="2"/>
      <c r="C237" s="2"/>
      <c r="D237" s="151"/>
      <c r="E237" s="52"/>
      <c r="F237" s="21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3">
      <c r="A238" s="2"/>
      <c r="B238" s="2"/>
      <c r="C238" s="2"/>
      <c r="D238" s="151"/>
      <c r="E238" s="52"/>
      <c r="F238" s="21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3">
      <c r="A239" s="2"/>
      <c r="B239" s="2"/>
      <c r="C239" s="2"/>
      <c r="D239" s="151"/>
      <c r="E239" s="52"/>
      <c r="F239" s="21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3">
      <c r="A240" s="2"/>
      <c r="B240" s="2"/>
      <c r="C240" s="2"/>
      <c r="D240" s="151"/>
      <c r="E240" s="52"/>
      <c r="F240" s="21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3">
      <c r="A241" s="2"/>
      <c r="B241" s="2"/>
      <c r="C241" s="2"/>
      <c r="D241" s="151"/>
      <c r="E241" s="52"/>
      <c r="F241" s="21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3">
      <c r="A242" s="2"/>
      <c r="B242" s="2"/>
      <c r="C242" s="2"/>
      <c r="D242" s="151"/>
      <c r="E242" s="52"/>
      <c r="F242" s="21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3">
      <c r="A243" s="2"/>
      <c r="B243" s="2"/>
      <c r="C243" s="2"/>
      <c r="D243" s="151"/>
      <c r="E243" s="52"/>
      <c r="F243" s="21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3">
      <c r="A244" s="2"/>
      <c r="B244" s="2"/>
      <c r="C244" s="2"/>
      <c r="D244" s="151"/>
      <c r="E244" s="52"/>
      <c r="F244" s="21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3">
      <c r="A245" s="2"/>
      <c r="B245" s="2"/>
      <c r="C245" s="2"/>
      <c r="D245" s="151"/>
      <c r="E245" s="52"/>
      <c r="F245" s="21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3">
      <c r="A246" s="2"/>
      <c r="B246" s="2"/>
      <c r="C246" s="2"/>
      <c r="D246" s="151"/>
      <c r="E246" s="52"/>
      <c r="F246" s="21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3">
      <c r="A247" s="2"/>
      <c r="B247" s="2"/>
      <c r="C247" s="2"/>
      <c r="D247" s="151"/>
      <c r="E247" s="52"/>
      <c r="F247" s="21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3">
      <c r="A248" s="2"/>
      <c r="B248" s="2"/>
      <c r="C248" s="2"/>
      <c r="D248" s="151"/>
      <c r="E248" s="52"/>
      <c r="F248" s="21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3">
      <c r="A249" s="2"/>
      <c r="B249" s="2"/>
      <c r="C249" s="2"/>
      <c r="D249" s="151"/>
      <c r="E249" s="52"/>
      <c r="F249" s="21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3">
      <c r="A250" s="2"/>
      <c r="B250" s="2"/>
      <c r="C250" s="2"/>
      <c r="D250" s="151"/>
      <c r="E250" s="52"/>
      <c r="F250" s="21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3">
      <c r="A251" s="2"/>
      <c r="B251" s="2"/>
      <c r="C251" s="2"/>
      <c r="D251" s="151"/>
      <c r="E251" s="52"/>
      <c r="F251" s="21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3">
      <c r="A252" s="2"/>
      <c r="B252" s="2"/>
      <c r="C252" s="2"/>
      <c r="D252" s="151"/>
      <c r="E252" s="52"/>
      <c r="F252" s="21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3">
      <c r="A253" s="2"/>
      <c r="B253" s="2"/>
      <c r="C253" s="2"/>
      <c r="D253" s="151"/>
      <c r="E253" s="52"/>
      <c r="F253" s="21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3">
      <c r="A254" s="2"/>
      <c r="B254" s="2"/>
      <c r="C254" s="2"/>
      <c r="D254" s="151"/>
      <c r="E254" s="52"/>
      <c r="F254" s="21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3">
      <c r="A255" s="2"/>
      <c r="B255" s="2"/>
      <c r="C255" s="2"/>
      <c r="D255" s="151"/>
      <c r="E255" s="52"/>
      <c r="F255" s="21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3">
      <c r="A256" s="2"/>
      <c r="B256" s="2"/>
      <c r="C256" s="2"/>
      <c r="D256" s="151"/>
      <c r="E256" s="52"/>
      <c r="F256" s="21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3">
      <c r="A257" s="2"/>
      <c r="B257" s="2"/>
      <c r="C257" s="2"/>
      <c r="D257" s="151"/>
      <c r="E257" s="52"/>
      <c r="F257" s="21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3">
      <c r="A258" s="2"/>
      <c r="B258" s="2"/>
      <c r="C258" s="2"/>
      <c r="D258" s="151"/>
      <c r="E258" s="52"/>
      <c r="F258" s="21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3">
      <c r="A259" s="2"/>
      <c r="B259" s="2"/>
      <c r="C259" s="2"/>
      <c r="D259" s="151"/>
      <c r="E259" s="52"/>
      <c r="F259" s="21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3">
      <c r="A260" s="2"/>
      <c r="B260" s="2"/>
      <c r="C260" s="2"/>
      <c r="D260" s="151"/>
      <c r="E260" s="52"/>
      <c r="F260" s="21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3">
      <c r="A261" s="2"/>
      <c r="B261" s="2"/>
      <c r="C261" s="2"/>
      <c r="D261" s="151"/>
      <c r="E261" s="52"/>
      <c r="F261" s="21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3">
      <c r="A262" s="2"/>
      <c r="B262" s="2"/>
      <c r="C262" s="2"/>
      <c r="D262" s="151"/>
      <c r="E262" s="52"/>
      <c r="F262" s="21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3">
      <c r="A263" s="2"/>
      <c r="B263" s="2"/>
      <c r="C263" s="2"/>
      <c r="D263" s="151"/>
      <c r="E263" s="52"/>
      <c r="F263" s="21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3">
      <c r="A264" s="2"/>
      <c r="B264" s="2"/>
      <c r="C264" s="2"/>
      <c r="D264" s="151"/>
      <c r="E264" s="52"/>
      <c r="F264" s="21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3">
      <c r="A265" s="2"/>
      <c r="B265" s="2"/>
      <c r="C265" s="2"/>
      <c r="D265" s="151"/>
      <c r="E265" s="52"/>
      <c r="F265" s="21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3">
      <c r="A266" s="2"/>
      <c r="B266" s="2"/>
      <c r="C266" s="2"/>
      <c r="D266" s="151"/>
      <c r="E266" s="52"/>
      <c r="F266" s="21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3">
      <c r="A267" s="2"/>
      <c r="B267" s="2"/>
      <c r="C267" s="2"/>
      <c r="D267" s="151"/>
      <c r="E267" s="52"/>
      <c r="F267" s="21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3">
      <c r="A268" s="2"/>
      <c r="B268" s="2"/>
      <c r="C268" s="2"/>
      <c r="D268" s="151"/>
      <c r="E268" s="52"/>
      <c r="F268" s="21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3">
      <c r="A269" s="2"/>
      <c r="B269" s="2"/>
      <c r="C269" s="2"/>
      <c r="D269" s="151"/>
      <c r="E269" s="52"/>
      <c r="F269" s="21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3">
      <c r="A270" s="2"/>
      <c r="B270" s="2"/>
      <c r="C270" s="2"/>
      <c r="D270" s="151"/>
      <c r="E270" s="52"/>
      <c r="F270" s="21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3">
      <c r="A271" s="2"/>
      <c r="B271" s="2"/>
      <c r="C271" s="2"/>
      <c r="D271" s="151"/>
      <c r="E271" s="52"/>
      <c r="F271" s="21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3">
      <c r="A272" s="2"/>
      <c r="B272" s="2"/>
      <c r="C272" s="2"/>
      <c r="D272" s="151"/>
      <c r="E272" s="52"/>
      <c r="F272" s="21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3">
      <c r="A273" s="2"/>
      <c r="B273" s="2"/>
      <c r="C273" s="2"/>
      <c r="D273" s="151"/>
      <c r="E273" s="52"/>
      <c r="F273" s="21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3">
      <c r="A274" s="2"/>
      <c r="B274" s="2"/>
      <c r="C274" s="2"/>
      <c r="D274" s="151"/>
      <c r="E274" s="52"/>
      <c r="F274" s="21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3">
      <c r="A275" s="2"/>
      <c r="B275" s="2"/>
      <c r="C275" s="2"/>
      <c r="D275" s="151"/>
      <c r="E275" s="52"/>
      <c r="F275" s="21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3">
      <c r="A276" s="2"/>
      <c r="B276" s="2"/>
      <c r="C276" s="2"/>
      <c r="D276" s="151"/>
      <c r="E276" s="52"/>
      <c r="F276" s="21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3">
      <c r="A277" s="2"/>
      <c r="B277" s="2"/>
      <c r="C277" s="2"/>
      <c r="D277" s="151"/>
      <c r="E277" s="52"/>
      <c r="F277" s="21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3">
      <c r="A278" s="2"/>
      <c r="B278" s="2"/>
      <c r="C278" s="2"/>
      <c r="D278" s="151"/>
      <c r="E278" s="52"/>
      <c r="F278" s="21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3">
      <c r="A279" s="2"/>
      <c r="B279" s="2"/>
      <c r="C279" s="2"/>
      <c r="D279" s="151"/>
      <c r="E279" s="52"/>
      <c r="F279" s="21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3">
      <c r="A280" s="2"/>
      <c r="B280" s="2"/>
      <c r="C280" s="2"/>
      <c r="D280" s="151"/>
      <c r="E280" s="52"/>
      <c r="F280" s="21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3">
      <c r="A281" s="2"/>
      <c r="B281" s="2"/>
      <c r="C281" s="2"/>
      <c r="D281" s="151"/>
      <c r="E281" s="52"/>
      <c r="F281" s="21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3">
      <c r="A282" s="2"/>
      <c r="B282" s="2"/>
      <c r="C282" s="2"/>
      <c r="D282" s="151"/>
      <c r="E282" s="52"/>
      <c r="F282" s="21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3">
      <c r="A283" s="2"/>
      <c r="B283" s="2"/>
      <c r="C283" s="2"/>
      <c r="D283" s="151"/>
      <c r="E283" s="52"/>
      <c r="F283" s="21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3">
      <c r="A284" s="2"/>
      <c r="B284" s="2"/>
      <c r="C284" s="2"/>
      <c r="D284" s="151"/>
      <c r="E284" s="52"/>
      <c r="F284" s="21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3">
      <c r="A285" s="2"/>
      <c r="B285" s="2"/>
      <c r="C285" s="2"/>
      <c r="D285" s="151"/>
      <c r="E285" s="52"/>
      <c r="F285" s="21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3">
      <c r="A286" s="2"/>
      <c r="B286" s="2"/>
      <c r="C286" s="2"/>
      <c r="D286" s="151"/>
      <c r="E286" s="52"/>
      <c r="F286" s="21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3">
      <c r="A287" s="2"/>
      <c r="B287" s="2"/>
      <c r="C287" s="2"/>
      <c r="D287" s="151"/>
      <c r="E287" s="52"/>
      <c r="F287" s="21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3">
      <c r="A288" s="2"/>
      <c r="B288" s="2"/>
      <c r="C288" s="2"/>
      <c r="D288" s="151"/>
      <c r="E288" s="52"/>
      <c r="F288" s="21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3">
      <c r="A289" s="2"/>
      <c r="B289" s="2"/>
      <c r="C289" s="2"/>
      <c r="D289" s="151"/>
      <c r="E289" s="52"/>
      <c r="F289" s="21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3">
      <c r="A290" s="2"/>
      <c r="B290" s="2"/>
      <c r="C290" s="2"/>
      <c r="D290" s="151"/>
      <c r="E290" s="52"/>
      <c r="F290" s="21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3">
      <c r="A291" s="2"/>
      <c r="B291" s="2"/>
      <c r="C291" s="2"/>
      <c r="D291" s="151"/>
      <c r="E291" s="52"/>
      <c r="F291" s="21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3">
      <c r="A292" s="2"/>
      <c r="B292" s="2"/>
      <c r="C292" s="2"/>
      <c r="D292" s="151"/>
      <c r="E292" s="52"/>
      <c r="F292" s="21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3">
      <c r="A293" s="2"/>
      <c r="B293" s="2"/>
      <c r="C293" s="2"/>
      <c r="D293" s="151"/>
      <c r="E293" s="52"/>
      <c r="F293" s="21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3">
      <c r="A294" s="2"/>
      <c r="B294" s="2"/>
      <c r="C294" s="2"/>
      <c r="D294" s="151"/>
      <c r="E294" s="52"/>
      <c r="F294" s="21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3">
      <c r="A295" s="2"/>
      <c r="B295" s="2"/>
      <c r="C295" s="2"/>
      <c r="D295" s="151"/>
      <c r="E295" s="52"/>
      <c r="F295" s="21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3">
      <c r="A296" s="2"/>
      <c r="B296" s="2"/>
      <c r="C296" s="2"/>
      <c r="D296" s="151"/>
      <c r="E296" s="52"/>
      <c r="F296" s="21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3">
      <c r="A297" s="2"/>
      <c r="B297" s="2"/>
      <c r="C297" s="2"/>
      <c r="D297" s="151"/>
      <c r="E297" s="52"/>
      <c r="F297" s="21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3">
      <c r="A298" s="2"/>
      <c r="B298" s="2"/>
      <c r="C298" s="2"/>
      <c r="D298" s="151"/>
      <c r="E298" s="52"/>
      <c r="F298" s="21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3">
      <c r="A299" s="2"/>
      <c r="B299" s="2"/>
      <c r="C299" s="2"/>
      <c r="D299" s="151"/>
      <c r="E299" s="52"/>
      <c r="F299" s="21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3">
      <c r="A300" s="2"/>
      <c r="B300" s="2"/>
      <c r="C300" s="2"/>
      <c r="D300" s="151"/>
      <c r="E300" s="52"/>
      <c r="F300" s="21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3">
      <c r="A301" s="2"/>
      <c r="B301" s="2"/>
      <c r="C301" s="2"/>
      <c r="D301" s="151"/>
      <c r="E301" s="52"/>
      <c r="F301" s="21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3">
      <c r="A302" s="2"/>
      <c r="B302" s="2"/>
      <c r="C302" s="2"/>
      <c r="D302" s="151"/>
      <c r="E302" s="52"/>
      <c r="F302" s="21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3">
      <c r="A303" s="2"/>
      <c r="B303" s="2"/>
      <c r="C303" s="2"/>
      <c r="D303" s="151"/>
      <c r="E303" s="52"/>
      <c r="F303" s="21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3">
      <c r="A304" s="2"/>
      <c r="B304" s="2"/>
      <c r="C304" s="2"/>
      <c r="D304" s="151"/>
      <c r="E304" s="52"/>
      <c r="F304" s="21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3">
      <c r="A305" s="2"/>
      <c r="B305" s="2"/>
      <c r="C305" s="2"/>
      <c r="D305" s="151"/>
      <c r="E305" s="52"/>
      <c r="F305" s="21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3">
      <c r="A306" s="2"/>
      <c r="B306" s="2"/>
      <c r="C306" s="2"/>
      <c r="D306" s="151"/>
      <c r="E306" s="52"/>
      <c r="F306" s="21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3">
      <c r="A307" s="2"/>
      <c r="B307" s="2"/>
      <c r="C307" s="2"/>
      <c r="D307" s="151"/>
      <c r="E307" s="52"/>
      <c r="F307" s="21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3">
      <c r="A308" s="2"/>
      <c r="B308" s="2"/>
      <c r="C308" s="2"/>
      <c r="D308" s="151"/>
      <c r="E308" s="52"/>
      <c r="F308" s="21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3">
      <c r="A309" s="2"/>
      <c r="B309" s="2"/>
      <c r="C309" s="2"/>
      <c r="D309" s="151"/>
      <c r="E309" s="52"/>
      <c r="F309" s="21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3">
      <c r="A310" s="2"/>
      <c r="B310" s="2"/>
      <c r="C310" s="2"/>
      <c r="D310" s="151"/>
      <c r="E310" s="52"/>
      <c r="F310" s="21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3">
      <c r="A311" s="2"/>
      <c r="B311" s="2"/>
      <c r="C311" s="2"/>
      <c r="D311" s="151"/>
      <c r="E311" s="52"/>
      <c r="F311" s="21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3">
      <c r="A312" s="2"/>
      <c r="B312" s="2"/>
      <c r="C312" s="2"/>
      <c r="D312" s="151"/>
      <c r="E312" s="52"/>
      <c r="F312" s="21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3">
      <c r="A313" s="2"/>
      <c r="B313" s="2"/>
      <c r="C313" s="2"/>
      <c r="D313" s="151"/>
      <c r="E313" s="52"/>
      <c r="F313" s="21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3">
      <c r="A314" s="2"/>
      <c r="B314" s="2"/>
      <c r="C314" s="2"/>
      <c r="D314" s="151"/>
      <c r="E314" s="52"/>
      <c r="F314" s="21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3">
      <c r="A315" s="2"/>
      <c r="B315" s="2"/>
      <c r="C315" s="2"/>
      <c r="D315" s="151"/>
      <c r="E315" s="52"/>
      <c r="F315" s="21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3">
      <c r="A316" s="2"/>
      <c r="B316" s="2"/>
      <c r="C316" s="2"/>
      <c r="D316" s="151"/>
      <c r="E316" s="52"/>
      <c r="F316" s="21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3">
      <c r="A317" s="2"/>
      <c r="B317" s="2"/>
      <c r="C317" s="2"/>
      <c r="D317" s="151"/>
      <c r="E317" s="52"/>
      <c r="F317" s="21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3">
      <c r="A318" s="2"/>
      <c r="B318" s="2"/>
      <c r="C318" s="2"/>
      <c r="D318" s="151"/>
      <c r="E318" s="52"/>
      <c r="F318" s="21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3">
      <c r="A319" s="2"/>
      <c r="B319" s="2"/>
      <c r="C319" s="2"/>
      <c r="D319" s="151"/>
      <c r="E319" s="52"/>
      <c r="F319" s="21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3">
      <c r="A320" s="2"/>
      <c r="B320" s="2"/>
      <c r="C320" s="2"/>
      <c r="D320" s="151"/>
      <c r="E320" s="52"/>
      <c r="F320" s="21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3">
      <c r="A321" s="2"/>
      <c r="B321" s="2"/>
      <c r="C321" s="2"/>
      <c r="D321" s="151"/>
      <c r="E321" s="52"/>
      <c r="F321" s="21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3">
      <c r="A322" s="2"/>
      <c r="B322" s="2"/>
      <c r="C322" s="2"/>
      <c r="D322" s="151"/>
      <c r="E322" s="52"/>
      <c r="F322" s="21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3">
      <c r="A323" s="2"/>
      <c r="B323" s="2"/>
      <c r="C323" s="2"/>
      <c r="D323" s="151"/>
      <c r="E323" s="52"/>
      <c r="F323" s="21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3">
      <c r="A324" s="2"/>
      <c r="B324" s="2"/>
      <c r="C324" s="2"/>
      <c r="D324" s="151"/>
      <c r="E324" s="52"/>
      <c r="F324" s="21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3">
      <c r="A325" s="2"/>
      <c r="B325" s="2"/>
      <c r="C325" s="2"/>
      <c r="D325" s="151"/>
      <c r="E325" s="52"/>
      <c r="F325" s="21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3">
      <c r="A326" s="2"/>
      <c r="B326" s="2"/>
      <c r="C326" s="2"/>
      <c r="D326" s="151"/>
      <c r="E326" s="52"/>
      <c r="F326" s="21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3">
      <c r="A327" s="2"/>
      <c r="B327" s="2"/>
      <c r="C327" s="2"/>
      <c r="D327" s="151"/>
      <c r="E327" s="52"/>
      <c r="F327" s="21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3">
      <c r="A328" s="2"/>
      <c r="B328" s="2"/>
      <c r="C328" s="2"/>
      <c r="D328" s="151"/>
      <c r="E328" s="52"/>
      <c r="F328" s="21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3">
      <c r="A329" s="2"/>
      <c r="B329" s="2"/>
      <c r="C329" s="2"/>
      <c r="D329" s="151"/>
      <c r="E329" s="52"/>
      <c r="F329" s="21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3">
      <c r="A330" s="2"/>
      <c r="B330" s="2"/>
      <c r="C330" s="2"/>
      <c r="D330" s="151"/>
      <c r="E330" s="52"/>
      <c r="F330" s="21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3">
      <c r="A331" s="2"/>
      <c r="B331" s="2"/>
      <c r="C331" s="2"/>
      <c r="D331" s="151"/>
      <c r="E331" s="52"/>
      <c r="F331" s="21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3">
      <c r="A332" s="2"/>
      <c r="B332" s="2"/>
      <c r="C332" s="2"/>
      <c r="D332" s="151"/>
      <c r="E332" s="52"/>
      <c r="F332" s="21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3">
      <c r="A333" s="2"/>
      <c r="B333" s="2"/>
      <c r="C333" s="2"/>
      <c r="D333" s="151"/>
      <c r="E333" s="52"/>
      <c r="F333" s="21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3">
      <c r="A334" s="2"/>
      <c r="B334" s="2"/>
      <c r="C334" s="2"/>
      <c r="D334" s="151"/>
      <c r="E334" s="52"/>
      <c r="F334" s="21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3">
      <c r="A335" s="2"/>
      <c r="B335" s="2"/>
      <c r="C335" s="2"/>
      <c r="D335" s="151"/>
      <c r="E335" s="52"/>
      <c r="F335" s="21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3">
      <c r="A336" s="2"/>
      <c r="B336" s="2"/>
      <c r="C336" s="2"/>
      <c r="D336" s="151"/>
      <c r="E336" s="52"/>
      <c r="F336" s="21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3">
      <c r="A337" s="2"/>
      <c r="B337" s="2"/>
      <c r="C337" s="2"/>
      <c r="D337" s="151"/>
      <c r="E337" s="52"/>
      <c r="F337" s="21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3">
      <c r="A338" s="2"/>
      <c r="B338" s="2"/>
      <c r="C338" s="2"/>
      <c r="D338" s="151"/>
      <c r="E338" s="52"/>
      <c r="F338" s="21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3">
      <c r="A339" s="2"/>
      <c r="B339" s="2"/>
      <c r="C339" s="2"/>
      <c r="D339" s="151"/>
      <c r="E339" s="52"/>
      <c r="F339" s="21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3">
      <c r="A340" s="2"/>
      <c r="B340" s="2"/>
      <c r="C340" s="2"/>
      <c r="D340" s="151"/>
      <c r="E340" s="52"/>
      <c r="F340" s="21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3">
      <c r="A341" s="2"/>
      <c r="B341" s="2"/>
      <c r="C341" s="2"/>
      <c r="D341" s="151"/>
      <c r="E341" s="52"/>
      <c r="F341" s="21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3">
      <c r="A342" s="2"/>
      <c r="B342" s="2"/>
      <c r="C342" s="2"/>
      <c r="D342" s="151"/>
      <c r="E342" s="52"/>
      <c r="F342" s="21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3">
      <c r="A343" s="2"/>
      <c r="B343" s="2"/>
      <c r="C343" s="2"/>
      <c r="D343" s="151"/>
      <c r="E343" s="52"/>
      <c r="F343" s="21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3">
      <c r="A344" s="2"/>
      <c r="B344" s="2"/>
      <c r="C344" s="2"/>
      <c r="D344" s="151"/>
      <c r="E344" s="52"/>
      <c r="F344" s="21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3">
      <c r="A345" s="2"/>
      <c r="B345" s="2"/>
      <c r="C345" s="2"/>
      <c r="D345" s="151"/>
      <c r="E345" s="52"/>
      <c r="F345" s="21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3">
      <c r="A346" s="2"/>
      <c r="B346" s="2"/>
      <c r="C346" s="2"/>
      <c r="D346" s="151"/>
      <c r="E346" s="52"/>
      <c r="F346" s="21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3">
      <c r="A347" s="2"/>
      <c r="B347" s="2"/>
      <c r="C347" s="2"/>
      <c r="D347" s="151"/>
      <c r="E347" s="52"/>
      <c r="F347" s="21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3">
      <c r="A348" s="2"/>
      <c r="B348" s="2"/>
      <c r="C348" s="2"/>
      <c r="D348" s="151"/>
      <c r="E348" s="52"/>
      <c r="F348" s="21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3">
      <c r="A349" s="2"/>
      <c r="B349" s="2"/>
      <c r="C349" s="2"/>
      <c r="D349" s="151"/>
      <c r="E349" s="52"/>
      <c r="F349" s="21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3">
      <c r="A350" s="2"/>
      <c r="B350" s="2"/>
      <c r="C350" s="2"/>
      <c r="D350" s="151"/>
      <c r="E350" s="52"/>
      <c r="F350" s="21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3">
      <c r="A351" s="2"/>
      <c r="B351" s="2"/>
      <c r="C351" s="2"/>
      <c r="D351" s="151"/>
      <c r="E351" s="52"/>
      <c r="F351" s="21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3">
      <c r="A352" s="2"/>
      <c r="B352" s="2"/>
      <c r="C352" s="2"/>
      <c r="D352" s="15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3">
      <c r="A353" s="2"/>
      <c r="B353" s="2"/>
      <c r="C353" s="2"/>
      <c r="D353" s="15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3">
      <c r="A354" s="2"/>
      <c r="B354" s="2"/>
      <c r="C354" s="2"/>
      <c r="D354" s="15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3">
      <c r="A355" s="2"/>
      <c r="B355" s="2"/>
      <c r="C355" s="2"/>
      <c r="D355" s="15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3">
      <c r="A356" s="2"/>
      <c r="B356" s="2"/>
      <c r="C356" s="2"/>
      <c r="D356" s="15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3">
      <c r="A357" s="2"/>
      <c r="B357" s="2"/>
      <c r="C357" s="2"/>
      <c r="D357" s="15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3">
      <c r="A358" s="2"/>
      <c r="B358" s="2"/>
      <c r="C358" s="2"/>
      <c r="D358" s="15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3">
      <c r="A359" s="2"/>
      <c r="B359" s="2"/>
      <c r="C359" s="2"/>
      <c r="D359" s="15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3">
      <c r="A360" s="2"/>
      <c r="B360" s="2"/>
      <c r="C360" s="2"/>
      <c r="D360" s="15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3"/>
    <row r="362" spans="1:15" ht="15.75" customHeight="1" x14ac:dyDescent="0.3"/>
    <row r="363" spans="1:15" ht="15.75" customHeight="1" x14ac:dyDescent="0.3"/>
    <row r="364" spans="1:15" ht="15.75" customHeight="1" x14ac:dyDescent="0.3"/>
    <row r="365" spans="1:15" ht="15.75" customHeight="1" x14ac:dyDescent="0.3"/>
    <row r="366" spans="1:15" ht="15.75" customHeight="1" x14ac:dyDescent="0.3"/>
    <row r="367" spans="1:15" ht="15.75" customHeight="1" x14ac:dyDescent="0.3"/>
    <row r="368" spans="1:1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8:C8"/>
    <mergeCell ref="A84:C84"/>
    <mergeCell ref="A126:C126"/>
    <mergeCell ref="A147:B1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0"/>
  <sheetViews>
    <sheetView workbookViewId="0"/>
  </sheetViews>
  <sheetFormatPr baseColWidth="10" defaultColWidth="14.44140625" defaultRowHeight="15" customHeight="1" x14ac:dyDescent="0.3"/>
  <cols>
    <col min="1" max="1" width="9.5546875" customWidth="1"/>
    <col min="2" max="2" width="24.109375" customWidth="1"/>
    <col min="3" max="3" width="9.5546875" customWidth="1"/>
    <col min="4" max="4" width="11.44140625" customWidth="1"/>
    <col min="5" max="5" width="10.5546875" customWidth="1"/>
    <col min="6" max="6" width="14.6640625" customWidth="1"/>
    <col min="7" max="7" width="17.109375" customWidth="1"/>
    <col min="8" max="8" width="15" customWidth="1"/>
    <col min="9" max="17" width="10.6640625" customWidth="1"/>
  </cols>
  <sheetData>
    <row r="1" spans="1:17" ht="14.4" x14ac:dyDescent="0.3">
      <c r="A1" s="103" t="s">
        <v>5</v>
      </c>
      <c r="B1" s="104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4.4" x14ac:dyDescent="0.3">
      <c r="A2" s="103" t="s">
        <v>124</v>
      </c>
      <c r="B2" s="18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4.4" x14ac:dyDescent="0.3">
      <c r="A3" s="103" t="s">
        <v>125</v>
      </c>
      <c r="B3" s="104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4.4" x14ac:dyDescent="0.3">
      <c r="A4" s="103" t="s">
        <v>127</v>
      </c>
      <c r="B4" s="104"/>
      <c r="C4" s="1" t="s">
        <v>128</v>
      </c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4.4" x14ac:dyDescent="0.3">
      <c r="A5" s="103" t="s">
        <v>129</v>
      </c>
      <c r="B5" s="104"/>
      <c r="C5" s="1" t="s">
        <v>128</v>
      </c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4.4" x14ac:dyDescent="0.3">
      <c r="A6" s="213" t="s">
        <v>130</v>
      </c>
      <c r="B6" s="214" t="s">
        <v>887</v>
      </c>
      <c r="C6" s="215"/>
      <c r="D6" s="214" t="s">
        <v>888</v>
      </c>
      <c r="E6" s="215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1.6" x14ac:dyDescent="0.3">
      <c r="A8" s="187" t="s">
        <v>236</v>
      </c>
      <c r="B8" s="187" t="s">
        <v>235</v>
      </c>
      <c r="C8" s="187" t="s">
        <v>135</v>
      </c>
      <c r="D8" s="189" t="s">
        <v>136</v>
      </c>
      <c r="E8" s="190" t="s">
        <v>237</v>
      </c>
      <c r="F8" s="189" t="s">
        <v>138</v>
      </c>
      <c r="G8" s="171" t="s">
        <v>139</v>
      </c>
      <c r="H8" s="189" t="s">
        <v>693</v>
      </c>
      <c r="I8" s="2"/>
      <c r="J8" s="2"/>
      <c r="K8" s="2"/>
      <c r="L8" s="2"/>
      <c r="M8" s="2"/>
      <c r="N8" s="2"/>
      <c r="O8" s="2"/>
      <c r="P8" s="2"/>
      <c r="Q8" s="2"/>
    </row>
    <row r="9" spans="1:17" ht="14.4" x14ac:dyDescent="0.3">
      <c r="A9" s="38">
        <v>8443432190</v>
      </c>
      <c r="B9" s="38" t="s">
        <v>889</v>
      </c>
      <c r="C9" s="33">
        <v>300</v>
      </c>
      <c r="D9" s="139">
        <v>112</v>
      </c>
      <c r="E9" s="33"/>
      <c r="F9" s="34">
        <f t="shared" ref="F9:F111" si="0">E9/C9</f>
        <v>0</v>
      </c>
      <c r="G9" s="63">
        <f t="shared" ref="G9:G111" si="1">(360/D9)</f>
        <v>3.2142857142857144</v>
      </c>
      <c r="H9" s="63"/>
      <c r="I9" s="2"/>
      <c r="J9" s="2"/>
      <c r="K9" s="2"/>
      <c r="L9" s="2"/>
      <c r="M9" s="2"/>
      <c r="N9" s="2"/>
      <c r="O9" s="2"/>
      <c r="P9" s="2"/>
      <c r="Q9" s="2"/>
    </row>
    <row r="10" spans="1:17" ht="14.4" x14ac:dyDescent="0.3">
      <c r="A10" s="38">
        <v>9007733190</v>
      </c>
      <c r="B10" s="38" t="s">
        <v>890</v>
      </c>
      <c r="C10" s="33">
        <v>300</v>
      </c>
      <c r="D10" s="34">
        <v>112</v>
      </c>
      <c r="E10" s="33"/>
      <c r="F10" s="34">
        <f t="shared" si="0"/>
        <v>0</v>
      </c>
      <c r="G10" s="63">
        <f t="shared" si="1"/>
        <v>3.2142857142857144</v>
      </c>
      <c r="H10" s="63"/>
      <c r="I10" s="2"/>
      <c r="J10" s="2"/>
      <c r="K10" s="2"/>
      <c r="L10" s="2"/>
      <c r="M10" s="2"/>
      <c r="N10" s="2"/>
      <c r="O10" s="2"/>
      <c r="P10" s="2"/>
      <c r="Q10" s="2"/>
    </row>
    <row r="11" spans="1:17" ht="14.4" x14ac:dyDescent="0.3">
      <c r="A11" s="38">
        <v>9007784190</v>
      </c>
      <c r="B11" s="38" t="s">
        <v>891</v>
      </c>
      <c r="C11" s="33">
        <v>300</v>
      </c>
      <c r="D11" s="34">
        <v>112</v>
      </c>
      <c r="E11" s="33"/>
      <c r="F11" s="34">
        <f t="shared" si="0"/>
        <v>0</v>
      </c>
      <c r="G11" s="63">
        <f t="shared" si="1"/>
        <v>3.2142857142857144</v>
      </c>
      <c r="H11" s="63"/>
      <c r="I11" s="2"/>
      <c r="J11" s="2"/>
      <c r="K11" s="2"/>
      <c r="L11" s="2"/>
      <c r="M11" s="2"/>
      <c r="N11" s="2"/>
      <c r="O11" s="2"/>
      <c r="P11" s="2"/>
      <c r="Q11" s="2"/>
    </row>
    <row r="12" spans="1:17" ht="14.4" x14ac:dyDescent="0.3">
      <c r="A12" s="38">
        <v>9005811190</v>
      </c>
      <c r="B12" s="38" t="s">
        <v>892</v>
      </c>
      <c r="C12" s="33">
        <v>300</v>
      </c>
      <c r="D12" s="34">
        <v>112</v>
      </c>
      <c r="E12" s="33"/>
      <c r="F12" s="34">
        <f t="shared" si="0"/>
        <v>0</v>
      </c>
      <c r="G12" s="63">
        <f t="shared" si="1"/>
        <v>3.2142857142857144</v>
      </c>
      <c r="H12" s="63"/>
      <c r="I12" s="2"/>
      <c r="J12" s="2"/>
      <c r="K12" s="2"/>
      <c r="L12" s="2"/>
      <c r="M12" s="2"/>
      <c r="N12" s="2"/>
      <c r="O12" s="2"/>
      <c r="P12" s="2"/>
      <c r="Q12" s="2"/>
    </row>
    <row r="13" spans="1:17" ht="14.4" x14ac:dyDescent="0.3">
      <c r="A13" s="38">
        <v>9043284190</v>
      </c>
      <c r="B13" s="38" t="s">
        <v>893</v>
      </c>
      <c r="C13" s="33">
        <v>300</v>
      </c>
      <c r="D13" s="34">
        <v>112</v>
      </c>
      <c r="E13" s="33"/>
      <c r="F13" s="34">
        <f t="shared" si="0"/>
        <v>0</v>
      </c>
      <c r="G13" s="63">
        <f t="shared" si="1"/>
        <v>3.2142857142857144</v>
      </c>
      <c r="H13" s="63"/>
      <c r="I13" s="2"/>
      <c r="J13" s="2"/>
      <c r="K13" s="2"/>
      <c r="L13" s="2"/>
      <c r="M13" s="2"/>
      <c r="N13" s="2"/>
      <c r="O13" s="2"/>
      <c r="P13" s="2"/>
      <c r="Q13" s="2"/>
    </row>
    <row r="14" spans="1:17" ht="14.4" x14ac:dyDescent="0.3">
      <c r="A14" s="38">
        <v>8906564190</v>
      </c>
      <c r="B14" s="38" t="s">
        <v>894</v>
      </c>
      <c r="C14" s="33">
        <v>300</v>
      </c>
      <c r="D14" s="34">
        <v>112</v>
      </c>
      <c r="E14" s="33"/>
      <c r="F14" s="34">
        <f t="shared" si="0"/>
        <v>0</v>
      </c>
      <c r="G14" s="63">
        <f t="shared" si="1"/>
        <v>3.2142857142857144</v>
      </c>
      <c r="H14" s="63"/>
      <c r="I14" s="2"/>
      <c r="J14" s="2"/>
      <c r="K14" s="2"/>
      <c r="L14" s="2"/>
      <c r="M14" s="2"/>
      <c r="N14" s="2"/>
      <c r="O14" s="2"/>
      <c r="P14" s="2"/>
      <c r="Q14" s="2"/>
    </row>
    <row r="15" spans="1:17" ht="14.4" x14ac:dyDescent="0.3">
      <c r="A15" s="38">
        <v>7026935190</v>
      </c>
      <c r="B15" s="38" t="s">
        <v>895</v>
      </c>
      <c r="C15" s="33">
        <v>300</v>
      </c>
      <c r="D15" s="34">
        <v>112</v>
      </c>
      <c r="E15" s="33"/>
      <c r="F15" s="34">
        <f t="shared" si="0"/>
        <v>0</v>
      </c>
      <c r="G15" s="63">
        <f t="shared" si="1"/>
        <v>3.2142857142857144</v>
      </c>
      <c r="H15" s="63"/>
      <c r="I15" s="2"/>
      <c r="J15" s="2"/>
      <c r="K15" s="2"/>
      <c r="L15" s="2"/>
      <c r="M15" s="2"/>
      <c r="N15" s="2"/>
      <c r="O15" s="2"/>
      <c r="P15" s="2"/>
      <c r="Q15" s="2"/>
    </row>
    <row r="16" spans="1:17" ht="14.4" x14ac:dyDescent="0.3">
      <c r="A16" s="38">
        <v>9005021190</v>
      </c>
      <c r="B16" s="38" t="s">
        <v>896</v>
      </c>
      <c r="C16" s="33">
        <v>300</v>
      </c>
      <c r="D16" s="34">
        <v>112</v>
      </c>
      <c r="E16" s="33"/>
      <c r="F16" s="34">
        <f t="shared" si="0"/>
        <v>0</v>
      </c>
      <c r="G16" s="63">
        <f t="shared" si="1"/>
        <v>3.2142857142857144</v>
      </c>
      <c r="H16" s="63"/>
      <c r="I16" s="2"/>
      <c r="J16" s="2"/>
      <c r="K16" s="2"/>
      <c r="L16" s="2"/>
      <c r="M16" s="2"/>
      <c r="N16" s="2"/>
      <c r="O16" s="2"/>
      <c r="P16" s="2"/>
      <c r="Q16" s="2"/>
    </row>
    <row r="17" spans="1:17" ht="14.4" x14ac:dyDescent="0.3">
      <c r="A17" s="38">
        <v>8496633190</v>
      </c>
      <c r="B17" s="38" t="s">
        <v>897</v>
      </c>
      <c r="C17" s="33">
        <v>100</v>
      </c>
      <c r="D17" s="34">
        <v>112</v>
      </c>
      <c r="E17" s="33"/>
      <c r="F17" s="34">
        <f t="shared" si="0"/>
        <v>0</v>
      </c>
      <c r="G17" s="63">
        <f t="shared" si="1"/>
        <v>3.2142857142857144</v>
      </c>
      <c r="H17" s="63"/>
      <c r="I17" s="2"/>
      <c r="J17" s="2"/>
      <c r="K17" s="2"/>
      <c r="L17" s="2"/>
      <c r="M17" s="2"/>
      <c r="N17" s="2"/>
      <c r="O17" s="2"/>
      <c r="P17" s="2"/>
      <c r="Q17" s="2"/>
    </row>
    <row r="18" spans="1:17" ht="14.4" x14ac:dyDescent="0.3">
      <c r="A18" s="38">
        <v>7027575190</v>
      </c>
      <c r="B18" s="11" t="s">
        <v>898</v>
      </c>
      <c r="C18" s="33">
        <v>300</v>
      </c>
      <c r="D18" s="34">
        <v>112</v>
      </c>
      <c r="E18" s="33"/>
      <c r="F18" s="34">
        <f t="shared" si="0"/>
        <v>0</v>
      </c>
      <c r="G18" s="63">
        <f t="shared" si="1"/>
        <v>3.2142857142857144</v>
      </c>
      <c r="H18" s="63"/>
      <c r="I18" s="2"/>
      <c r="J18" s="2"/>
      <c r="K18" s="2"/>
      <c r="L18" s="2"/>
      <c r="M18" s="2"/>
      <c r="N18" s="2"/>
      <c r="O18" s="2"/>
      <c r="P18" s="2"/>
      <c r="Q18" s="2"/>
    </row>
    <row r="19" spans="1:17" ht="14.4" x14ac:dyDescent="0.3">
      <c r="A19" s="38">
        <v>8932387190</v>
      </c>
      <c r="B19" s="11" t="s">
        <v>899</v>
      </c>
      <c r="C19" s="33">
        <v>300</v>
      </c>
      <c r="D19" s="34">
        <v>112</v>
      </c>
      <c r="E19" s="33"/>
      <c r="F19" s="34">
        <f t="shared" si="0"/>
        <v>0</v>
      </c>
      <c r="G19" s="63">
        <f t="shared" si="1"/>
        <v>3.2142857142857144</v>
      </c>
      <c r="H19" s="63"/>
      <c r="I19" s="2"/>
      <c r="J19" s="2"/>
      <c r="K19" s="2"/>
      <c r="L19" s="2"/>
      <c r="M19" s="2"/>
      <c r="N19" s="2"/>
      <c r="O19" s="2"/>
      <c r="P19" s="2"/>
      <c r="Q19" s="2"/>
    </row>
    <row r="20" spans="1:17" ht="15.75" customHeight="1" x14ac:dyDescent="0.3">
      <c r="A20" s="38">
        <v>7027249190</v>
      </c>
      <c r="B20" s="11" t="s">
        <v>900</v>
      </c>
      <c r="C20" s="33">
        <v>300</v>
      </c>
      <c r="D20" s="34">
        <v>112</v>
      </c>
      <c r="E20" s="33"/>
      <c r="F20" s="34">
        <f t="shared" si="0"/>
        <v>0</v>
      </c>
      <c r="G20" s="63">
        <f t="shared" si="1"/>
        <v>3.2142857142857144</v>
      </c>
      <c r="H20" s="63"/>
      <c r="I20" s="2"/>
      <c r="J20" s="2"/>
      <c r="K20" s="2"/>
      <c r="L20" s="2"/>
      <c r="M20" s="2"/>
      <c r="N20" s="2"/>
      <c r="O20" s="2"/>
      <c r="P20" s="2"/>
      <c r="Q20" s="2"/>
    </row>
    <row r="21" spans="1:17" ht="15.75" customHeight="1" x14ac:dyDescent="0.3">
      <c r="A21" s="38">
        <v>7027699190</v>
      </c>
      <c r="B21" s="11" t="s">
        <v>901</v>
      </c>
      <c r="C21" s="33">
        <v>300</v>
      </c>
      <c r="D21" s="34">
        <v>112</v>
      </c>
      <c r="E21" s="33"/>
      <c r="F21" s="34">
        <f t="shared" si="0"/>
        <v>0</v>
      </c>
      <c r="G21" s="63">
        <f t="shared" si="1"/>
        <v>3.2142857142857144</v>
      </c>
      <c r="H21" s="63"/>
      <c r="I21" s="2"/>
      <c r="J21" s="2"/>
      <c r="K21" s="2"/>
      <c r="L21" s="2"/>
      <c r="M21" s="2"/>
      <c r="N21" s="2"/>
      <c r="O21" s="2"/>
      <c r="P21" s="2"/>
      <c r="Q21" s="2"/>
    </row>
    <row r="22" spans="1:17" ht="15.75" customHeight="1" x14ac:dyDescent="0.3">
      <c r="A22" s="38">
        <v>7027737190</v>
      </c>
      <c r="B22" s="11" t="s">
        <v>902</v>
      </c>
      <c r="C22" s="33">
        <v>300</v>
      </c>
      <c r="D22" s="34">
        <v>112</v>
      </c>
      <c r="E22" s="33"/>
      <c r="F22" s="34">
        <f t="shared" si="0"/>
        <v>0</v>
      </c>
      <c r="G22" s="63">
        <f t="shared" si="1"/>
        <v>3.2142857142857144</v>
      </c>
      <c r="H22" s="63"/>
      <c r="I22" s="2"/>
      <c r="J22" s="2"/>
      <c r="K22" s="2"/>
      <c r="L22" s="2"/>
      <c r="M22" s="2"/>
      <c r="N22" s="2"/>
      <c r="O22" s="2"/>
      <c r="P22" s="2"/>
      <c r="Q22" s="2"/>
    </row>
    <row r="23" spans="1:17" ht="15.75" customHeight="1" x14ac:dyDescent="0.3">
      <c r="A23" s="38">
        <v>8946370190</v>
      </c>
      <c r="B23" s="11" t="s">
        <v>903</v>
      </c>
      <c r="C23" s="33">
        <v>300</v>
      </c>
      <c r="D23" s="34">
        <v>112</v>
      </c>
      <c r="E23" s="33"/>
      <c r="F23" s="34">
        <f t="shared" si="0"/>
        <v>0</v>
      </c>
      <c r="G23" s="63">
        <f t="shared" si="1"/>
        <v>3.2142857142857144</v>
      </c>
      <c r="H23" s="63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customHeight="1" x14ac:dyDescent="0.3">
      <c r="A24" s="38">
        <v>7258496190</v>
      </c>
      <c r="B24" s="11" t="s">
        <v>904</v>
      </c>
      <c r="C24" s="33">
        <v>300</v>
      </c>
      <c r="D24" s="34">
        <v>112</v>
      </c>
      <c r="E24" s="33"/>
      <c r="F24" s="34">
        <f t="shared" si="0"/>
        <v>0</v>
      </c>
      <c r="G24" s="63">
        <f t="shared" si="1"/>
        <v>3.2142857142857144</v>
      </c>
      <c r="H24" s="63"/>
      <c r="I24" s="2"/>
      <c r="J24" s="2"/>
      <c r="K24" s="2"/>
      <c r="L24" s="2"/>
      <c r="M24" s="2"/>
      <c r="N24" s="2"/>
      <c r="O24" s="2"/>
      <c r="P24" s="2"/>
      <c r="Q24" s="2"/>
    </row>
    <row r="25" spans="1:17" ht="15.75" customHeight="1" x14ac:dyDescent="0.3">
      <c r="A25" s="38">
        <v>7027192190</v>
      </c>
      <c r="B25" s="11" t="s">
        <v>905</v>
      </c>
      <c r="C25" s="33">
        <v>100</v>
      </c>
      <c r="D25" s="34">
        <v>112</v>
      </c>
      <c r="E25" s="33"/>
      <c r="F25" s="34">
        <f t="shared" si="0"/>
        <v>0</v>
      </c>
      <c r="G25" s="63">
        <f t="shared" si="1"/>
        <v>3.2142857142857144</v>
      </c>
      <c r="H25" s="63"/>
      <c r="I25" s="2"/>
      <c r="J25" s="2"/>
      <c r="K25" s="2"/>
      <c r="L25" s="2"/>
      <c r="M25" s="2"/>
      <c r="N25" s="2"/>
      <c r="O25" s="2"/>
      <c r="P25" s="2"/>
      <c r="Q25" s="2"/>
    </row>
    <row r="26" spans="1:17" ht="15.75" customHeight="1" x14ac:dyDescent="0.3">
      <c r="A26" s="38">
        <v>7251025190</v>
      </c>
      <c r="B26" s="11" t="s">
        <v>906</v>
      </c>
      <c r="C26" s="33">
        <v>300</v>
      </c>
      <c r="D26" s="34">
        <v>112</v>
      </c>
      <c r="E26" s="33"/>
      <c r="F26" s="34">
        <f t="shared" si="0"/>
        <v>0</v>
      </c>
      <c r="G26" s="63">
        <f t="shared" si="1"/>
        <v>3.2142857142857144</v>
      </c>
      <c r="H26" s="63"/>
      <c r="I26" s="2"/>
      <c r="J26" s="2"/>
      <c r="K26" s="2"/>
      <c r="L26" s="2"/>
      <c r="M26" s="2"/>
      <c r="N26" s="2"/>
      <c r="O26" s="2"/>
      <c r="P26" s="2"/>
      <c r="Q26" s="2"/>
    </row>
    <row r="27" spans="1:17" ht="15.75" customHeight="1" x14ac:dyDescent="0.3">
      <c r="A27" s="38">
        <v>8890595190</v>
      </c>
      <c r="B27" s="11" t="s">
        <v>907</v>
      </c>
      <c r="C27" s="33">
        <v>100</v>
      </c>
      <c r="D27" s="34">
        <v>112</v>
      </c>
      <c r="E27" s="33"/>
      <c r="F27" s="34">
        <f t="shared" si="0"/>
        <v>0</v>
      </c>
      <c r="G27" s="63">
        <f t="shared" si="1"/>
        <v>3.2142857142857144</v>
      </c>
      <c r="H27" s="63"/>
      <c r="I27" s="2"/>
      <c r="J27" s="2"/>
      <c r="K27" s="2"/>
      <c r="L27" s="2"/>
      <c r="M27" s="2"/>
      <c r="N27" s="2"/>
      <c r="O27" s="2"/>
      <c r="P27" s="2"/>
      <c r="Q27" s="2"/>
    </row>
    <row r="28" spans="1:17" ht="15.75" customHeight="1" x14ac:dyDescent="0.3">
      <c r="A28" s="38">
        <v>8860319190</v>
      </c>
      <c r="B28" s="11" t="s">
        <v>908</v>
      </c>
      <c r="C28" s="33">
        <v>100</v>
      </c>
      <c r="D28" s="34">
        <v>112</v>
      </c>
      <c r="E28" s="33"/>
      <c r="F28" s="34">
        <f t="shared" si="0"/>
        <v>0</v>
      </c>
      <c r="G28" s="63">
        <f t="shared" si="1"/>
        <v>3.2142857142857144</v>
      </c>
      <c r="H28" s="63"/>
      <c r="I28" s="2"/>
      <c r="J28" s="2"/>
      <c r="K28" s="2"/>
      <c r="L28" s="2"/>
      <c r="M28" s="2"/>
      <c r="N28" s="2"/>
      <c r="O28" s="2"/>
      <c r="P28" s="2"/>
      <c r="Q28" s="2"/>
    </row>
    <row r="29" spans="1:17" ht="15.75" customHeight="1" x14ac:dyDescent="0.3">
      <c r="A29" s="38">
        <v>8860181190</v>
      </c>
      <c r="B29" s="11" t="s">
        <v>909</v>
      </c>
      <c r="C29" s="33">
        <v>100</v>
      </c>
      <c r="D29" s="34">
        <v>112</v>
      </c>
      <c r="E29" s="33"/>
      <c r="F29" s="34">
        <f t="shared" si="0"/>
        <v>0</v>
      </c>
      <c r="G29" s="63">
        <f t="shared" si="1"/>
        <v>3.2142857142857144</v>
      </c>
      <c r="H29" s="63"/>
      <c r="I29" s="2"/>
      <c r="J29" s="2"/>
      <c r="K29" s="2"/>
      <c r="L29" s="2"/>
      <c r="M29" s="2"/>
      <c r="N29" s="2"/>
      <c r="O29" s="2"/>
      <c r="P29" s="2"/>
      <c r="Q29" s="2"/>
    </row>
    <row r="30" spans="1:17" ht="15.75" customHeight="1" x14ac:dyDescent="0.3">
      <c r="A30" s="38">
        <v>7027648190</v>
      </c>
      <c r="B30" s="11" t="s">
        <v>910</v>
      </c>
      <c r="C30" s="33">
        <v>100</v>
      </c>
      <c r="D30" s="34">
        <v>112</v>
      </c>
      <c r="E30" s="33"/>
      <c r="F30" s="34">
        <f t="shared" si="0"/>
        <v>0</v>
      </c>
      <c r="G30" s="63">
        <f t="shared" si="1"/>
        <v>3.2142857142857144</v>
      </c>
      <c r="H30" s="63"/>
      <c r="I30" s="2"/>
      <c r="J30" s="2"/>
      <c r="K30" s="2"/>
      <c r="L30" s="2"/>
      <c r="M30" s="2"/>
      <c r="N30" s="2"/>
      <c r="O30" s="2"/>
      <c r="P30" s="2"/>
      <c r="Q30" s="2"/>
    </row>
    <row r="31" spans="1:17" ht="15.75" customHeight="1" x14ac:dyDescent="0.3">
      <c r="A31" s="38">
        <v>7027818190</v>
      </c>
      <c r="B31" s="11" t="s">
        <v>911</v>
      </c>
      <c r="C31" s="33">
        <v>100</v>
      </c>
      <c r="D31" s="34">
        <v>112</v>
      </c>
      <c r="E31" s="33"/>
      <c r="F31" s="34">
        <f t="shared" si="0"/>
        <v>0</v>
      </c>
      <c r="G31" s="63">
        <f t="shared" si="1"/>
        <v>3.2142857142857144</v>
      </c>
      <c r="H31" s="63"/>
      <c r="I31" s="2"/>
      <c r="J31" s="2"/>
      <c r="K31" s="2"/>
      <c r="L31" s="2"/>
      <c r="M31" s="2"/>
      <c r="N31" s="2"/>
      <c r="O31" s="2"/>
      <c r="P31" s="2"/>
      <c r="Q31" s="2"/>
    </row>
    <row r="32" spans="1:17" ht="15.75" customHeight="1" x14ac:dyDescent="0.3">
      <c r="A32" s="38">
        <v>7027168190</v>
      </c>
      <c r="B32" s="11" t="s">
        <v>912</v>
      </c>
      <c r="C32" s="33">
        <v>100</v>
      </c>
      <c r="D32" s="34">
        <v>112</v>
      </c>
      <c r="E32" s="33"/>
      <c r="F32" s="34">
        <f t="shared" si="0"/>
        <v>0</v>
      </c>
      <c r="G32" s="63">
        <f t="shared" si="1"/>
        <v>3.2142857142857144</v>
      </c>
      <c r="H32" s="63"/>
      <c r="I32" s="2"/>
      <c r="J32" s="2"/>
      <c r="K32" s="2"/>
      <c r="L32" s="2"/>
      <c r="M32" s="2"/>
      <c r="N32" s="2"/>
      <c r="O32" s="2"/>
      <c r="P32" s="2"/>
      <c r="Q32" s="2"/>
    </row>
    <row r="33" spans="1:17" ht="15.75" customHeight="1" x14ac:dyDescent="0.3">
      <c r="A33" s="38">
        <v>7027559190</v>
      </c>
      <c r="B33" s="11" t="s">
        <v>913</v>
      </c>
      <c r="C33" s="33">
        <v>100</v>
      </c>
      <c r="D33" s="34">
        <v>112</v>
      </c>
      <c r="E33" s="33"/>
      <c r="F33" s="34">
        <f t="shared" si="0"/>
        <v>0</v>
      </c>
      <c r="G33" s="63">
        <f t="shared" si="1"/>
        <v>3.2142857142857144</v>
      </c>
      <c r="H33" s="63"/>
      <c r="I33" s="2"/>
      <c r="J33" s="2"/>
      <c r="K33" s="2"/>
      <c r="L33" s="2"/>
      <c r="M33" s="2"/>
      <c r="N33" s="2"/>
      <c r="O33" s="2"/>
      <c r="P33" s="2"/>
      <c r="Q33" s="2"/>
    </row>
    <row r="34" spans="1:17" ht="15.75" customHeight="1" x14ac:dyDescent="0.3">
      <c r="A34" s="193">
        <v>7027150190</v>
      </c>
      <c r="B34" s="11" t="s">
        <v>914</v>
      </c>
      <c r="C34" s="33">
        <v>300</v>
      </c>
      <c r="D34" s="34">
        <v>112</v>
      </c>
      <c r="E34" s="33"/>
      <c r="F34" s="34">
        <f t="shared" si="0"/>
        <v>0</v>
      </c>
      <c r="G34" s="63">
        <f t="shared" si="1"/>
        <v>3.2142857142857144</v>
      </c>
      <c r="H34" s="63"/>
      <c r="I34" s="2"/>
      <c r="J34" s="2"/>
      <c r="K34" s="2"/>
      <c r="L34" s="2"/>
      <c r="M34" s="2"/>
      <c r="N34" s="2"/>
      <c r="O34" s="2"/>
      <c r="P34" s="2"/>
      <c r="Q34" s="2"/>
    </row>
    <row r="35" spans="1:17" ht="15.75" customHeight="1" x14ac:dyDescent="0.3">
      <c r="A35" s="193">
        <v>7682808190</v>
      </c>
      <c r="B35" s="11" t="s">
        <v>915</v>
      </c>
      <c r="C35" s="33">
        <v>300</v>
      </c>
      <c r="D35" s="34">
        <v>112</v>
      </c>
      <c r="E35" s="33"/>
      <c r="F35" s="34">
        <f t="shared" si="0"/>
        <v>0</v>
      </c>
      <c r="G35" s="63">
        <f t="shared" si="1"/>
        <v>3.2142857142857144</v>
      </c>
      <c r="H35" s="63"/>
      <c r="I35" s="2"/>
      <c r="J35" s="2"/>
      <c r="K35" s="2"/>
      <c r="L35" s="2"/>
      <c r="M35" s="2"/>
      <c r="N35" s="2"/>
      <c r="O35" s="2"/>
      <c r="P35" s="2"/>
      <c r="Q35" s="2"/>
    </row>
    <row r="36" spans="1:17" ht="15.75" customHeight="1" x14ac:dyDescent="0.3">
      <c r="A36" s="193">
        <v>8946728190</v>
      </c>
      <c r="B36" s="11" t="s">
        <v>916</v>
      </c>
      <c r="C36" s="33">
        <v>100</v>
      </c>
      <c r="D36" s="34">
        <v>112</v>
      </c>
      <c r="E36" s="33"/>
      <c r="F36" s="34">
        <f t="shared" si="0"/>
        <v>0</v>
      </c>
      <c r="G36" s="63">
        <f t="shared" si="1"/>
        <v>3.2142857142857144</v>
      </c>
      <c r="H36" s="63"/>
      <c r="I36" s="2"/>
      <c r="J36" s="2"/>
      <c r="K36" s="2"/>
      <c r="L36" s="2"/>
      <c r="M36" s="2"/>
      <c r="N36" s="2"/>
      <c r="O36" s="2"/>
      <c r="P36" s="2"/>
      <c r="Q36" s="2"/>
    </row>
    <row r="37" spans="1:17" ht="15.75" customHeight="1" x14ac:dyDescent="0.3">
      <c r="A37" s="193">
        <v>7027486190</v>
      </c>
      <c r="B37" s="11" t="s">
        <v>917</v>
      </c>
      <c r="C37" s="33">
        <v>100</v>
      </c>
      <c r="D37" s="34">
        <v>112</v>
      </c>
      <c r="E37" s="33"/>
      <c r="F37" s="34">
        <f t="shared" si="0"/>
        <v>0</v>
      </c>
      <c r="G37" s="63">
        <f t="shared" si="1"/>
        <v>3.2142857142857144</v>
      </c>
      <c r="H37" s="63"/>
      <c r="I37" s="2"/>
      <c r="J37" s="2"/>
      <c r="K37" s="2"/>
      <c r="L37" s="2"/>
      <c r="M37" s="2"/>
      <c r="N37" s="2"/>
      <c r="O37" s="2"/>
      <c r="P37" s="2"/>
      <c r="Q37" s="2"/>
    </row>
    <row r="38" spans="1:17" ht="15.75" customHeight="1" x14ac:dyDescent="0.3">
      <c r="A38" s="193">
        <v>10059524190</v>
      </c>
      <c r="B38" s="11" t="s">
        <v>918</v>
      </c>
      <c r="C38" s="33">
        <v>100</v>
      </c>
      <c r="D38" s="34">
        <v>112</v>
      </c>
      <c r="E38" s="33"/>
      <c r="F38" s="34">
        <f t="shared" si="0"/>
        <v>0</v>
      </c>
      <c r="G38" s="63">
        <f t="shared" si="1"/>
        <v>3.2142857142857144</v>
      </c>
      <c r="H38" s="63"/>
      <c r="I38" s="2"/>
      <c r="J38" s="2"/>
      <c r="K38" s="2"/>
      <c r="L38" s="2"/>
      <c r="M38" s="2"/>
      <c r="N38" s="2"/>
      <c r="O38" s="2"/>
      <c r="P38" s="2"/>
      <c r="Q38" s="2"/>
    </row>
    <row r="39" spans="1:17" ht="15.75" customHeight="1" x14ac:dyDescent="0.3">
      <c r="A39" s="193">
        <v>8791732190</v>
      </c>
      <c r="B39" s="11" t="s">
        <v>919</v>
      </c>
      <c r="C39" s="33">
        <v>300</v>
      </c>
      <c r="D39" s="34">
        <v>112</v>
      </c>
      <c r="E39" s="33"/>
      <c r="F39" s="34">
        <f t="shared" si="0"/>
        <v>0</v>
      </c>
      <c r="G39" s="63">
        <f t="shared" si="1"/>
        <v>3.2142857142857144</v>
      </c>
      <c r="H39" s="63"/>
      <c r="I39" s="2"/>
      <c r="J39" s="2"/>
      <c r="K39" s="2"/>
      <c r="L39" s="2"/>
      <c r="M39" s="2"/>
      <c r="N39" s="2"/>
      <c r="O39" s="2"/>
      <c r="P39" s="2"/>
      <c r="Q39" s="2"/>
    </row>
    <row r="40" spans="1:17" ht="15.75" customHeight="1" x14ac:dyDescent="0.3">
      <c r="A40" s="38">
        <v>8828610190</v>
      </c>
      <c r="B40" s="11" t="s">
        <v>920</v>
      </c>
      <c r="C40" s="33">
        <v>300</v>
      </c>
      <c r="D40" s="34">
        <v>112</v>
      </c>
      <c r="E40" s="33"/>
      <c r="F40" s="34">
        <f t="shared" si="0"/>
        <v>0</v>
      </c>
      <c r="G40" s="63">
        <f t="shared" si="1"/>
        <v>3.2142857142857144</v>
      </c>
      <c r="H40" s="63"/>
      <c r="I40" s="2"/>
      <c r="J40" s="2"/>
      <c r="K40" s="2"/>
      <c r="L40" s="2"/>
      <c r="M40" s="2"/>
      <c r="N40" s="2"/>
      <c r="O40" s="2"/>
      <c r="P40" s="2"/>
      <c r="Q40" s="2"/>
    </row>
    <row r="41" spans="1:17" ht="15.75" customHeight="1" x14ac:dyDescent="0.3">
      <c r="A41" s="38">
        <v>9015124190</v>
      </c>
      <c r="B41" s="11" t="s">
        <v>921</v>
      </c>
      <c r="C41" s="33">
        <v>300</v>
      </c>
      <c r="D41" s="34">
        <v>112</v>
      </c>
      <c r="E41" s="33"/>
      <c r="F41" s="34">
        <f t="shared" si="0"/>
        <v>0</v>
      </c>
      <c r="G41" s="63">
        <f t="shared" si="1"/>
        <v>3.2142857142857144</v>
      </c>
      <c r="H41" s="63"/>
      <c r="I41" s="2"/>
      <c r="J41" s="2"/>
      <c r="K41" s="2"/>
      <c r="L41" s="2"/>
      <c r="M41" s="2"/>
      <c r="N41" s="2"/>
      <c r="O41" s="2"/>
      <c r="P41" s="2"/>
      <c r="Q41" s="2"/>
    </row>
    <row r="42" spans="1:17" ht="15.75" customHeight="1" x14ac:dyDescent="0.3">
      <c r="A42" s="38">
        <v>7027079190</v>
      </c>
      <c r="B42" s="11" t="s">
        <v>922</v>
      </c>
      <c r="C42" s="33">
        <v>300</v>
      </c>
      <c r="D42" s="34">
        <v>112</v>
      </c>
      <c r="E42" s="33"/>
      <c r="F42" s="34">
        <f t="shared" si="0"/>
        <v>0</v>
      </c>
      <c r="G42" s="63">
        <f t="shared" si="1"/>
        <v>3.2142857142857144</v>
      </c>
      <c r="H42" s="63"/>
      <c r="I42" s="2"/>
      <c r="J42" s="2"/>
      <c r="K42" s="2"/>
      <c r="L42" s="2"/>
      <c r="M42" s="2"/>
      <c r="N42" s="2"/>
      <c r="O42" s="2"/>
      <c r="P42" s="2"/>
      <c r="Q42" s="2"/>
    </row>
    <row r="43" spans="1:17" ht="15.75" customHeight="1" x14ac:dyDescent="0.3">
      <c r="A43" s="38">
        <v>7026986190</v>
      </c>
      <c r="B43" s="11" t="s">
        <v>923</v>
      </c>
      <c r="C43" s="33">
        <v>300</v>
      </c>
      <c r="D43" s="34">
        <v>112</v>
      </c>
      <c r="E43" s="33"/>
      <c r="F43" s="34">
        <f t="shared" si="0"/>
        <v>0</v>
      </c>
      <c r="G43" s="63">
        <f t="shared" si="1"/>
        <v>3.2142857142857144</v>
      </c>
      <c r="H43" s="63"/>
      <c r="I43" s="2"/>
      <c r="J43" s="2"/>
      <c r="K43" s="2"/>
      <c r="L43" s="2"/>
      <c r="M43" s="2"/>
      <c r="N43" s="2"/>
      <c r="O43" s="2"/>
      <c r="P43" s="2"/>
      <c r="Q43" s="2"/>
    </row>
    <row r="44" spans="1:17" ht="15.75" customHeight="1" x14ac:dyDescent="0.3">
      <c r="A44" s="38">
        <v>7027001190</v>
      </c>
      <c r="B44" s="11" t="s">
        <v>924</v>
      </c>
      <c r="C44" s="33">
        <v>300</v>
      </c>
      <c r="D44" s="34">
        <v>112</v>
      </c>
      <c r="E44" s="33"/>
      <c r="F44" s="34">
        <f t="shared" si="0"/>
        <v>0</v>
      </c>
      <c r="G44" s="63">
        <f t="shared" si="1"/>
        <v>3.2142857142857144</v>
      </c>
      <c r="H44" s="63"/>
      <c r="I44" s="2"/>
      <c r="J44" s="2"/>
      <c r="K44" s="2"/>
      <c r="L44" s="2"/>
      <c r="M44" s="2"/>
      <c r="N44" s="2"/>
      <c r="O44" s="2"/>
      <c r="P44" s="2"/>
      <c r="Q44" s="2"/>
    </row>
    <row r="45" spans="1:17" ht="15.75" customHeight="1" x14ac:dyDescent="0.3">
      <c r="A45" s="38">
        <v>7027028190</v>
      </c>
      <c r="B45" s="11" t="s">
        <v>925</v>
      </c>
      <c r="C45" s="33">
        <v>300</v>
      </c>
      <c r="D45" s="34">
        <v>112</v>
      </c>
      <c r="E45" s="33"/>
      <c r="F45" s="34">
        <f t="shared" si="0"/>
        <v>0</v>
      </c>
      <c r="G45" s="63">
        <f t="shared" si="1"/>
        <v>3.2142857142857144</v>
      </c>
      <c r="H45" s="63"/>
      <c r="I45" s="2"/>
      <c r="J45" s="2"/>
      <c r="K45" s="2"/>
      <c r="L45" s="2"/>
      <c r="M45" s="2"/>
      <c r="N45" s="2"/>
      <c r="O45" s="2"/>
      <c r="P45" s="2"/>
      <c r="Q45" s="2"/>
    </row>
    <row r="46" spans="1:17" ht="15.75" customHeight="1" x14ac:dyDescent="0.3">
      <c r="A46" s="38">
        <v>7299966190</v>
      </c>
      <c r="B46" s="11" t="s">
        <v>926</v>
      </c>
      <c r="C46" s="33">
        <v>300</v>
      </c>
      <c r="D46" s="34">
        <v>112</v>
      </c>
      <c r="E46" s="33"/>
      <c r="F46" s="34">
        <f t="shared" si="0"/>
        <v>0</v>
      </c>
      <c r="G46" s="63">
        <f t="shared" si="1"/>
        <v>3.2142857142857144</v>
      </c>
      <c r="H46" s="63"/>
      <c r="I46" s="2"/>
      <c r="J46" s="2"/>
      <c r="K46" s="2"/>
      <c r="L46" s="2"/>
      <c r="M46" s="2"/>
      <c r="N46" s="2"/>
      <c r="O46" s="2"/>
      <c r="P46" s="2"/>
      <c r="Q46" s="2"/>
    </row>
    <row r="47" spans="1:17" ht="15.75" customHeight="1" x14ac:dyDescent="0.3">
      <c r="A47" s="38">
        <v>9005706190</v>
      </c>
      <c r="B47" s="11" t="s">
        <v>927</v>
      </c>
      <c r="C47" s="33">
        <v>300</v>
      </c>
      <c r="D47" s="34">
        <v>112</v>
      </c>
      <c r="E47" s="33"/>
      <c r="F47" s="34">
        <f t="shared" si="0"/>
        <v>0</v>
      </c>
      <c r="G47" s="63">
        <f t="shared" si="1"/>
        <v>3.2142857142857144</v>
      </c>
      <c r="H47" s="63"/>
      <c r="I47" s="2"/>
      <c r="J47" s="2"/>
      <c r="K47" s="2"/>
      <c r="L47" s="2"/>
      <c r="M47" s="2"/>
      <c r="N47" s="2"/>
      <c r="O47" s="2"/>
      <c r="P47" s="2"/>
      <c r="Q47" s="2"/>
    </row>
    <row r="48" spans="1:17" ht="15.75" customHeight="1" x14ac:dyDescent="0.3">
      <c r="A48" s="38">
        <v>7299982190</v>
      </c>
      <c r="B48" s="11" t="s">
        <v>928</v>
      </c>
      <c r="C48" s="33">
        <v>300</v>
      </c>
      <c r="D48" s="34">
        <v>112</v>
      </c>
      <c r="E48" s="33"/>
      <c r="F48" s="34">
        <f t="shared" si="0"/>
        <v>0</v>
      </c>
      <c r="G48" s="63">
        <f t="shared" si="1"/>
        <v>3.2142857142857144</v>
      </c>
      <c r="H48" s="63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3">
      <c r="A49" s="38">
        <v>8817324190</v>
      </c>
      <c r="B49" s="11" t="s">
        <v>929</v>
      </c>
      <c r="C49" s="33">
        <v>100</v>
      </c>
      <c r="D49" s="34">
        <v>112</v>
      </c>
      <c r="E49" s="33"/>
      <c r="F49" s="34">
        <f t="shared" si="0"/>
        <v>0</v>
      </c>
      <c r="G49" s="63">
        <f t="shared" si="1"/>
        <v>3.2142857142857144</v>
      </c>
      <c r="H49" s="63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3">
      <c r="A50" s="38">
        <v>7027478190</v>
      </c>
      <c r="B50" s="11" t="s">
        <v>930</v>
      </c>
      <c r="C50" s="33">
        <v>100</v>
      </c>
      <c r="D50" s="34">
        <v>112</v>
      </c>
      <c r="E50" s="33"/>
      <c r="F50" s="34">
        <f t="shared" si="0"/>
        <v>0</v>
      </c>
      <c r="G50" s="63">
        <f t="shared" si="1"/>
        <v>3.2142857142857144</v>
      </c>
      <c r="H50" s="63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3">
      <c r="A51" s="38">
        <v>9015043190</v>
      </c>
      <c r="B51" s="11" t="s">
        <v>931</v>
      </c>
      <c r="C51" s="33">
        <v>300</v>
      </c>
      <c r="D51" s="34">
        <v>112</v>
      </c>
      <c r="E51" s="33"/>
      <c r="F51" s="34">
        <f t="shared" si="0"/>
        <v>0</v>
      </c>
      <c r="G51" s="63">
        <f t="shared" si="1"/>
        <v>3.2142857142857144</v>
      </c>
      <c r="H51" s="63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3">
      <c r="A52" s="38">
        <v>9007695190</v>
      </c>
      <c r="B52" s="11" t="s">
        <v>932</v>
      </c>
      <c r="C52" s="33">
        <v>100</v>
      </c>
      <c r="D52" s="34">
        <v>112</v>
      </c>
      <c r="E52" s="33"/>
      <c r="F52" s="34">
        <f t="shared" si="0"/>
        <v>0</v>
      </c>
      <c r="G52" s="63">
        <f t="shared" si="1"/>
        <v>3.2142857142857144</v>
      </c>
      <c r="H52" s="63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3">
      <c r="A53" s="38">
        <v>7028253190</v>
      </c>
      <c r="B53" s="11" t="s">
        <v>933</v>
      </c>
      <c r="C53" s="33">
        <v>100</v>
      </c>
      <c r="D53" s="34">
        <v>112</v>
      </c>
      <c r="E53" s="33"/>
      <c r="F53" s="34">
        <f t="shared" si="0"/>
        <v>0</v>
      </c>
      <c r="G53" s="63">
        <f t="shared" si="1"/>
        <v>3.2142857142857144</v>
      </c>
      <c r="H53" s="63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3">
      <c r="A54" s="38">
        <v>7027214190</v>
      </c>
      <c r="B54" s="11" t="s">
        <v>934</v>
      </c>
      <c r="C54" s="33">
        <v>100</v>
      </c>
      <c r="D54" s="34">
        <v>112</v>
      </c>
      <c r="E54" s="33"/>
      <c r="F54" s="34">
        <f t="shared" si="0"/>
        <v>0</v>
      </c>
      <c r="G54" s="63">
        <f t="shared" si="1"/>
        <v>3.2142857142857144</v>
      </c>
      <c r="H54" s="63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3">
      <c r="A55" s="38">
        <v>7027087190</v>
      </c>
      <c r="B55" s="11" t="s">
        <v>935</v>
      </c>
      <c r="C55" s="33">
        <v>100</v>
      </c>
      <c r="D55" s="34">
        <v>112</v>
      </c>
      <c r="E55" s="33"/>
      <c r="F55" s="34">
        <f t="shared" si="0"/>
        <v>0</v>
      </c>
      <c r="G55" s="63">
        <f t="shared" si="1"/>
        <v>3.2142857142857144</v>
      </c>
      <c r="H55" s="63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3">
      <c r="A56" s="38">
        <v>7027583190</v>
      </c>
      <c r="B56" s="11" t="s">
        <v>936</v>
      </c>
      <c r="C56" s="33">
        <v>100</v>
      </c>
      <c r="D56" s="34">
        <v>112</v>
      </c>
      <c r="E56" s="33"/>
      <c r="F56" s="34">
        <f t="shared" si="0"/>
        <v>0</v>
      </c>
      <c r="G56" s="63">
        <f t="shared" si="1"/>
        <v>3.2142857142857144</v>
      </c>
      <c r="H56" s="63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3">
      <c r="A57" s="38">
        <v>8946809190</v>
      </c>
      <c r="B57" s="11" t="s">
        <v>937</v>
      </c>
      <c r="C57" s="33">
        <v>100</v>
      </c>
      <c r="D57" s="34">
        <v>112</v>
      </c>
      <c r="E57" s="33"/>
      <c r="F57" s="34">
        <f t="shared" si="0"/>
        <v>0</v>
      </c>
      <c r="G57" s="63">
        <f t="shared" si="1"/>
        <v>3.2142857142857144</v>
      </c>
      <c r="H57" s="63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3">
      <c r="A58" s="38">
        <v>9315357190</v>
      </c>
      <c r="B58" s="11" t="s">
        <v>938</v>
      </c>
      <c r="C58" s="33">
        <v>300</v>
      </c>
      <c r="D58" s="34">
        <v>112</v>
      </c>
      <c r="E58" s="33"/>
      <c r="F58" s="34">
        <f t="shared" si="0"/>
        <v>0</v>
      </c>
      <c r="G58" s="63">
        <f t="shared" si="1"/>
        <v>3.2142857142857144</v>
      </c>
      <c r="H58" s="63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3">
      <c r="A59" s="38">
        <v>7028059190</v>
      </c>
      <c r="B59" s="11" t="s">
        <v>939</v>
      </c>
      <c r="C59" s="33">
        <v>300</v>
      </c>
      <c r="D59" s="34">
        <v>112</v>
      </c>
      <c r="E59" s="33"/>
      <c r="F59" s="34">
        <f t="shared" si="0"/>
        <v>0</v>
      </c>
      <c r="G59" s="63">
        <f t="shared" si="1"/>
        <v>3.2142857142857144</v>
      </c>
      <c r="H59" s="63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3">
      <c r="A60" s="196" t="s">
        <v>940</v>
      </c>
      <c r="B60" s="216" t="s">
        <v>941</v>
      </c>
      <c r="C60" s="33">
        <v>300</v>
      </c>
      <c r="D60" s="34">
        <v>112</v>
      </c>
      <c r="E60" s="33"/>
      <c r="F60" s="34">
        <f t="shared" si="0"/>
        <v>0</v>
      </c>
      <c r="G60" s="63">
        <f t="shared" si="1"/>
        <v>3.2142857142857144</v>
      </c>
      <c r="H60" s="63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3">
      <c r="A61" s="38">
        <v>9005676190</v>
      </c>
      <c r="B61" s="11" t="s">
        <v>942</v>
      </c>
      <c r="C61" s="33">
        <v>100</v>
      </c>
      <c r="D61" s="34">
        <v>112</v>
      </c>
      <c r="E61" s="33"/>
      <c r="F61" s="34">
        <f t="shared" si="0"/>
        <v>0</v>
      </c>
      <c r="G61" s="63">
        <f t="shared" si="1"/>
        <v>3.2142857142857144</v>
      </c>
      <c r="H61" s="63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3">
      <c r="A62" s="38">
        <v>9015612190</v>
      </c>
      <c r="B62" s="11" t="s">
        <v>943</v>
      </c>
      <c r="C62" s="33">
        <v>100</v>
      </c>
      <c r="D62" s="34">
        <v>112</v>
      </c>
      <c r="E62" s="33"/>
      <c r="F62" s="34">
        <f t="shared" si="0"/>
        <v>0</v>
      </c>
      <c r="G62" s="63">
        <f t="shared" si="1"/>
        <v>3.2142857142857144</v>
      </c>
      <c r="H62" s="63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3">
      <c r="A63" s="38">
        <v>7027273190</v>
      </c>
      <c r="B63" s="38" t="s">
        <v>944</v>
      </c>
      <c r="C63" s="33">
        <v>300</v>
      </c>
      <c r="D63" s="34">
        <v>112</v>
      </c>
      <c r="E63" s="33"/>
      <c r="F63" s="34">
        <f t="shared" si="0"/>
        <v>0</v>
      </c>
      <c r="G63" s="63">
        <f t="shared" si="1"/>
        <v>3.2142857142857144</v>
      </c>
      <c r="H63" s="63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3">
      <c r="A64" s="38">
        <v>7027290190</v>
      </c>
      <c r="B64" s="38" t="s">
        <v>945</v>
      </c>
      <c r="C64" s="33">
        <v>300</v>
      </c>
      <c r="D64" s="34">
        <v>112</v>
      </c>
      <c r="E64" s="33"/>
      <c r="F64" s="34">
        <f t="shared" si="0"/>
        <v>0</v>
      </c>
      <c r="G64" s="63">
        <f t="shared" si="1"/>
        <v>3.2142857142857144</v>
      </c>
      <c r="H64" s="63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3">
      <c r="A65" s="38">
        <v>7028121190</v>
      </c>
      <c r="B65" s="38" t="s">
        <v>946</v>
      </c>
      <c r="C65" s="33">
        <v>300</v>
      </c>
      <c r="D65" s="34">
        <v>112</v>
      </c>
      <c r="E65" s="33"/>
      <c r="F65" s="34">
        <f t="shared" si="0"/>
        <v>0</v>
      </c>
      <c r="G65" s="63">
        <f t="shared" si="1"/>
        <v>3.2142857142857144</v>
      </c>
      <c r="H65" s="63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3">
      <c r="A66" s="38">
        <v>7713258190</v>
      </c>
      <c r="B66" s="38" t="s">
        <v>947</v>
      </c>
      <c r="C66" s="33">
        <v>300</v>
      </c>
      <c r="D66" s="34">
        <v>112</v>
      </c>
      <c r="E66" s="33"/>
      <c r="F66" s="34">
        <f t="shared" si="0"/>
        <v>0</v>
      </c>
      <c r="G66" s="63">
        <f t="shared" si="1"/>
        <v>3.2142857142857144</v>
      </c>
      <c r="H66" s="63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3">
      <c r="A67" s="12">
        <v>7027516190</v>
      </c>
      <c r="B67" s="38" t="s">
        <v>948</v>
      </c>
      <c r="C67" s="33">
        <v>100</v>
      </c>
      <c r="D67" s="34">
        <v>112</v>
      </c>
      <c r="E67" s="33"/>
      <c r="F67" s="34">
        <f t="shared" si="0"/>
        <v>0</v>
      </c>
      <c r="G67" s="63">
        <f t="shared" si="1"/>
        <v>3.2142857142857144</v>
      </c>
      <c r="H67" s="63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3">
      <c r="A68" s="12">
        <v>7251068190</v>
      </c>
      <c r="B68" s="38" t="s">
        <v>949</v>
      </c>
      <c r="C68" s="33">
        <v>300</v>
      </c>
      <c r="D68" s="34">
        <v>112</v>
      </c>
      <c r="E68" s="33"/>
      <c r="F68" s="34">
        <f t="shared" si="0"/>
        <v>0</v>
      </c>
      <c r="G68" s="63">
        <f t="shared" si="1"/>
        <v>3.2142857142857144</v>
      </c>
      <c r="H68" s="63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3">
      <c r="A69" s="12">
        <v>9005765190</v>
      </c>
      <c r="B69" s="38" t="s">
        <v>950</v>
      </c>
      <c r="C69" s="33">
        <v>100</v>
      </c>
      <c r="D69" s="34">
        <v>112</v>
      </c>
      <c r="E69" s="33"/>
      <c r="F69" s="34">
        <f t="shared" si="0"/>
        <v>0</v>
      </c>
      <c r="G69" s="63">
        <f t="shared" si="1"/>
        <v>3.2142857142857144</v>
      </c>
      <c r="H69" s="63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3">
      <c r="A70" s="12">
        <v>7027940190</v>
      </c>
      <c r="B70" s="38" t="s">
        <v>951</v>
      </c>
      <c r="C70" s="33">
        <v>100</v>
      </c>
      <c r="D70" s="34">
        <v>112</v>
      </c>
      <c r="E70" s="33"/>
      <c r="F70" s="34">
        <f t="shared" si="0"/>
        <v>0</v>
      </c>
      <c r="G70" s="63">
        <f t="shared" si="1"/>
        <v>3.2142857142857144</v>
      </c>
      <c r="H70" s="63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3">
      <c r="A71" s="217" t="s">
        <v>952</v>
      </c>
      <c r="B71" s="197" t="s">
        <v>953</v>
      </c>
      <c r="C71" s="33">
        <v>100</v>
      </c>
      <c r="D71" s="34">
        <v>112</v>
      </c>
      <c r="E71" s="33"/>
      <c r="F71" s="34">
        <f t="shared" si="0"/>
        <v>0</v>
      </c>
      <c r="G71" s="63">
        <f t="shared" si="1"/>
        <v>3.2142857142857144</v>
      </c>
      <c r="H71" s="63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3">
      <c r="A72" s="12">
        <v>7027591190</v>
      </c>
      <c r="B72" s="38" t="s">
        <v>954</v>
      </c>
      <c r="C72" s="33">
        <v>100</v>
      </c>
      <c r="D72" s="34">
        <v>112</v>
      </c>
      <c r="E72" s="33"/>
      <c r="F72" s="34">
        <f t="shared" si="0"/>
        <v>0</v>
      </c>
      <c r="G72" s="63">
        <f t="shared" si="1"/>
        <v>3.2142857142857144</v>
      </c>
      <c r="H72" s="63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3">
      <c r="A73" s="217" t="s">
        <v>955</v>
      </c>
      <c r="B73" s="197" t="s">
        <v>956</v>
      </c>
      <c r="C73" s="33">
        <v>100</v>
      </c>
      <c r="D73" s="34">
        <v>112</v>
      </c>
      <c r="E73" s="33"/>
      <c r="F73" s="34">
        <f t="shared" si="0"/>
        <v>0</v>
      </c>
      <c r="G73" s="63">
        <f t="shared" si="1"/>
        <v>3.2142857142857144</v>
      </c>
      <c r="H73" s="63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3">
      <c r="A74" s="217" t="s">
        <v>957</v>
      </c>
      <c r="B74" s="197" t="s">
        <v>958</v>
      </c>
      <c r="C74" s="33">
        <v>300</v>
      </c>
      <c r="D74" s="34">
        <v>112</v>
      </c>
      <c r="E74" s="33"/>
      <c r="F74" s="34">
        <f t="shared" si="0"/>
        <v>0</v>
      </c>
      <c r="G74" s="63">
        <f t="shared" si="1"/>
        <v>3.2142857142857144</v>
      </c>
      <c r="H74" s="63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3">
      <c r="A75" s="12">
        <v>9038086190</v>
      </c>
      <c r="B75" s="38" t="s">
        <v>959</v>
      </c>
      <c r="C75" s="33">
        <v>300</v>
      </c>
      <c r="D75" s="34">
        <v>77</v>
      </c>
      <c r="E75" s="33"/>
      <c r="F75" s="34">
        <f t="shared" si="0"/>
        <v>0</v>
      </c>
      <c r="G75" s="63">
        <f t="shared" si="1"/>
        <v>4.6753246753246751</v>
      </c>
      <c r="H75" s="63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3">
      <c r="A76" s="12">
        <v>7475918190</v>
      </c>
      <c r="B76" s="38" t="s">
        <v>960</v>
      </c>
      <c r="C76" s="33">
        <v>100</v>
      </c>
      <c r="D76" s="34">
        <v>112</v>
      </c>
      <c r="E76" s="33"/>
      <c r="F76" s="34">
        <f t="shared" si="0"/>
        <v>0</v>
      </c>
      <c r="G76" s="63">
        <f t="shared" si="1"/>
        <v>3.2142857142857144</v>
      </c>
      <c r="H76" s="63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3">
      <c r="A77" s="12">
        <v>7574720190</v>
      </c>
      <c r="B77" s="38" t="s">
        <v>961</v>
      </c>
      <c r="C77" s="33">
        <v>100</v>
      </c>
      <c r="D77" s="34">
        <v>112</v>
      </c>
      <c r="E77" s="33"/>
      <c r="F77" s="34">
        <f t="shared" si="0"/>
        <v>0</v>
      </c>
      <c r="G77" s="63">
        <f t="shared" si="1"/>
        <v>3.2142857142857144</v>
      </c>
      <c r="H77" s="63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3">
      <c r="A78" s="12">
        <v>8836973190</v>
      </c>
      <c r="B78" s="38" t="s">
        <v>962</v>
      </c>
      <c r="C78" s="33">
        <v>300</v>
      </c>
      <c r="D78" s="34">
        <v>112</v>
      </c>
      <c r="E78" s="33"/>
      <c r="F78" s="34">
        <f t="shared" si="0"/>
        <v>0</v>
      </c>
      <c r="G78" s="63">
        <f t="shared" si="1"/>
        <v>3.2142857142857144</v>
      </c>
      <c r="H78" s="63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3">
      <c r="A79" s="12">
        <v>8110697190</v>
      </c>
      <c r="B79" s="38" t="s">
        <v>963</v>
      </c>
      <c r="C79" s="33">
        <v>300</v>
      </c>
      <c r="D79" s="34">
        <v>31</v>
      </c>
      <c r="E79" s="33"/>
      <c r="F79" s="34">
        <f t="shared" si="0"/>
        <v>0</v>
      </c>
      <c r="G79" s="63">
        <f t="shared" si="1"/>
        <v>11.612903225806452</v>
      </c>
      <c r="H79" s="63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3">
      <c r="A80" s="12">
        <v>8086664190</v>
      </c>
      <c r="B80" s="38" t="s">
        <v>964</v>
      </c>
      <c r="C80" s="33">
        <v>300</v>
      </c>
      <c r="D80" s="34">
        <v>112</v>
      </c>
      <c r="E80" s="33"/>
      <c r="F80" s="34">
        <f t="shared" si="0"/>
        <v>0</v>
      </c>
      <c r="G80" s="63">
        <f t="shared" si="1"/>
        <v>3.2142857142857144</v>
      </c>
      <c r="H80" s="63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3">
      <c r="A81" s="12">
        <v>7026773190</v>
      </c>
      <c r="B81" s="38" t="s">
        <v>965</v>
      </c>
      <c r="C81" s="33">
        <v>300</v>
      </c>
      <c r="D81" s="34">
        <v>112</v>
      </c>
      <c r="E81" s="33"/>
      <c r="F81" s="34">
        <f t="shared" si="0"/>
        <v>0</v>
      </c>
      <c r="G81" s="63">
        <f t="shared" si="1"/>
        <v>3.2142857142857144</v>
      </c>
      <c r="H81" s="63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3">
      <c r="A82" s="12">
        <v>8814848190</v>
      </c>
      <c r="B82" s="38" t="s">
        <v>966</v>
      </c>
      <c r="C82" s="33">
        <v>300</v>
      </c>
      <c r="D82" s="34">
        <v>112</v>
      </c>
      <c r="E82" s="33"/>
      <c r="F82" s="34">
        <f t="shared" si="0"/>
        <v>0</v>
      </c>
      <c r="G82" s="63">
        <f t="shared" si="1"/>
        <v>3.2142857142857144</v>
      </c>
      <c r="H82" s="63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3">
      <c r="A83" s="12">
        <v>8498610190</v>
      </c>
      <c r="B83" s="38" t="s">
        <v>967</v>
      </c>
      <c r="C83" s="33">
        <v>300</v>
      </c>
      <c r="D83" s="34">
        <v>112</v>
      </c>
      <c r="E83" s="33"/>
      <c r="F83" s="34">
        <f t="shared" si="0"/>
        <v>0</v>
      </c>
      <c r="G83" s="63">
        <f t="shared" si="1"/>
        <v>3.2142857142857144</v>
      </c>
      <c r="H83" s="63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3">
      <c r="A84" s="12">
        <v>7027427190</v>
      </c>
      <c r="B84" s="38" t="s">
        <v>968</v>
      </c>
      <c r="C84" s="33">
        <v>300</v>
      </c>
      <c r="D84" s="34">
        <v>112</v>
      </c>
      <c r="E84" s="33"/>
      <c r="F84" s="34">
        <f t="shared" si="0"/>
        <v>0</v>
      </c>
      <c r="G84" s="63">
        <f t="shared" si="1"/>
        <v>3.2142857142857144</v>
      </c>
      <c r="H84" s="63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3">
      <c r="A85" s="12">
        <v>7026838190</v>
      </c>
      <c r="B85" s="38" t="s">
        <v>969</v>
      </c>
      <c r="C85" s="33">
        <v>300</v>
      </c>
      <c r="D85" s="34">
        <v>112</v>
      </c>
      <c r="E85" s="33"/>
      <c r="F85" s="34">
        <f t="shared" si="0"/>
        <v>0</v>
      </c>
      <c r="G85" s="63">
        <f t="shared" si="1"/>
        <v>3.2142857142857144</v>
      </c>
      <c r="H85" s="63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3">
      <c r="A86" s="12">
        <v>9014926190</v>
      </c>
      <c r="B86" s="38" t="s">
        <v>970</v>
      </c>
      <c r="C86" s="33">
        <v>300</v>
      </c>
      <c r="D86" s="34">
        <v>112</v>
      </c>
      <c r="E86" s="33"/>
      <c r="F86" s="34">
        <f t="shared" si="0"/>
        <v>0</v>
      </c>
      <c r="G86" s="63">
        <f t="shared" si="1"/>
        <v>3.2142857142857144</v>
      </c>
      <c r="H86" s="63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3">
      <c r="A87" s="12">
        <v>7026811190</v>
      </c>
      <c r="B87" s="38" t="s">
        <v>971</v>
      </c>
      <c r="C87" s="33">
        <v>300</v>
      </c>
      <c r="D87" s="34">
        <v>112</v>
      </c>
      <c r="E87" s="33"/>
      <c r="F87" s="34">
        <f t="shared" si="0"/>
        <v>0</v>
      </c>
      <c r="G87" s="63">
        <f t="shared" si="1"/>
        <v>3.2142857142857144</v>
      </c>
      <c r="H87" s="63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3">
      <c r="A88" s="12">
        <v>8837058190</v>
      </c>
      <c r="B88" s="38" t="s">
        <v>972</v>
      </c>
      <c r="C88" s="33">
        <v>300</v>
      </c>
      <c r="D88" s="34">
        <v>31</v>
      </c>
      <c r="E88" s="33"/>
      <c r="F88" s="34">
        <f t="shared" si="0"/>
        <v>0</v>
      </c>
      <c r="G88" s="63">
        <f t="shared" si="1"/>
        <v>11.612903225806452</v>
      </c>
      <c r="H88" s="63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3">
      <c r="A89" s="172">
        <v>7027770190</v>
      </c>
      <c r="B89" s="61" t="s">
        <v>973</v>
      </c>
      <c r="C89" s="33">
        <v>300</v>
      </c>
      <c r="D89" s="34">
        <v>112</v>
      </c>
      <c r="E89" s="33"/>
      <c r="F89" s="34">
        <f t="shared" si="0"/>
        <v>0</v>
      </c>
      <c r="G89" s="63">
        <f t="shared" si="1"/>
        <v>3.2142857142857144</v>
      </c>
      <c r="H89" s="63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3">
      <c r="A90" s="172">
        <v>7027796190</v>
      </c>
      <c r="B90" s="61" t="s">
        <v>974</v>
      </c>
      <c r="C90" s="33">
        <v>300</v>
      </c>
      <c r="D90" s="34">
        <v>112</v>
      </c>
      <c r="E90" s="33"/>
      <c r="F90" s="34">
        <f t="shared" si="0"/>
        <v>0</v>
      </c>
      <c r="G90" s="63">
        <f t="shared" si="1"/>
        <v>3.2142857142857144</v>
      </c>
      <c r="H90" s="63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3">
      <c r="A91" s="172">
        <v>7028008190</v>
      </c>
      <c r="B91" s="61" t="s">
        <v>975</v>
      </c>
      <c r="C91" s="33">
        <v>300</v>
      </c>
      <c r="D91" s="34">
        <v>112</v>
      </c>
      <c r="E91" s="33"/>
      <c r="F91" s="34">
        <f t="shared" si="0"/>
        <v>0</v>
      </c>
      <c r="G91" s="63">
        <f t="shared" si="1"/>
        <v>3.2142857142857144</v>
      </c>
      <c r="H91" s="63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3">
      <c r="A92" s="172">
        <v>7027974190</v>
      </c>
      <c r="B92" s="61" t="s">
        <v>976</v>
      </c>
      <c r="C92" s="33">
        <v>100</v>
      </c>
      <c r="D92" s="34">
        <v>112</v>
      </c>
      <c r="E92" s="33"/>
      <c r="F92" s="34">
        <f t="shared" si="0"/>
        <v>0</v>
      </c>
      <c r="G92" s="63">
        <f t="shared" si="1"/>
        <v>3.2142857142857144</v>
      </c>
      <c r="H92" s="63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3">
      <c r="A93" s="172">
        <v>7028024190</v>
      </c>
      <c r="B93" s="61" t="s">
        <v>977</v>
      </c>
      <c r="C93" s="33">
        <v>300</v>
      </c>
      <c r="D93" s="34">
        <v>112</v>
      </c>
      <c r="E93" s="33"/>
      <c r="F93" s="34">
        <f t="shared" si="0"/>
        <v>0</v>
      </c>
      <c r="G93" s="63">
        <f t="shared" si="1"/>
        <v>3.2142857142857144</v>
      </c>
      <c r="H93" s="63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3">
      <c r="A94" s="172">
        <v>9118551190</v>
      </c>
      <c r="B94" s="61" t="s">
        <v>978</v>
      </c>
      <c r="C94" s="33">
        <v>300</v>
      </c>
      <c r="D94" s="34">
        <v>112</v>
      </c>
      <c r="E94" s="33"/>
      <c r="F94" s="34">
        <f t="shared" si="0"/>
        <v>0</v>
      </c>
      <c r="G94" s="63">
        <f t="shared" si="1"/>
        <v>3.2142857142857144</v>
      </c>
      <c r="H94" s="63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3">
      <c r="A95" s="172">
        <v>9342389190</v>
      </c>
      <c r="B95" s="61" t="s">
        <v>979</v>
      </c>
      <c r="C95" s="33">
        <v>100</v>
      </c>
      <c r="D95" s="34">
        <v>112</v>
      </c>
      <c r="E95" s="33"/>
      <c r="F95" s="34">
        <f t="shared" si="0"/>
        <v>0</v>
      </c>
      <c r="G95" s="63">
        <f t="shared" si="1"/>
        <v>3.2142857142857144</v>
      </c>
      <c r="H95" s="63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3">
      <c r="A96" s="172">
        <v>7027133190</v>
      </c>
      <c r="B96" s="61" t="s">
        <v>980</v>
      </c>
      <c r="C96" s="33">
        <v>300</v>
      </c>
      <c r="D96" s="34">
        <v>112</v>
      </c>
      <c r="E96" s="33"/>
      <c r="F96" s="34">
        <f t="shared" si="0"/>
        <v>0</v>
      </c>
      <c r="G96" s="63">
        <f t="shared" si="1"/>
        <v>3.2142857142857144</v>
      </c>
      <c r="H96" s="63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3">
      <c r="A97" s="172">
        <v>8948852190</v>
      </c>
      <c r="B97" s="61" t="s">
        <v>981</v>
      </c>
      <c r="C97" s="33">
        <v>100</v>
      </c>
      <c r="D97" s="34">
        <v>112</v>
      </c>
      <c r="E97" s="33"/>
      <c r="F97" s="34">
        <f t="shared" si="0"/>
        <v>0</v>
      </c>
      <c r="G97" s="63">
        <f t="shared" si="1"/>
        <v>3.2142857142857144</v>
      </c>
      <c r="H97" s="63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3">
      <c r="A98" s="172">
        <v>8948909190</v>
      </c>
      <c r="B98" s="61" t="s">
        <v>982</v>
      </c>
      <c r="C98" s="33">
        <v>100</v>
      </c>
      <c r="D98" s="34">
        <v>112</v>
      </c>
      <c r="E98" s="33"/>
      <c r="F98" s="34">
        <f t="shared" si="0"/>
        <v>0</v>
      </c>
      <c r="G98" s="63">
        <f t="shared" si="1"/>
        <v>3.2142857142857144</v>
      </c>
      <c r="H98" s="63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3">
      <c r="A99" s="172">
        <v>8355274190</v>
      </c>
      <c r="B99" s="61" t="s">
        <v>983</v>
      </c>
      <c r="C99" s="33">
        <v>300</v>
      </c>
      <c r="D99" s="34">
        <v>112</v>
      </c>
      <c r="E99" s="33"/>
      <c r="F99" s="34">
        <f t="shared" si="0"/>
        <v>0</v>
      </c>
      <c r="G99" s="63">
        <f t="shared" si="1"/>
        <v>3.2142857142857144</v>
      </c>
      <c r="H99" s="63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3">
      <c r="A100" s="172">
        <v>8355355190</v>
      </c>
      <c r="B100" s="61" t="s">
        <v>984</v>
      </c>
      <c r="C100" s="33">
        <v>300</v>
      </c>
      <c r="D100" s="34">
        <v>112</v>
      </c>
      <c r="E100" s="33"/>
      <c r="F100" s="34">
        <f t="shared" si="0"/>
        <v>0</v>
      </c>
      <c r="G100" s="63">
        <f t="shared" si="1"/>
        <v>3.2142857142857144</v>
      </c>
      <c r="H100" s="63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3">
      <c r="A101" s="172">
        <v>8355380190</v>
      </c>
      <c r="B101" s="61" t="s">
        <v>985</v>
      </c>
      <c r="C101" s="33">
        <v>300</v>
      </c>
      <c r="D101" s="34">
        <v>112</v>
      </c>
      <c r="E101" s="33"/>
      <c r="F101" s="34">
        <f t="shared" si="0"/>
        <v>0</v>
      </c>
      <c r="G101" s="63">
        <f t="shared" si="1"/>
        <v>3.2142857142857144</v>
      </c>
      <c r="H101" s="63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3">
      <c r="A102" s="172">
        <v>9015272190</v>
      </c>
      <c r="B102" s="61" t="s">
        <v>986</v>
      </c>
      <c r="C102" s="33">
        <v>300</v>
      </c>
      <c r="D102" s="34">
        <v>112</v>
      </c>
      <c r="E102" s="33"/>
      <c r="F102" s="34">
        <f t="shared" si="0"/>
        <v>0</v>
      </c>
      <c r="G102" s="63">
        <f t="shared" si="1"/>
        <v>3.2142857142857144</v>
      </c>
      <c r="H102" s="63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3">
      <c r="A103" s="172">
        <v>9015051190</v>
      </c>
      <c r="B103" s="61" t="s">
        <v>987</v>
      </c>
      <c r="C103" s="33">
        <v>300</v>
      </c>
      <c r="D103" s="34">
        <v>112</v>
      </c>
      <c r="E103" s="33"/>
      <c r="F103" s="34">
        <f t="shared" si="0"/>
        <v>0</v>
      </c>
      <c r="G103" s="63">
        <f t="shared" si="1"/>
        <v>3.2142857142857144</v>
      </c>
      <c r="H103" s="63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3">
      <c r="A104" s="172">
        <v>9015582190</v>
      </c>
      <c r="B104" s="61" t="s">
        <v>988</v>
      </c>
      <c r="C104" s="33">
        <v>300</v>
      </c>
      <c r="D104" s="34">
        <v>112</v>
      </c>
      <c r="E104" s="33"/>
      <c r="F104" s="34">
        <f t="shared" si="0"/>
        <v>0</v>
      </c>
      <c r="G104" s="63">
        <f t="shared" si="1"/>
        <v>3.2142857142857144</v>
      </c>
      <c r="H104" s="63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3">
      <c r="A105" s="172">
        <v>9203079190</v>
      </c>
      <c r="B105" s="61" t="s">
        <v>989</v>
      </c>
      <c r="C105" s="33">
        <v>300</v>
      </c>
      <c r="D105" s="34">
        <v>30</v>
      </c>
      <c r="E105" s="33"/>
      <c r="F105" s="34">
        <f t="shared" si="0"/>
        <v>0</v>
      </c>
      <c r="G105" s="63">
        <f t="shared" si="1"/>
        <v>12</v>
      </c>
      <c r="H105" s="63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3">
      <c r="A106" s="172">
        <v>9289275190</v>
      </c>
      <c r="B106" s="61" t="s">
        <v>990</v>
      </c>
      <c r="C106" s="33">
        <v>300</v>
      </c>
      <c r="D106" s="34">
        <v>112</v>
      </c>
      <c r="E106" s="33"/>
      <c r="F106" s="34">
        <f t="shared" si="0"/>
        <v>0</v>
      </c>
      <c r="G106" s="63">
        <f t="shared" si="1"/>
        <v>3.2142857142857144</v>
      </c>
      <c r="H106" s="63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3">
      <c r="A107" s="172">
        <v>9345299190</v>
      </c>
      <c r="B107" s="61" t="s">
        <v>991</v>
      </c>
      <c r="C107" s="33">
        <v>300</v>
      </c>
      <c r="D107" s="34"/>
      <c r="E107" s="33"/>
      <c r="F107" s="34">
        <f t="shared" si="0"/>
        <v>0</v>
      </c>
      <c r="G107" s="63" t="e">
        <f t="shared" si="1"/>
        <v>#DIV/0!</v>
      </c>
      <c r="H107" s="63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3">
      <c r="A108" s="38">
        <v>7251246190</v>
      </c>
      <c r="B108" s="38" t="s">
        <v>992</v>
      </c>
      <c r="C108" s="33">
        <v>300</v>
      </c>
      <c r="D108" s="34"/>
      <c r="E108" s="33"/>
      <c r="F108" s="34">
        <f t="shared" si="0"/>
        <v>0</v>
      </c>
      <c r="G108" s="63" t="e">
        <f t="shared" si="1"/>
        <v>#DIV/0!</v>
      </c>
      <c r="H108" s="63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3">
      <c r="A109" s="38">
        <v>7027257190</v>
      </c>
      <c r="B109" s="38" t="s">
        <v>993</v>
      </c>
      <c r="C109" s="33">
        <v>100</v>
      </c>
      <c r="D109" s="34"/>
      <c r="E109" s="33"/>
      <c r="F109" s="34">
        <f t="shared" si="0"/>
        <v>0</v>
      </c>
      <c r="G109" s="63" t="e">
        <f t="shared" si="1"/>
        <v>#DIV/0!</v>
      </c>
      <c r="H109" s="63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3">
      <c r="A110" s="38">
        <v>7027834190</v>
      </c>
      <c r="B110" s="38" t="s">
        <v>994</v>
      </c>
      <c r="C110" s="33">
        <v>100</v>
      </c>
      <c r="D110" s="34"/>
      <c r="E110" s="33"/>
      <c r="F110" s="34">
        <f t="shared" si="0"/>
        <v>0</v>
      </c>
      <c r="G110" s="63" t="e">
        <f t="shared" si="1"/>
        <v>#DIV/0!</v>
      </c>
      <c r="H110" s="63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3">
      <c r="A111" s="38">
        <v>7251254190</v>
      </c>
      <c r="B111" s="38" t="s">
        <v>995</v>
      </c>
      <c r="C111" s="33">
        <v>300</v>
      </c>
      <c r="D111" s="34"/>
      <c r="E111" s="33"/>
      <c r="F111" s="34">
        <f t="shared" si="0"/>
        <v>0</v>
      </c>
      <c r="G111" s="63" t="e">
        <f t="shared" si="1"/>
        <v>#DIV/0!</v>
      </c>
      <c r="H111" s="63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3">
      <c r="A112" s="161"/>
      <c r="B112" s="161"/>
      <c r="C112" s="162"/>
      <c r="D112" s="199" t="s">
        <v>208</v>
      </c>
      <c r="E112" s="200">
        <f>SUM(E9:E111)</f>
        <v>0</v>
      </c>
      <c r="F112" s="200"/>
      <c r="G112" s="128"/>
      <c r="H112" s="95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3">
      <c r="A113" s="202" t="s">
        <v>304</v>
      </c>
      <c r="B113" s="218"/>
      <c r="C113" s="171" t="s">
        <v>996</v>
      </c>
      <c r="D113" s="189" t="s">
        <v>136</v>
      </c>
      <c r="E113" s="202"/>
      <c r="F113" s="202" t="s">
        <v>138</v>
      </c>
      <c r="G113" s="203" t="s">
        <v>139</v>
      </c>
      <c r="H113" s="203" t="s">
        <v>140</v>
      </c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3">
      <c r="A114" s="38">
        <v>8443459190</v>
      </c>
      <c r="B114" s="38" t="s">
        <v>628</v>
      </c>
      <c r="C114" s="33">
        <v>2</v>
      </c>
      <c r="D114" s="34">
        <v>84</v>
      </c>
      <c r="E114" s="34"/>
      <c r="F114" s="219"/>
      <c r="G114" s="63">
        <f t="shared" ref="G114:G185" si="2">(360/D114)</f>
        <v>4.2857142857142856</v>
      </c>
      <c r="H114" s="63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3">
      <c r="A115" s="38">
        <v>11731548122</v>
      </c>
      <c r="B115" s="38" t="s">
        <v>997</v>
      </c>
      <c r="C115" s="33">
        <v>2</v>
      </c>
      <c r="D115" s="34">
        <v>84</v>
      </c>
      <c r="E115" s="34"/>
      <c r="F115" s="34"/>
      <c r="G115" s="63">
        <f t="shared" si="2"/>
        <v>4.2857142857142856</v>
      </c>
      <c r="H115" s="63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3">
      <c r="A116" s="38">
        <v>12017717122</v>
      </c>
      <c r="B116" s="38" t="s">
        <v>998</v>
      </c>
      <c r="C116" s="33">
        <v>2</v>
      </c>
      <c r="D116" s="34">
        <v>84</v>
      </c>
      <c r="E116" s="34"/>
      <c r="F116" s="34"/>
      <c r="G116" s="63">
        <f t="shared" si="2"/>
        <v>4.2857142857142856</v>
      </c>
      <c r="H116" s="63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3">
      <c r="A117" s="38">
        <v>9077871190</v>
      </c>
      <c r="B117" s="38" t="s">
        <v>999</v>
      </c>
      <c r="C117" s="33">
        <v>2</v>
      </c>
      <c r="D117" s="34">
        <v>56</v>
      </c>
      <c r="E117" s="34"/>
      <c r="F117" s="34"/>
      <c r="G117" s="63">
        <f t="shared" si="2"/>
        <v>6.4285714285714288</v>
      </c>
      <c r="H117" s="63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3">
      <c r="A118" s="38">
        <v>9043292190</v>
      </c>
      <c r="B118" s="38" t="s">
        <v>1000</v>
      </c>
      <c r="C118" s="33">
        <v>2</v>
      </c>
      <c r="D118" s="34">
        <v>84</v>
      </c>
      <c r="E118" s="34"/>
      <c r="F118" s="34"/>
      <c r="G118" s="63">
        <f t="shared" si="2"/>
        <v>4.2857142857142856</v>
      </c>
      <c r="H118" s="63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3">
      <c r="A119" s="38">
        <v>8991405190</v>
      </c>
      <c r="B119" s="38" t="s">
        <v>1001</v>
      </c>
      <c r="C119" s="33">
        <v>2</v>
      </c>
      <c r="D119" s="34">
        <v>93</v>
      </c>
      <c r="E119" s="34"/>
      <c r="F119" s="34"/>
      <c r="G119" s="63">
        <f t="shared" si="2"/>
        <v>3.870967741935484</v>
      </c>
      <c r="H119" s="63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3">
      <c r="A120" s="38">
        <v>6472931190</v>
      </c>
      <c r="B120" s="38" t="s">
        <v>1002</v>
      </c>
      <c r="C120" s="33">
        <v>2</v>
      </c>
      <c r="D120" s="34">
        <v>56</v>
      </c>
      <c r="E120" s="34"/>
      <c r="F120" s="34"/>
      <c r="G120" s="63">
        <f t="shared" si="2"/>
        <v>6.4285714285714288</v>
      </c>
      <c r="H120" s="63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3">
      <c r="A121" s="38">
        <v>9005030190</v>
      </c>
      <c r="B121" s="38" t="s">
        <v>1003</v>
      </c>
      <c r="C121" s="33">
        <v>2</v>
      </c>
      <c r="D121" s="34">
        <v>42</v>
      </c>
      <c r="E121" s="34"/>
      <c r="F121" s="34"/>
      <c r="G121" s="63">
        <f t="shared" si="2"/>
        <v>8.5714285714285712</v>
      </c>
      <c r="H121" s="63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3">
      <c r="A122" s="38">
        <v>8496641190</v>
      </c>
      <c r="B122" s="38" t="s">
        <v>1004</v>
      </c>
      <c r="C122" s="33">
        <v>2</v>
      </c>
      <c r="D122" s="34">
        <v>84</v>
      </c>
      <c r="E122" s="34"/>
      <c r="F122" s="34"/>
      <c r="G122" s="63">
        <f t="shared" si="2"/>
        <v>4.2857142857142856</v>
      </c>
      <c r="H122" s="63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3">
      <c r="A123" s="38">
        <v>9557423190</v>
      </c>
      <c r="B123" s="38" t="s">
        <v>1005</v>
      </c>
      <c r="C123" s="33">
        <v>2</v>
      </c>
      <c r="D123" s="34">
        <v>84</v>
      </c>
      <c r="E123" s="34"/>
      <c r="F123" s="34"/>
      <c r="G123" s="63">
        <f t="shared" si="2"/>
        <v>4.2857142857142856</v>
      </c>
      <c r="H123" s="63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3">
      <c r="A124" s="38">
        <v>9557440190</v>
      </c>
      <c r="B124" s="38" t="s">
        <v>1006</v>
      </c>
      <c r="C124" s="33">
        <v>2</v>
      </c>
      <c r="D124" s="34">
        <v>84</v>
      </c>
      <c r="E124" s="34"/>
      <c r="F124" s="34"/>
      <c r="G124" s="63">
        <f t="shared" si="2"/>
        <v>4.2857142857142856</v>
      </c>
      <c r="H124" s="63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3">
      <c r="A125" s="38">
        <v>6656048190</v>
      </c>
      <c r="B125" s="38" t="s">
        <v>1007</v>
      </c>
      <c r="C125" s="33">
        <v>2</v>
      </c>
      <c r="D125" s="34">
        <v>31</v>
      </c>
      <c r="E125" s="34"/>
      <c r="F125" s="34"/>
      <c r="G125" s="63">
        <f t="shared" si="2"/>
        <v>11.612903225806452</v>
      </c>
      <c r="H125" s="63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3">
      <c r="A126" s="38">
        <v>7092547190</v>
      </c>
      <c r="B126" s="38" t="s">
        <v>1008</v>
      </c>
      <c r="C126" s="33">
        <v>2</v>
      </c>
      <c r="D126" s="34">
        <v>31</v>
      </c>
      <c r="E126" s="34"/>
      <c r="F126" s="34"/>
      <c r="G126" s="63">
        <f t="shared" si="2"/>
        <v>11.612903225806452</v>
      </c>
      <c r="H126" s="63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3">
      <c r="A127" s="38">
        <v>3277356190</v>
      </c>
      <c r="B127" s="38" t="s">
        <v>1009</v>
      </c>
      <c r="C127" s="33">
        <v>2</v>
      </c>
      <c r="D127" s="34">
        <v>84</v>
      </c>
      <c r="E127" s="34"/>
      <c r="F127" s="34"/>
      <c r="G127" s="63">
        <f t="shared" si="2"/>
        <v>4.2857142857142856</v>
      </c>
      <c r="H127" s="63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3">
      <c r="A128" s="38">
        <v>5202230190</v>
      </c>
      <c r="B128" s="38" t="s">
        <v>1010</v>
      </c>
      <c r="C128" s="33">
        <v>2</v>
      </c>
      <c r="D128" s="34">
        <v>84</v>
      </c>
      <c r="E128" s="34"/>
      <c r="F128" s="34"/>
      <c r="G128" s="63">
        <f t="shared" si="2"/>
        <v>4.2857142857142856</v>
      </c>
      <c r="H128" s="63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3">
      <c r="A129" s="38">
        <v>3052028190</v>
      </c>
      <c r="B129" s="38" t="s">
        <v>1011</v>
      </c>
      <c r="C129" s="33">
        <v>2</v>
      </c>
      <c r="D129" s="34">
        <v>56</v>
      </c>
      <c r="E129" s="34"/>
      <c r="F129" s="34"/>
      <c r="G129" s="63">
        <f t="shared" si="2"/>
        <v>6.4285714285714288</v>
      </c>
      <c r="H129" s="63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3">
      <c r="A130" s="38">
        <v>3000095122</v>
      </c>
      <c r="B130" s="38" t="s">
        <v>1012</v>
      </c>
      <c r="C130" s="33">
        <v>2</v>
      </c>
      <c r="D130" s="34">
        <v>84</v>
      </c>
      <c r="E130" s="34"/>
      <c r="F130" s="34"/>
      <c r="G130" s="63">
        <f t="shared" si="2"/>
        <v>4.2857142857142856</v>
      </c>
      <c r="H130" s="63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3">
      <c r="A131" s="38">
        <v>3302652190</v>
      </c>
      <c r="B131" s="38" t="s">
        <v>1013</v>
      </c>
      <c r="C131" s="33">
        <v>2</v>
      </c>
      <c r="D131" s="34">
        <v>84</v>
      </c>
      <c r="E131" s="34"/>
      <c r="F131" s="34"/>
      <c r="G131" s="63">
        <f t="shared" si="2"/>
        <v>4.2857142857142856</v>
      </c>
      <c r="H131" s="63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3">
      <c r="A132" s="38">
        <v>9013296190</v>
      </c>
      <c r="B132" s="38" t="s">
        <v>1014</v>
      </c>
      <c r="C132" s="33">
        <v>2</v>
      </c>
      <c r="D132" s="34">
        <v>84</v>
      </c>
      <c r="E132" s="34"/>
      <c r="F132" s="34"/>
      <c r="G132" s="63">
        <f t="shared" si="2"/>
        <v>4.2857142857142856</v>
      </c>
      <c r="H132" s="63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3">
      <c r="A133" s="38">
        <v>4854080200</v>
      </c>
      <c r="B133" s="145" t="s">
        <v>1015</v>
      </c>
      <c r="C133" s="33">
        <v>2</v>
      </c>
      <c r="D133" s="34">
        <v>84</v>
      </c>
      <c r="E133" s="34"/>
      <c r="F133" s="34"/>
      <c r="G133" s="63">
        <f t="shared" si="2"/>
        <v>4.2857142857142856</v>
      </c>
      <c r="H133" s="63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3">
      <c r="A134" s="38">
        <v>4854101200</v>
      </c>
      <c r="B134" s="145" t="s">
        <v>1016</v>
      </c>
      <c r="C134" s="33">
        <v>2</v>
      </c>
      <c r="D134" s="34">
        <v>84</v>
      </c>
      <c r="E134" s="34"/>
      <c r="F134" s="34"/>
      <c r="G134" s="63">
        <f t="shared" si="2"/>
        <v>4.2857142857142856</v>
      </c>
      <c r="H134" s="63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3">
      <c r="A135" s="38">
        <v>5144701190</v>
      </c>
      <c r="B135" s="38" t="s">
        <v>1017</v>
      </c>
      <c r="C135" s="33">
        <v>2</v>
      </c>
      <c r="D135" s="34">
        <v>28</v>
      </c>
      <c r="E135" s="34"/>
      <c r="F135" s="34"/>
      <c r="G135" s="63">
        <f t="shared" si="2"/>
        <v>12.857142857142858</v>
      </c>
      <c r="H135" s="63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3">
      <c r="A136" s="38">
        <v>5109531190</v>
      </c>
      <c r="B136" s="38" t="s">
        <v>1018</v>
      </c>
      <c r="C136" s="33">
        <v>2</v>
      </c>
      <c r="D136" s="34">
        <v>28</v>
      </c>
      <c r="E136" s="34"/>
      <c r="F136" s="34"/>
      <c r="G136" s="63">
        <f t="shared" si="2"/>
        <v>12.857142857142858</v>
      </c>
      <c r="H136" s="63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3">
      <c r="A137" s="38">
        <v>3184919190</v>
      </c>
      <c r="B137" s="38" t="s">
        <v>1019</v>
      </c>
      <c r="C137" s="33">
        <v>2</v>
      </c>
      <c r="D137" s="34">
        <v>28</v>
      </c>
      <c r="E137" s="34"/>
      <c r="F137" s="34"/>
      <c r="G137" s="63">
        <f t="shared" si="2"/>
        <v>12.857142857142858</v>
      </c>
      <c r="H137" s="63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3">
      <c r="A138" s="38">
        <v>12017504122</v>
      </c>
      <c r="B138" s="38" t="s">
        <v>1020</v>
      </c>
      <c r="C138" s="33">
        <v>2</v>
      </c>
      <c r="D138" s="34">
        <v>84</v>
      </c>
      <c r="E138" s="34"/>
      <c r="F138" s="34"/>
      <c r="G138" s="63">
        <f t="shared" si="2"/>
        <v>4.2857142857142856</v>
      </c>
      <c r="H138" s="63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3">
      <c r="A139" s="38">
        <v>6687750190</v>
      </c>
      <c r="B139" s="38" t="s">
        <v>1021</v>
      </c>
      <c r="C139" s="33">
        <v>2</v>
      </c>
      <c r="D139" s="34">
        <v>84</v>
      </c>
      <c r="E139" s="34"/>
      <c r="F139" s="34"/>
      <c r="G139" s="63">
        <f t="shared" si="2"/>
        <v>4.2857142857142856</v>
      </c>
      <c r="H139" s="63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3">
      <c r="A140" s="38">
        <v>9290940190</v>
      </c>
      <c r="B140" s="38" t="s">
        <v>1022</v>
      </c>
      <c r="C140" s="33">
        <v>2</v>
      </c>
      <c r="D140" s="34">
        <v>1</v>
      </c>
      <c r="E140" s="34"/>
      <c r="F140" s="34"/>
      <c r="G140" s="63">
        <f t="shared" si="2"/>
        <v>360</v>
      </c>
      <c r="H140" s="63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3">
      <c r="A141" s="38">
        <v>8959820190</v>
      </c>
      <c r="B141" s="38" t="s">
        <v>1023</v>
      </c>
      <c r="C141" s="33">
        <v>2</v>
      </c>
      <c r="D141" s="34">
        <v>28</v>
      </c>
      <c r="E141" s="34"/>
      <c r="F141" s="34"/>
      <c r="G141" s="63">
        <f t="shared" si="2"/>
        <v>12.857142857142858</v>
      </c>
      <c r="H141" s="63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3">
      <c r="A142" s="38">
        <v>5390133190</v>
      </c>
      <c r="B142" s="38" t="s">
        <v>1024</v>
      </c>
      <c r="C142" s="33">
        <v>2</v>
      </c>
      <c r="D142" s="34">
        <v>28</v>
      </c>
      <c r="E142" s="34"/>
      <c r="F142" s="34"/>
      <c r="G142" s="63">
        <f t="shared" si="2"/>
        <v>12.857142857142858</v>
      </c>
      <c r="H142" s="63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3">
      <c r="A143" s="38">
        <v>7957203190</v>
      </c>
      <c r="B143" s="38" t="s">
        <v>1025</v>
      </c>
      <c r="C143" s="33">
        <v>2</v>
      </c>
      <c r="D143" s="34">
        <v>28</v>
      </c>
      <c r="E143" s="34"/>
      <c r="F143" s="34"/>
      <c r="G143" s="63">
        <f t="shared" si="2"/>
        <v>12.857142857142858</v>
      </c>
      <c r="H143" s="63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3">
      <c r="A144" s="38">
        <v>8838534190</v>
      </c>
      <c r="B144" s="38" t="s">
        <v>1026</v>
      </c>
      <c r="C144" s="33">
        <v>2</v>
      </c>
      <c r="D144" s="34">
        <v>84</v>
      </c>
      <c r="E144" s="34"/>
      <c r="F144" s="34"/>
      <c r="G144" s="63">
        <f t="shared" si="2"/>
        <v>4.2857142857142856</v>
      </c>
      <c r="H144" s="63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3">
      <c r="A145" s="38">
        <v>8851964190</v>
      </c>
      <c r="B145" s="38" t="s">
        <v>1027</v>
      </c>
      <c r="C145" s="33">
        <v>2</v>
      </c>
      <c r="D145" s="34">
        <v>84</v>
      </c>
      <c r="E145" s="34"/>
      <c r="F145" s="34"/>
      <c r="G145" s="63">
        <f t="shared" si="2"/>
        <v>4.2857142857142856</v>
      </c>
      <c r="H145" s="63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3">
      <c r="A146" s="38">
        <v>9227261190</v>
      </c>
      <c r="B146" s="38" t="s">
        <v>1028</v>
      </c>
      <c r="C146" s="33">
        <v>2</v>
      </c>
      <c r="D146" s="34">
        <v>84</v>
      </c>
      <c r="E146" s="34"/>
      <c r="F146" s="34"/>
      <c r="G146" s="63">
        <f t="shared" si="2"/>
        <v>4.2857142857142856</v>
      </c>
      <c r="H146" s="63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3">
      <c r="A147" s="38">
        <v>11731645322</v>
      </c>
      <c r="B147" s="38" t="s">
        <v>1029</v>
      </c>
      <c r="C147" s="33">
        <v>2</v>
      </c>
      <c r="D147" s="34">
        <v>84</v>
      </c>
      <c r="E147" s="34"/>
      <c r="F147" s="34"/>
      <c r="G147" s="63">
        <f t="shared" si="2"/>
        <v>4.2857142857142856</v>
      </c>
      <c r="H147" s="63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3">
      <c r="A148" s="38">
        <v>7030207190</v>
      </c>
      <c r="B148" s="38" t="s">
        <v>1030</v>
      </c>
      <c r="C148" s="33">
        <v>2</v>
      </c>
      <c r="D148" s="34">
        <v>140</v>
      </c>
      <c r="E148" s="34"/>
      <c r="F148" s="34"/>
      <c r="G148" s="63">
        <f t="shared" si="2"/>
        <v>2.5714285714285716</v>
      </c>
      <c r="H148" s="63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3">
      <c r="A149" s="38">
        <v>3045846122</v>
      </c>
      <c r="B149" s="38" t="s">
        <v>1031</v>
      </c>
      <c r="C149" s="33">
        <v>2</v>
      </c>
      <c r="D149" s="34">
        <v>84</v>
      </c>
      <c r="E149" s="34"/>
      <c r="F149" s="34"/>
      <c r="G149" s="63">
        <f t="shared" si="2"/>
        <v>4.2857142857142856</v>
      </c>
      <c r="H149" s="63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3">
      <c r="A150" s="38">
        <v>11776215122</v>
      </c>
      <c r="B150" s="38" t="s">
        <v>1032</v>
      </c>
      <c r="C150" s="33">
        <v>2</v>
      </c>
      <c r="D150" s="34">
        <v>56</v>
      </c>
      <c r="E150" s="34"/>
      <c r="F150" s="34"/>
      <c r="G150" s="63">
        <f t="shared" si="2"/>
        <v>6.4285714285714288</v>
      </c>
      <c r="H150" s="63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3">
      <c r="A151" s="38">
        <v>11820974322</v>
      </c>
      <c r="B151" s="38" t="s">
        <v>1033</v>
      </c>
      <c r="C151" s="33">
        <v>2</v>
      </c>
      <c r="D151" s="34">
        <v>56</v>
      </c>
      <c r="E151" s="34"/>
      <c r="F151" s="34"/>
      <c r="G151" s="63">
        <f t="shared" si="2"/>
        <v>6.4285714285714288</v>
      </c>
      <c r="H151" s="63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3">
      <c r="A152" s="38">
        <v>9175130190</v>
      </c>
      <c r="B152" s="38" t="s">
        <v>1034</v>
      </c>
      <c r="C152" s="33">
        <v>2</v>
      </c>
      <c r="D152" s="34">
        <v>42</v>
      </c>
      <c r="E152" s="34"/>
      <c r="F152" s="34"/>
      <c r="G152" s="63">
        <f t="shared" si="2"/>
        <v>8.5714285714285712</v>
      </c>
      <c r="H152" s="63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3">
      <c r="A153" s="38">
        <v>12133121122</v>
      </c>
      <c r="B153" s="38" t="s">
        <v>1035</v>
      </c>
      <c r="C153" s="33">
        <v>2</v>
      </c>
      <c r="D153" s="34">
        <v>42</v>
      </c>
      <c r="E153" s="34"/>
      <c r="F153" s="34"/>
      <c r="G153" s="63">
        <f t="shared" si="2"/>
        <v>8.5714285714285712</v>
      </c>
      <c r="H153" s="63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3">
      <c r="A154" s="38">
        <v>3289834190</v>
      </c>
      <c r="B154" s="38" t="s">
        <v>1036</v>
      </c>
      <c r="C154" s="33">
        <v>2</v>
      </c>
      <c r="D154" s="34">
        <v>84</v>
      </c>
      <c r="E154" s="34"/>
      <c r="F154" s="34"/>
      <c r="G154" s="63">
        <f t="shared" si="2"/>
        <v>4.2857142857142856</v>
      </c>
      <c r="H154" s="63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3">
      <c r="A155" s="38">
        <v>5950945190</v>
      </c>
      <c r="B155" s="38" t="s">
        <v>1037</v>
      </c>
      <c r="C155" s="33">
        <v>2</v>
      </c>
      <c r="D155" s="34">
        <v>56</v>
      </c>
      <c r="E155" s="34"/>
      <c r="F155" s="34"/>
      <c r="G155" s="63">
        <f t="shared" si="2"/>
        <v>6.4285714285714288</v>
      </c>
      <c r="H155" s="63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3">
      <c r="A156" s="38">
        <v>8333637190</v>
      </c>
      <c r="B156" s="38" t="s">
        <v>1038</v>
      </c>
      <c r="C156" s="33">
        <v>2</v>
      </c>
      <c r="D156" s="34">
        <v>28</v>
      </c>
      <c r="E156" s="34"/>
      <c r="F156" s="34"/>
      <c r="G156" s="63">
        <f t="shared" si="2"/>
        <v>12.857142857142858</v>
      </c>
      <c r="H156" s="63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3">
      <c r="A157" s="38">
        <v>6505970190</v>
      </c>
      <c r="B157" s="38" t="s">
        <v>1039</v>
      </c>
      <c r="C157" s="33">
        <v>2</v>
      </c>
      <c r="D157" s="34">
        <v>56</v>
      </c>
      <c r="E157" s="34"/>
      <c r="F157" s="34"/>
      <c r="G157" s="63">
        <f t="shared" si="2"/>
        <v>6.4285714285714288</v>
      </c>
      <c r="H157" s="63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3">
      <c r="A158" s="38">
        <v>7126999190</v>
      </c>
      <c r="B158" s="38" t="s">
        <v>1040</v>
      </c>
      <c r="C158" s="33">
        <v>2</v>
      </c>
      <c r="D158" s="34">
        <v>28</v>
      </c>
      <c r="E158" s="34"/>
      <c r="F158" s="34"/>
      <c r="G158" s="63">
        <f t="shared" si="2"/>
        <v>12.857142857142858</v>
      </c>
      <c r="H158" s="63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3">
      <c r="A159" s="38">
        <v>11820907322</v>
      </c>
      <c r="B159" s="38" t="s">
        <v>1041</v>
      </c>
      <c r="C159" s="33">
        <v>2</v>
      </c>
      <c r="D159" s="34">
        <v>56</v>
      </c>
      <c r="E159" s="34"/>
      <c r="F159" s="34"/>
      <c r="G159" s="63">
        <f t="shared" si="2"/>
        <v>6.4285714285714288</v>
      </c>
      <c r="H159" s="63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3">
      <c r="A160" s="38">
        <v>7394667190</v>
      </c>
      <c r="B160" s="38" t="s">
        <v>1042</v>
      </c>
      <c r="C160" s="33">
        <v>2</v>
      </c>
      <c r="D160" s="34">
        <v>84</v>
      </c>
      <c r="E160" s="34"/>
      <c r="F160" s="34"/>
      <c r="G160" s="63">
        <f t="shared" si="2"/>
        <v>4.2857142857142856</v>
      </c>
      <c r="H160" s="63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3">
      <c r="A161" s="38">
        <v>7394675190</v>
      </c>
      <c r="B161" s="38" t="s">
        <v>1043</v>
      </c>
      <c r="C161" s="33">
        <v>2</v>
      </c>
      <c r="D161" s="34">
        <v>84</v>
      </c>
      <c r="E161" s="34"/>
      <c r="F161" s="34"/>
      <c r="G161" s="63">
        <f t="shared" si="2"/>
        <v>4.2857142857142856</v>
      </c>
      <c r="H161" s="63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3">
      <c r="A162" s="38">
        <v>7125941190</v>
      </c>
      <c r="B162" s="38" t="s">
        <v>1044</v>
      </c>
      <c r="C162" s="33">
        <v>2</v>
      </c>
      <c r="D162" s="34">
        <v>56</v>
      </c>
      <c r="E162" s="34"/>
      <c r="F162" s="34"/>
      <c r="G162" s="63">
        <f t="shared" si="2"/>
        <v>6.4285714285714288</v>
      </c>
      <c r="H162" s="63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3">
      <c r="A163" s="38">
        <v>9315373190</v>
      </c>
      <c r="B163" s="38" t="s">
        <v>1045</v>
      </c>
      <c r="C163" s="33">
        <v>2</v>
      </c>
      <c r="D163" s="34">
        <v>84</v>
      </c>
      <c r="E163" s="34"/>
      <c r="F163" s="34"/>
      <c r="G163" s="63">
        <f t="shared" si="2"/>
        <v>4.2857142857142856</v>
      </c>
      <c r="H163" s="63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3">
      <c r="A164" s="38">
        <v>7439547190</v>
      </c>
      <c r="B164" s="38" t="s">
        <v>1046</v>
      </c>
      <c r="C164" s="33">
        <v>2</v>
      </c>
      <c r="D164" s="34">
        <v>84</v>
      </c>
      <c r="E164" s="34"/>
      <c r="F164" s="34"/>
      <c r="G164" s="63">
        <f t="shared" si="2"/>
        <v>4.2857142857142856</v>
      </c>
      <c r="H164" s="63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3">
      <c r="A165" s="196" t="s">
        <v>1047</v>
      </c>
      <c r="B165" s="197" t="s">
        <v>1048</v>
      </c>
      <c r="C165" s="33">
        <v>2</v>
      </c>
      <c r="D165" s="34">
        <v>84</v>
      </c>
      <c r="E165" s="34"/>
      <c r="F165" s="34"/>
      <c r="G165" s="63">
        <f t="shared" si="2"/>
        <v>4.2857142857142856</v>
      </c>
      <c r="H165" s="63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3">
      <c r="A166" s="38">
        <v>9005684190</v>
      </c>
      <c r="B166" s="38" t="s">
        <v>1049</v>
      </c>
      <c r="C166" s="33">
        <v>2</v>
      </c>
      <c r="D166" s="34">
        <v>84</v>
      </c>
      <c r="E166" s="34"/>
      <c r="F166" s="34"/>
      <c r="G166" s="63">
        <f t="shared" si="2"/>
        <v>4.2857142857142856</v>
      </c>
      <c r="H166" s="63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3">
      <c r="A167" s="38">
        <v>5109469190</v>
      </c>
      <c r="B167" s="38" t="s">
        <v>1050</v>
      </c>
      <c r="C167" s="33">
        <v>2</v>
      </c>
      <c r="D167" s="34">
        <v>84</v>
      </c>
      <c r="E167" s="34"/>
      <c r="F167" s="34"/>
      <c r="G167" s="63">
        <f t="shared" si="2"/>
        <v>4.2857142857142856</v>
      </c>
      <c r="H167" s="63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3">
      <c r="A168" s="38">
        <v>3737586190</v>
      </c>
      <c r="B168" s="38" t="s">
        <v>1051</v>
      </c>
      <c r="C168" s="33">
        <v>2</v>
      </c>
      <c r="D168" s="34">
        <v>84</v>
      </c>
      <c r="E168" s="34"/>
      <c r="F168" s="34"/>
      <c r="G168" s="63">
        <f t="shared" si="2"/>
        <v>4.2857142857142856</v>
      </c>
      <c r="H168" s="63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3">
      <c r="A169" s="38">
        <v>7396473190</v>
      </c>
      <c r="B169" s="38" t="s">
        <v>1052</v>
      </c>
      <c r="C169" s="33">
        <v>2</v>
      </c>
      <c r="D169" s="34">
        <v>84</v>
      </c>
      <c r="E169" s="34"/>
      <c r="F169" s="34"/>
      <c r="G169" s="63">
        <f t="shared" si="2"/>
        <v>4.2857142857142856</v>
      </c>
      <c r="H169" s="63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3">
      <c r="A170" s="38">
        <v>7212780190</v>
      </c>
      <c r="B170" s="38" t="s">
        <v>1053</v>
      </c>
      <c r="C170" s="33">
        <v>2</v>
      </c>
      <c r="D170" s="34">
        <v>84</v>
      </c>
      <c r="E170" s="34"/>
      <c r="F170" s="34"/>
      <c r="G170" s="63">
        <f t="shared" si="2"/>
        <v>4.2857142857142856</v>
      </c>
      <c r="H170" s="63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3">
      <c r="A171" s="38">
        <v>7726350190</v>
      </c>
      <c r="B171" s="38" t="s">
        <v>1054</v>
      </c>
      <c r="C171" s="33">
        <v>2</v>
      </c>
      <c r="D171" s="34">
        <v>31</v>
      </c>
      <c r="E171" s="34"/>
      <c r="F171" s="34"/>
      <c r="G171" s="63">
        <f t="shared" si="2"/>
        <v>11.612903225806452</v>
      </c>
      <c r="H171" s="63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3">
      <c r="A172" s="38">
        <v>11930427122</v>
      </c>
      <c r="B172" s="38" t="s">
        <v>1055</v>
      </c>
      <c r="C172" s="33">
        <v>2</v>
      </c>
      <c r="D172" s="34">
        <v>84</v>
      </c>
      <c r="E172" s="34"/>
      <c r="F172" s="34"/>
      <c r="G172" s="63">
        <f t="shared" si="2"/>
        <v>4.2857142857142856</v>
      </c>
      <c r="H172" s="63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3">
      <c r="A173" s="38">
        <v>8243891190</v>
      </c>
      <c r="B173" s="38" t="s">
        <v>1056</v>
      </c>
      <c r="C173" s="33">
        <v>2</v>
      </c>
      <c r="D173" s="34">
        <v>84</v>
      </c>
      <c r="E173" s="34"/>
      <c r="F173" s="34"/>
      <c r="G173" s="63">
        <f t="shared" si="2"/>
        <v>4.2857142857142856</v>
      </c>
      <c r="H173" s="63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3">
      <c r="A174" s="38">
        <v>5608554190</v>
      </c>
      <c r="B174" s="38" t="s">
        <v>1057</v>
      </c>
      <c r="C174" s="33">
        <v>2</v>
      </c>
      <c r="D174" s="34">
        <v>90</v>
      </c>
      <c r="E174" s="34"/>
      <c r="F174" s="34"/>
      <c r="G174" s="63">
        <f t="shared" si="2"/>
        <v>4</v>
      </c>
      <c r="H174" s="63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3">
      <c r="A175" s="38">
        <v>3141080190</v>
      </c>
      <c r="B175" s="38" t="s">
        <v>1058</v>
      </c>
      <c r="C175" s="33">
        <v>2</v>
      </c>
      <c r="D175" s="34">
        <v>84</v>
      </c>
      <c r="E175" s="34"/>
      <c r="F175" s="34"/>
      <c r="G175" s="63">
        <f t="shared" si="2"/>
        <v>4.2857142857142856</v>
      </c>
      <c r="H175" s="63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3">
      <c r="A176" s="38">
        <v>11972316122</v>
      </c>
      <c r="B176" s="38" t="s">
        <v>1059</v>
      </c>
      <c r="C176" s="33">
        <v>2</v>
      </c>
      <c r="D176" s="34">
        <v>84</v>
      </c>
      <c r="E176" s="34"/>
      <c r="F176" s="34"/>
      <c r="G176" s="63">
        <f t="shared" si="2"/>
        <v>4.2857142857142856</v>
      </c>
      <c r="H176" s="63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3">
      <c r="A177" s="38">
        <v>11972111122</v>
      </c>
      <c r="B177" s="38" t="s">
        <v>1060</v>
      </c>
      <c r="C177" s="33">
        <v>2</v>
      </c>
      <c r="D177" s="34">
        <v>84</v>
      </c>
      <c r="E177" s="34"/>
      <c r="F177" s="34"/>
      <c r="G177" s="63">
        <f t="shared" si="2"/>
        <v>4.2857142857142856</v>
      </c>
      <c r="H177" s="63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3">
      <c r="A178" s="38">
        <v>9038116190</v>
      </c>
      <c r="B178" s="38" t="s">
        <v>1061</v>
      </c>
      <c r="C178" s="33">
        <v>2</v>
      </c>
      <c r="D178" s="34">
        <v>84</v>
      </c>
      <c r="E178" s="34"/>
      <c r="F178" s="34"/>
      <c r="G178" s="63">
        <f t="shared" si="2"/>
        <v>4.2857142857142856</v>
      </c>
      <c r="H178" s="63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3">
      <c r="A179" s="38">
        <v>7475969190</v>
      </c>
      <c r="B179" s="38" t="s">
        <v>1062</v>
      </c>
      <c r="C179" s="33">
        <v>2</v>
      </c>
      <c r="D179" s="34">
        <v>31</v>
      </c>
      <c r="E179" s="34"/>
      <c r="F179" s="34"/>
      <c r="G179" s="63">
        <f t="shared" si="2"/>
        <v>11.612903225806452</v>
      </c>
      <c r="H179" s="63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3">
      <c r="A180" s="38">
        <v>7574762190</v>
      </c>
      <c r="B180" s="38" t="s">
        <v>1063</v>
      </c>
      <c r="C180" s="33">
        <v>2</v>
      </c>
      <c r="D180" s="34">
        <v>84</v>
      </c>
      <c r="E180" s="34"/>
      <c r="F180" s="34"/>
      <c r="G180" s="63">
        <f t="shared" si="2"/>
        <v>4.2857142857142856</v>
      </c>
      <c r="H180" s="63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3">
      <c r="A181" s="38">
        <v>9289291190</v>
      </c>
      <c r="B181" s="38" t="s">
        <v>1064</v>
      </c>
      <c r="C181" s="33">
        <v>2</v>
      </c>
      <c r="D181" s="34">
        <v>84</v>
      </c>
      <c r="E181" s="34"/>
      <c r="F181" s="34"/>
      <c r="G181" s="63">
        <f t="shared" si="2"/>
        <v>4.2857142857142856</v>
      </c>
      <c r="H181" s="63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3">
      <c r="A182" s="38">
        <v>5889022190</v>
      </c>
      <c r="B182" s="38" t="s">
        <v>1065</v>
      </c>
      <c r="C182" s="33">
        <v>3</v>
      </c>
      <c r="D182" s="34">
        <v>28</v>
      </c>
      <c r="E182" s="34"/>
      <c r="F182" s="34"/>
      <c r="G182" s="63">
        <f t="shared" si="2"/>
        <v>12.857142857142858</v>
      </c>
      <c r="H182" s="63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3">
      <c r="A183" s="38">
        <v>6633196190</v>
      </c>
      <c r="B183" s="38" t="s">
        <v>1066</v>
      </c>
      <c r="C183" s="33">
        <v>3</v>
      </c>
      <c r="D183" s="34">
        <v>28</v>
      </c>
      <c r="E183" s="34"/>
      <c r="F183" s="34"/>
      <c r="G183" s="63">
        <f t="shared" si="2"/>
        <v>12.857142857142858</v>
      </c>
      <c r="H183" s="63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3">
      <c r="A184" s="38">
        <v>6327982190</v>
      </c>
      <c r="B184" s="38" t="s">
        <v>1067</v>
      </c>
      <c r="C184" s="33">
        <v>3</v>
      </c>
      <c r="D184" s="34">
        <v>28</v>
      </c>
      <c r="E184" s="34"/>
      <c r="F184" s="34"/>
      <c r="G184" s="63">
        <f t="shared" si="2"/>
        <v>12.857142857142858</v>
      </c>
      <c r="H184" s="63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3">
      <c r="A185" s="38">
        <v>5889065190</v>
      </c>
      <c r="B185" s="38" t="s">
        <v>1068</v>
      </c>
      <c r="C185" s="33">
        <v>3</v>
      </c>
      <c r="D185" s="34">
        <v>28</v>
      </c>
      <c r="E185" s="34"/>
      <c r="F185" s="34"/>
      <c r="G185" s="63">
        <f t="shared" si="2"/>
        <v>12.857142857142858</v>
      </c>
      <c r="H185" s="63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3">
      <c r="A186" s="202" t="s">
        <v>323</v>
      </c>
      <c r="B186" s="218"/>
      <c r="C186" s="171" t="s">
        <v>996</v>
      </c>
      <c r="D186" s="189" t="s">
        <v>136</v>
      </c>
      <c r="E186" s="202"/>
      <c r="F186" s="202" t="s">
        <v>138</v>
      </c>
      <c r="G186" s="203" t="s">
        <v>139</v>
      </c>
      <c r="H186" s="203" t="s">
        <v>140</v>
      </c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3">
      <c r="A187" s="38">
        <v>11731416190</v>
      </c>
      <c r="B187" s="38" t="s">
        <v>677</v>
      </c>
      <c r="C187" s="33">
        <v>2</v>
      </c>
      <c r="D187" s="34">
        <v>28</v>
      </c>
      <c r="E187" s="34"/>
      <c r="F187" s="34"/>
      <c r="G187" s="63">
        <f t="shared" ref="G187:G234" si="3">(360/D187)</f>
        <v>12.857142857142858</v>
      </c>
      <c r="H187" s="63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3">
      <c r="A188" s="38">
        <v>8740062190</v>
      </c>
      <c r="B188" s="38" t="s">
        <v>635</v>
      </c>
      <c r="C188" s="33">
        <v>2</v>
      </c>
      <c r="D188" s="34">
        <v>84</v>
      </c>
      <c r="E188" s="34"/>
      <c r="F188" s="34"/>
      <c r="G188" s="63">
        <f t="shared" si="3"/>
        <v>4.2857142857142856</v>
      </c>
      <c r="H188" s="63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3">
      <c r="A189" s="38">
        <v>5341787190</v>
      </c>
      <c r="B189" s="38" t="s">
        <v>665</v>
      </c>
      <c r="C189" s="33">
        <v>3</v>
      </c>
      <c r="D189" s="34">
        <v>31</v>
      </c>
      <c r="E189" s="34"/>
      <c r="F189" s="34"/>
      <c r="G189" s="63">
        <f t="shared" si="3"/>
        <v>11.612903225806452</v>
      </c>
      <c r="H189" s="63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3">
      <c r="A190" s="38">
        <v>6687776190</v>
      </c>
      <c r="B190" s="38" t="s">
        <v>1069</v>
      </c>
      <c r="C190" s="33">
        <v>2</v>
      </c>
      <c r="D190" s="34">
        <v>28</v>
      </c>
      <c r="E190" s="34"/>
      <c r="F190" s="34"/>
      <c r="G190" s="63">
        <f t="shared" si="3"/>
        <v>12.857142857142858</v>
      </c>
      <c r="H190" s="63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3">
      <c r="A191" s="38">
        <v>11776452122</v>
      </c>
      <c r="B191" s="38" t="s">
        <v>676</v>
      </c>
      <c r="C191" s="33">
        <v>2</v>
      </c>
      <c r="D191" s="34">
        <v>28</v>
      </c>
      <c r="E191" s="34"/>
      <c r="F191" s="34"/>
      <c r="G191" s="63">
        <f t="shared" si="3"/>
        <v>12.857142857142858</v>
      </c>
      <c r="H191" s="63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3">
      <c r="A192" s="38">
        <v>7713223190</v>
      </c>
      <c r="B192" s="38" t="s">
        <v>1070</v>
      </c>
      <c r="C192" s="33">
        <v>2</v>
      </c>
      <c r="D192" s="34">
        <v>31</v>
      </c>
      <c r="E192" s="34"/>
      <c r="F192" s="34"/>
      <c r="G192" s="63">
        <f t="shared" si="3"/>
        <v>11.612903225806452</v>
      </c>
      <c r="H192" s="63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3">
      <c r="A193" s="11">
        <v>4917049190</v>
      </c>
      <c r="B193" s="11" t="s">
        <v>647</v>
      </c>
      <c r="C193" s="33">
        <v>2</v>
      </c>
      <c r="D193" s="34">
        <v>84</v>
      </c>
      <c r="E193" s="34"/>
      <c r="F193" s="34"/>
      <c r="G193" s="63">
        <f t="shared" si="3"/>
        <v>4.2857142857142856</v>
      </c>
      <c r="H193" s="63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3">
      <c r="A194" s="11">
        <v>5095107190</v>
      </c>
      <c r="B194" s="38" t="s">
        <v>675</v>
      </c>
      <c r="C194" s="33">
        <v>2</v>
      </c>
      <c r="D194" s="34">
        <v>84</v>
      </c>
      <c r="E194" s="34"/>
      <c r="F194" s="34"/>
      <c r="G194" s="63">
        <f t="shared" si="3"/>
        <v>4.2857142857142856</v>
      </c>
      <c r="H194" s="63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3">
      <c r="A195" s="11">
        <v>5042666191</v>
      </c>
      <c r="B195" s="38" t="s">
        <v>671</v>
      </c>
      <c r="C195" s="33">
        <v>2</v>
      </c>
      <c r="D195" s="34">
        <v>28</v>
      </c>
      <c r="E195" s="34"/>
      <c r="F195" s="34"/>
      <c r="G195" s="63">
        <f t="shared" si="3"/>
        <v>12.857142857142858</v>
      </c>
      <c r="H195" s="63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3">
      <c r="A196" s="11">
        <v>7957211190</v>
      </c>
      <c r="B196" s="38" t="s">
        <v>637</v>
      </c>
      <c r="C196" s="33">
        <v>2</v>
      </c>
      <c r="D196" s="34">
        <v>28</v>
      </c>
      <c r="E196" s="34"/>
      <c r="F196" s="34"/>
      <c r="G196" s="63">
        <f t="shared" si="3"/>
        <v>12.857142857142858</v>
      </c>
      <c r="H196" s="63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3">
      <c r="A197" s="11">
        <v>5950953190</v>
      </c>
      <c r="B197" s="38" t="s">
        <v>658</v>
      </c>
      <c r="C197" s="33">
        <v>2</v>
      </c>
      <c r="D197" s="34">
        <v>28</v>
      </c>
      <c r="E197" s="34"/>
      <c r="F197" s="34"/>
      <c r="G197" s="63">
        <f t="shared" si="3"/>
        <v>12.857142857142858</v>
      </c>
      <c r="H197" s="63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3">
      <c r="A198" s="11">
        <v>8333645190</v>
      </c>
      <c r="B198" s="38" t="s">
        <v>1071</v>
      </c>
      <c r="C198" s="33">
        <v>2</v>
      </c>
      <c r="D198" s="34">
        <v>28</v>
      </c>
      <c r="E198" s="34"/>
      <c r="F198" s="34"/>
      <c r="G198" s="63">
        <f t="shared" si="3"/>
        <v>12.857142857142858</v>
      </c>
      <c r="H198" s="63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3">
      <c r="A199" s="11">
        <v>6505988190</v>
      </c>
      <c r="B199" s="38" t="s">
        <v>666</v>
      </c>
      <c r="C199" s="33">
        <v>2</v>
      </c>
      <c r="D199" s="34">
        <v>28</v>
      </c>
      <c r="E199" s="34"/>
      <c r="F199" s="34"/>
      <c r="G199" s="63">
        <f t="shared" si="3"/>
        <v>12.857142857142858</v>
      </c>
      <c r="H199" s="63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3">
      <c r="A200" s="11">
        <v>7360070190</v>
      </c>
      <c r="B200" s="38" t="s">
        <v>663</v>
      </c>
      <c r="C200" s="33">
        <v>2</v>
      </c>
      <c r="D200" s="34">
        <v>28</v>
      </c>
      <c r="E200" s="34"/>
      <c r="F200" s="34"/>
      <c r="G200" s="63">
        <f t="shared" si="3"/>
        <v>12.857142857142858</v>
      </c>
      <c r="H200" s="63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3">
      <c r="A201" s="12">
        <v>5618860190</v>
      </c>
      <c r="B201" s="38" t="s">
        <v>678</v>
      </c>
      <c r="C201" s="33">
        <v>2</v>
      </c>
      <c r="D201" s="34">
        <v>31</v>
      </c>
      <c r="E201" s="34"/>
      <c r="F201" s="34"/>
      <c r="G201" s="63">
        <f t="shared" si="3"/>
        <v>11.612903225806452</v>
      </c>
      <c r="H201" s="63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3">
      <c r="A202" s="11">
        <v>5031664190</v>
      </c>
      <c r="B202" s="38" t="s">
        <v>638</v>
      </c>
      <c r="C202" s="33">
        <v>2</v>
      </c>
      <c r="D202" s="34">
        <v>28</v>
      </c>
      <c r="E202" s="34"/>
      <c r="F202" s="34"/>
      <c r="G202" s="63">
        <f t="shared" si="3"/>
        <v>12.857142857142858</v>
      </c>
      <c r="H202" s="63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3">
      <c r="A203" s="11">
        <v>9038124190</v>
      </c>
      <c r="B203" s="38" t="s">
        <v>679</v>
      </c>
      <c r="C203" s="33">
        <v>3</v>
      </c>
      <c r="D203" s="34">
        <v>31</v>
      </c>
      <c r="E203" s="34"/>
      <c r="F203" s="34"/>
      <c r="G203" s="63">
        <f t="shared" si="3"/>
        <v>11.612903225806452</v>
      </c>
      <c r="H203" s="63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3">
      <c r="A204" s="11">
        <v>7476108190</v>
      </c>
      <c r="B204" s="38" t="s">
        <v>654</v>
      </c>
      <c r="C204" s="33">
        <v>2</v>
      </c>
      <c r="D204" s="34">
        <v>31</v>
      </c>
      <c r="E204" s="34"/>
      <c r="F204" s="34"/>
      <c r="G204" s="63">
        <f t="shared" si="3"/>
        <v>11.612903225806452</v>
      </c>
      <c r="H204" s="63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3">
      <c r="A205" s="12">
        <v>6924107190</v>
      </c>
      <c r="B205" s="12" t="s">
        <v>659</v>
      </c>
      <c r="C205" s="33">
        <v>2</v>
      </c>
      <c r="D205" s="34">
        <v>84</v>
      </c>
      <c r="E205" s="34"/>
      <c r="F205" s="34"/>
      <c r="G205" s="63">
        <f t="shared" si="3"/>
        <v>4.2857142857142856</v>
      </c>
      <c r="H205" s="63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3">
      <c r="A206" s="12">
        <v>8335923190</v>
      </c>
      <c r="B206" s="12" t="s">
        <v>634</v>
      </c>
      <c r="C206" s="33">
        <v>5</v>
      </c>
      <c r="D206" s="34">
        <v>56</v>
      </c>
      <c r="E206" s="34"/>
      <c r="F206" s="34"/>
      <c r="G206" s="63">
        <f t="shared" si="3"/>
        <v>6.4285714285714288</v>
      </c>
      <c r="H206" s="63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3">
      <c r="A207" s="12">
        <v>8086672190</v>
      </c>
      <c r="B207" s="12" t="s">
        <v>640</v>
      </c>
      <c r="C207" s="33">
        <v>8</v>
      </c>
      <c r="D207" s="34">
        <v>56</v>
      </c>
      <c r="E207" s="34"/>
      <c r="F207" s="34"/>
      <c r="G207" s="63">
        <f t="shared" si="3"/>
        <v>6.4285714285714288</v>
      </c>
      <c r="H207" s="63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3">
      <c r="A208" s="12">
        <v>11876368122</v>
      </c>
      <c r="B208" s="12" t="s">
        <v>639</v>
      </c>
      <c r="C208" s="33">
        <v>8</v>
      </c>
      <c r="D208" s="34">
        <v>56</v>
      </c>
      <c r="E208" s="34"/>
      <c r="F208" s="34"/>
      <c r="G208" s="63">
        <f t="shared" si="3"/>
        <v>6.4285714285714288</v>
      </c>
      <c r="H208" s="63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3">
      <c r="A209" s="12">
        <v>4687876190</v>
      </c>
      <c r="B209" s="12" t="s">
        <v>656</v>
      </c>
      <c r="C209" s="33">
        <v>8</v>
      </c>
      <c r="D209" s="34">
        <v>56</v>
      </c>
      <c r="E209" s="34"/>
      <c r="F209" s="34"/>
      <c r="G209" s="63">
        <f t="shared" si="3"/>
        <v>6.4285714285714288</v>
      </c>
      <c r="H209" s="63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3">
      <c r="A210" s="12">
        <v>11876317122</v>
      </c>
      <c r="B210" s="12" t="s">
        <v>644</v>
      </c>
      <c r="C210" s="33">
        <v>8</v>
      </c>
      <c r="D210" s="34">
        <v>56</v>
      </c>
      <c r="E210" s="34"/>
      <c r="F210" s="34"/>
      <c r="G210" s="63">
        <f t="shared" si="3"/>
        <v>6.4285714285714288</v>
      </c>
      <c r="H210" s="63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3">
      <c r="A211" s="12">
        <v>11876376122</v>
      </c>
      <c r="B211" s="12" t="s">
        <v>655</v>
      </c>
      <c r="C211" s="33">
        <v>8</v>
      </c>
      <c r="D211" s="34">
        <v>56</v>
      </c>
      <c r="E211" s="34"/>
      <c r="F211" s="34"/>
      <c r="G211" s="63">
        <f t="shared" si="3"/>
        <v>6.4285714285714288</v>
      </c>
      <c r="H211" s="63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3">
      <c r="A212" s="12">
        <v>11876384122</v>
      </c>
      <c r="B212" s="12" t="s">
        <v>643</v>
      </c>
      <c r="C212" s="33">
        <v>8</v>
      </c>
      <c r="D212" s="34">
        <v>56</v>
      </c>
      <c r="E212" s="34"/>
      <c r="F212" s="34"/>
      <c r="G212" s="63">
        <f t="shared" si="3"/>
        <v>6.4285714285714288</v>
      </c>
      <c r="H212" s="63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3">
      <c r="A213" s="12">
        <v>4927931190</v>
      </c>
      <c r="B213" s="12" t="s">
        <v>642</v>
      </c>
      <c r="C213" s="33">
        <v>8</v>
      </c>
      <c r="D213" s="34">
        <v>56</v>
      </c>
      <c r="E213" s="34"/>
      <c r="F213" s="34"/>
      <c r="G213" s="63">
        <f t="shared" si="3"/>
        <v>6.4285714285714288</v>
      </c>
      <c r="H213" s="63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3">
      <c r="A214" s="12">
        <v>11876333122</v>
      </c>
      <c r="B214" s="12" t="s">
        <v>641</v>
      </c>
      <c r="C214" s="33">
        <v>8</v>
      </c>
      <c r="D214" s="34">
        <v>56</v>
      </c>
      <c r="E214" s="34"/>
      <c r="F214" s="34"/>
      <c r="G214" s="63">
        <f t="shared" si="3"/>
        <v>6.4285714285714288</v>
      </c>
      <c r="H214" s="63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3">
      <c r="A215" s="12">
        <v>3290379190</v>
      </c>
      <c r="B215" s="12" t="s">
        <v>645</v>
      </c>
      <c r="C215" s="33">
        <v>8</v>
      </c>
      <c r="D215" s="34">
        <v>56</v>
      </c>
      <c r="E215" s="34"/>
      <c r="F215" s="34"/>
      <c r="G215" s="63">
        <f t="shared" si="3"/>
        <v>6.4285714285714288</v>
      </c>
      <c r="H215" s="63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3">
      <c r="A216" s="172">
        <v>4618807190</v>
      </c>
      <c r="B216" s="61" t="s">
        <v>667</v>
      </c>
      <c r="C216" s="33">
        <v>8</v>
      </c>
      <c r="D216" s="34">
        <v>56</v>
      </c>
      <c r="E216" s="34"/>
      <c r="F216" s="34"/>
      <c r="G216" s="63">
        <f t="shared" si="3"/>
        <v>6.4285714285714288</v>
      </c>
      <c r="H216" s="63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3">
      <c r="A217" s="172">
        <v>4618840190</v>
      </c>
      <c r="B217" s="61" t="s">
        <v>668</v>
      </c>
      <c r="C217" s="33">
        <v>4</v>
      </c>
      <c r="D217" s="34">
        <v>56</v>
      </c>
      <c r="E217" s="34"/>
      <c r="F217" s="34"/>
      <c r="G217" s="63">
        <f t="shared" si="3"/>
        <v>6.4285714285714288</v>
      </c>
      <c r="H217" s="63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3">
      <c r="A218" s="172">
        <v>4618823190</v>
      </c>
      <c r="B218" s="61" t="s">
        <v>672</v>
      </c>
      <c r="C218" s="33">
        <v>8</v>
      </c>
      <c r="D218" s="34">
        <v>56</v>
      </c>
      <c r="E218" s="34"/>
      <c r="F218" s="34"/>
      <c r="G218" s="63">
        <f t="shared" si="3"/>
        <v>6.4285714285714288</v>
      </c>
      <c r="H218" s="63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3">
      <c r="A219" s="172">
        <v>5802580190</v>
      </c>
      <c r="B219" s="61" t="s">
        <v>673</v>
      </c>
      <c r="C219" s="33">
        <v>3</v>
      </c>
      <c r="D219" s="34">
        <v>56</v>
      </c>
      <c r="E219" s="34"/>
      <c r="F219" s="34"/>
      <c r="G219" s="63">
        <f t="shared" si="3"/>
        <v>6.4285714285714288</v>
      </c>
      <c r="H219" s="63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3">
      <c r="A220" s="172">
        <v>4618866190</v>
      </c>
      <c r="B220" s="61" t="s">
        <v>674</v>
      </c>
      <c r="C220" s="33">
        <v>8</v>
      </c>
      <c r="D220" s="34">
        <v>56</v>
      </c>
      <c r="E220" s="34"/>
      <c r="F220" s="34"/>
      <c r="G220" s="63">
        <f t="shared" si="3"/>
        <v>6.4285714285714288</v>
      </c>
      <c r="H220" s="63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3">
      <c r="A221" s="172">
        <v>4784600190</v>
      </c>
      <c r="B221" s="61" t="s">
        <v>649</v>
      </c>
      <c r="C221" s="33">
        <v>8</v>
      </c>
      <c r="D221" s="34">
        <v>56</v>
      </c>
      <c r="E221" s="34"/>
      <c r="F221" s="34"/>
      <c r="G221" s="63">
        <f t="shared" si="3"/>
        <v>6.4285714285714288</v>
      </c>
      <c r="H221" s="63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3">
      <c r="A222" s="172">
        <v>5942322190</v>
      </c>
      <c r="B222" s="61" t="s">
        <v>633</v>
      </c>
      <c r="C222" s="33">
        <v>3</v>
      </c>
      <c r="D222" s="34">
        <v>84</v>
      </c>
      <c r="E222" s="34"/>
      <c r="F222" s="34"/>
      <c r="G222" s="63">
        <f t="shared" si="3"/>
        <v>4.2857142857142856</v>
      </c>
      <c r="H222" s="63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3">
      <c r="A223" s="172">
        <v>4784626190</v>
      </c>
      <c r="B223" s="61" t="s">
        <v>650</v>
      </c>
      <c r="C223" s="33">
        <v>8</v>
      </c>
      <c r="D223" s="34">
        <v>56</v>
      </c>
      <c r="E223" s="34"/>
      <c r="F223" s="34"/>
      <c r="G223" s="63">
        <f t="shared" si="3"/>
        <v>6.4285714285714288</v>
      </c>
      <c r="H223" s="63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3">
      <c r="A224" s="172">
        <v>5572207190</v>
      </c>
      <c r="B224" s="61" t="s">
        <v>660</v>
      </c>
      <c r="C224" s="33">
        <v>2</v>
      </c>
      <c r="D224" s="34">
        <v>28</v>
      </c>
      <c r="E224" s="34"/>
      <c r="F224" s="34"/>
      <c r="G224" s="63">
        <f t="shared" si="3"/>
        <v>12.857142857142858</v>
      </c>
      <c r="H224" s="63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3">
      <c r="A225" s="172">
        <v>8355428190</v>
      </c>
      <c r="B225" s="61" t="s">
        <v>652</v>
      </c>
      <c r="C225" s="33">
        <v>2</v>
      </c>
      <c r="D225" s="34">
        <v>112</v>
      </c>
      <c r="E225" s="34"/>
      <c r="F225" s="34"/>
      <c r="G225" s="63">
        <f t="shared" si="3"/>
        <v>3.2142857142857144</v>
      </c>
      <c r="H225" s="63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3">
      <c r="A226" s="172">
        <v>8355436190</v>
      </c>
      <c r="B226" s="61" t="s">
        <v>651</v>
      </c>
      <c r="C226" s="33">
        <v>4</v>
      </c>
      <c r="D226" s="34">
        <v>112</v>
      </c>
      <c r="E226" s="34"/>
      <c r="F226" s="34"/>
      <c r="G226" s="63">
        <f t="shared" si="3"/>
        <v>3.2142857142857144</v>
      </c>
      <c r="H226" s="63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3">
      <c r="A227" s="172">
        <v>7108133190</v>
      </c>
      <c r="B227" s="61" t="s">
        <v>661</v>
      </c>
      <c r="C227" s="33">
        <v>2</v>
      </c>
      <c r="D227" s="34">
        <v>84</v>
      </c>
      <c r="E227" s="34"/>
      <c r="F227" s="34"/>
      <c r="G227" s="63">
        <f t="shared" si="3"/>
        <v>4.2857142857142856</v>
      </c>
      <c r="H227" s="63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3">
      <c r="A228" s="172">
        <v>6923364190</v>
      </c>
      <c r="B228" s="61" t="s">
        <v>670</v>
      </c>
      <c r="C228" s="33">
        <v>2</v>
      </c>
      <c r="D228" s="34">
        <v>168</v>
      </c>
      <c r="E228" s="34"/>
      <c r="F228" s="34"/>
      <c r="G228" s="63">
        <f t="shared" si="3"/>
        <v>2.1428571428571428</v>
      </c>
      <c r="H228" s="63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3">
      <c r="A229" s="172">
        <v>7092571190</v>
      </c>
      <c r="B229" s="61" t="s">
        <v>648</v>
      </c>
      <c r="C229" s="33">
        <v>8</v>
      </c>
      <c r="D229" s="34">
        <v>28</v>
      </c>
      <c r="E229" s="34"/>
      <c r="F229" s="34"/>
      <c r="G229" s="63">
        <f t="shared" si="3"/>
        <v>12.857142857142858</v>
      </c>
      <c r="H229" s="63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3">
      <c r="A230" s="172">
        <v>9216928190</v>
      </c>
      <c r="B230" s="61" t="s">
        <v>646</v>
      </c>
      <c r="C230" s="33">
        <v>2</v>
      </c>
      <c r="D230" s="34">
        <v>28</v>
      </c>
      <c r="E230" s="34"/>
      <c r="F230" s="34"/>
      <c r="G230" s="63">
        <f t="shared" si="3"/>
        <v>12.857142857142858</v>
      </c>
      <c r="H230" s="63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3">
      <c r="A231" s="172">
        <v>9289313190</v>
      </c>
      <c r="B231" s="61" t="s">
        <v>646</v>
      </c>
      <c r="C231" s="33">
        <v>2</v>
      </c>
      <c r="D231" s="34">
        <v>84</v>
      </c>
      <c r="E231" s="34"/>
      <c r="F231" s="34"/>
      <c r="G231" s="63">
        <f t="shared" si="3"/>
        <v>4.2857142857142856</v>
      </c>
      <c r="H231" s="63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3">
      <c r="A232" s="172">
        <v>9345302190</v>
      </c>
      <c r="B232" s="61" t="s">
        <v>669</v>
      </c>
      <c r="C232" s="33">
        <v>3</v>
      </c>
      <c r="D232" s="34">
        <v>21</v>
      </c>
      <c r="E232" s="34"/>
      <c r="F232" s="34"/>
      <c r="G232" s="63">
        <f t="shared" si="3"/>
        <v>17.142857142857142</v>
      </c>
      <c r="H232" s="63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3">
      <c r="A233" s="172">
        <v>5889081190</v>
      </c>
      <c r="B233" s="61" t="s">
        <v>662</v>
      </c>
      <c r="C233" s="33">
        <v>1</v>
      </c>
      <c r="D233" s="34">
        <v>28</v>
      </c>
      <c r="E233" s="34"/>
      <c r="F233" s="34"/>
      <c r="G233" s="63">
        <f t="shared" si="3"/>
        <v>12.857142857142858</v>
      </c>
      <c r="H233" s="63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3">
      <c r="A234" s="172">
        <v>7294131190</v>
      </c>
      <c r="B234" s="61" t="s">
        <v>653</v>
      </c>
      <c r="C234" s="33">
        <v>1</v>
      </c>
      <c r="D234" s="34">
        <v>28</v>
      </c>
      <c r="E234" s="34"/>
      <c r="F234" s="34"/>
      <c r="G234" s="63">
        <f t="shared" si="3"/>
        <v>12.857142857142858</v>
      </c>
      <c r="H234" s="63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3">
      <c r="A235" s="202" t="s">
        <v>224</v>
      </c>
      <c r="B235" s="218"/>
      <c r="C235" s="171" t="s">
        <v>996</v>
      </c>
      <c r="D235" s="189" t="s">
        <v>136</v>
      </c>
      <c r="E235" s="202"/>
      <c r="F235" s="202" t="s">
        <v>138</v>
      </c>
      <c r="G235" s="203" t="s">
        <v>139</v>
      </c>
      <c r="H235" s="203" t="s">
        <v>140</v>
      </c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3">
      <c r="A236" s="38">
        <v>5694302001</v>
      </c>
      <c r="B236" s="38" t="s">
        <v>1072</v>
      </c>
      <c r="C236" s="34">
        <v>1</v>
      </c>
      <c r="D236" s="34">
        <v>365</v>
      </c>
      <c r="E236" s="34"/>
      <c r="F236" s="34"/>
      <c r="G236" s="63">
        <f t="shared" ref="G236:G261" si="4">(360/D236)</f>
        <v>0.98630136986301364</v>
      </c>
      <c r="H236" s="63">
        <f t="shared" ref="H236:H261" si="5">IF(G236&gt;F236,G236,F236)</f>
        <v>0.98630136986301364</v>
      </c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3">
      <c r="A237" s="38">
        <v>7299010190</v>
      </c>
      <c r="B237" s="38" t="s">
        <v>1073</v>
      </c>
      <c r="C237" s="33">
        <v>1</v>
      </c>
      <c r="D237" s="34">
        <v>112</v>
      </c>
      <c r="E237" s="34"/>
      <c r="F237" s="34"/>
      <c r="G237" s="63">
        <f t="shared" si="4"/>
        <v>3.2142857142857144</v>
      </c>
      <c r="H237" s="63">
        <f t="shared" si="5"/>
        <v>3.2142857142857144</v>
      </c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3">
      <c r="A238" s="38">
        <v>7299001190</v>
      </c>
      <c r="B238" s="38" t="s">
        <v>1074</v>
      </c>
      <c r="C238" s="33">
        <v>1</v>
      </c>
      <c r="D238" s="34">
        <v>112</v>
      </c>
      <c r="E238" s="34"/>
      <c r="F238" s="34"/>
      <c r="G238" s="63">
        <f t="shared" si="4"/>
        <v>3.2142857142857144</v>
      </c>
      <c r="H238" s="63">
        <f t="shared" si="5"/>
        <v>3.2142857142857144</v>
      </c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3">
      <c r="A239" s="12">
        <v>9762582190</v>
      </c>
      <c r="B239" s="38" t="s">
        <v>1075</v>
      </c>
      <c r="C239" s="33">
        <v>1</v>
      </c>
      <c r="D239" s="34">
        <v>28</v>
      </c>
      <c r="E239" s="34"/>
      <c r="F239" s="34"/>
      <c r="G239" s="63">
        <f t="shared" si="4"/>
        <v>12.857142857142858</v>
      </c>
      <c r="H239" s="63">
        <f t="shared" si="5"/>
        <v>12.857142857142858</v>
      </c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3">
      <c r="A240" s="38">
        <v>6908853190</v>
      </c>
      <c r="B240" s="38" t="s">
        <v>1076</v>
      </c>
      <c r="C240" s="33">
        <v>2</v>
      </c>
      <c r="D240" s="34">
        <v>28</v>
      </c>
      <c r="E240" s="34"/>
      <c r="F240" s="34"/>
      <c r="G240" s="63">
        <f t="shared" si="4"/>
        <v>12.857142857142858</v>
      </c>
      <c r="H240" s="63">
        <f t="shared" si="5"/>
        <v>12.857142857142858</v>
      </c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3">
      <c r="A241" s="38">
        <v>6908853190</v>
      </c>
      <c r="B241" s="38" t="s">
        <v>1077</v>
      </c>
      <c r="C241" s="33">
        <v>2</v>
      </c>
      <c r="D241" s="34">
        <v>28</v>
      </c>
      <c r="E241" s="34"/>
      <c r="F241" s="34"/>
      <c r="G241" s="63">
        <f t="shared" si="4"/>
        <v>12.857142857142858</v>
      </c>
      <c r="H241" s="63">
        <f t="shared" si="5"/>
        <v>12.857142857142858</v>
      </c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3">
      <c r="A242" s="38">
        <v>4880293190</v>
      </c>
      <c r="B242" s="38" t="s">
        <v>1078</v>
      </c>
      <c r="C242" s="33">
        <v>2</v>
      </c>
      <c r="D242" s="34">
        <v>21</v>
      </c>
      <c r="E242" s="34"/>
      <c r="F242" s="34"/>
      <c r="G242" s="63">
        <f t="shared" si="4"/>
        <v>17.142857142857142</v>
      </c>
      <c r="H242" s="63">
        <f t="shared" si="5"/>
        <v>17.142857142857142</v>
      </c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3">
      <c r="A243" s="38">
        <v>4880293190</v>
      </c>
      <c r="B243" s="38" t="s">
        <v>1079</v>
      </c>
      <c r="C243" s="33">
        <v>2</v>
      </c>
      <c r="D243" s="34">
        <v>21</v>
      </c>
      <c r="E243" s="34"/>
      <c r="F243" s="34"/>
      <c r="G243" s="63">
        <f t="shared" si="4"/>
        <v>17.142857142857142</v>
      </c>
      <c r="H243" s="63">
        <f t="shared" si="5"/>
        <v>17.142857142857142</v>
      </c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3">
      <c r="A244" s="38">
        <v>6908799190</v>
      </c>
      <c r="B244" s="38" t="s">
        <v>1080</v>
      </c>
      <c r="C244" s="33">
        <v>2</v>
      </c>
      <c r="D244" s="34">
        <v>21</v>
      </c>
      <c r="E244" s="34"/>
      <c r="F244" s="34"/>
      <c r="G244" s="63">
        <f t="shared" si="4"/>
        <v>17.142857142857142</v>
      </c>
      <c r="H244" s="63">
        <f t="shared" si="5"/>
        <v>17.142857142857142</v>
      </c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3">
      <c r="A245" s="38">
        <v>6908799190</v>
      </c>
      <c r="B245" s="38" t="s">
        <v>1081</v>
      </c>
      <c r="C245" s="33">
        <v>2</v>
      </c>
      <c r="D245" s="34">
        <v>21</v>
      </c>
      <c r="E245" s="34"/>
      <c r="F245" s="34"/>
      <c r="G245" s="63">
        <f t="shared" si="4"/>
        <v>17.142857142857142</v>
      </c>
      <c r="H245" s="63">
        <f t="shared" si="5"/>
        <v>17.142857142857142</v>
      </c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3">
      <c r="A246" s="38">
        <v>7373066190</v>
      </c>
      <c r="B246" s="38" t="s">
        <v>1082</v>
      </c>
      <c r="C246" s="33">
        <v>1</v>
      </c>
      <c r="D246" s="34">
        <v>112</v>
      </c>
      <c r="E246" s="34"/>
      <c r="F246" s="34"/>
      <c r="G246" s="63">
        <f t="shared" si="4"/>
        <v>3.2142857142857144</v>
      </c>
      <c r="H246" s="63">
        <f t="shared" si="5"/>
        <v>3.2142857142857144</v>
      </c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3">
      <c r="A247" s="38">
        <v>7372990190</v>
      </c>
      <c r="B247" s="38" t="s">
        <v>1083</v>
      </c>
      <c r="C247" s="33">
        <v>1</v>
      </c>
      <c r="D247" s="34">
        <v>112</v>
      </c>
      <c r="E247" s="34"/>
      <c r="F247" s="34"/>
      <c r="G247" s="63">
        <f t="shared" si="4"/>
        <v>3.2142857142857144</v>
      </c>
      <c r="H247" s="63">
        <f t="shared" si="5"/>
        <v>3.2142857142857144</v>
      </c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3">
      <c r="A248" s="38">
        <v>5118506190</v>
      </c>
      <c r="B248" s="38" t="s">
        <v>1084</v>
      </c>
      <c r="C248" s="33">
        <v>2</v>
      </c>
      <c r="D248" s="34">
        <v>5</v>
      </c>
      <c r="E248" s="34"/>
      <c r="F248" s="34"/>
      <c r="G248" s="63">
        <f t="shared" si="4"/>
        <v>72</v>
      </c>
      <c r="H248" s="63">
        <f t="shared" si="5"/>
        <v>72</v>
      </c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3">
      <c r="A249" s="38">
        <v>4444191001</v>
      </c>
      <c r="B249" s="38" t="s">
        <v>682</v>
      </c>
      <c r="C249" s="34">
        <v>1</v>
      </c>
      <c r="D249" s="34">
        <v>365</v>
      </c>
      <c r="E249" s="34"/>
      <c r="F249" s="34"/>
      <c r="G249" s="63">
        <f t="shared" si="4"/>
        <v>0.98630136986301364</v>
      </c>
      <c r="H249" s="63">
        <f t="shared" si="5"/>
        <v>0.98630136986301364</v>
      </c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3">
      <c r="A250" s="38">
        <v>10394246001</v>
      </c>
      <c r="B250" s="38" t="s">
        <v>1085</v>
      </c>
      <c r="C250" s="34">
        <v>20</v>
      </c>
      <c r="D250" s="34">
        <v>365</v>
      </c>
      <c r="E250" s="34"/>
      <c r="F250" s="34"/>
      <c r="G250" s="63">
        <f t="shared" si="4"/>
        <v>0.98630136986301364</v>
      </c>
      <c r="H250" s="63">
        <f t="shared" si="5"/>
        <v>0.98630136986301364</v>
      </c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3">
      <c r="A251" s="172">
        <v>3142949122</v>
      </c>
      <c r="B251" s="61" t="s">
        <v>1086</v>
      </c>
      <c r="C251" s="33">
        <v>365</v>
      </c>
      <c r="D251" s="34">
        <v>1</v>
      </c>
      <c r="E251" s="34"/>
      <c r="F251" s="34"/>
      <c r="G251" s="63">
        <f t="shared" si="4"/>
        <v>360</v>
      </c>
      <c r="H251" s="63">
        <f t="shared" si="5"/>
        <v>360</v>
      </c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3">
      <c r="A252" s="172">
        <v>5889073190</v>
      </c>
      <c r="B252" s="61" t="s">
        <v>1087</v>
      </c>
      <c r="C252" s="33">
        <v>100</v>
      </c>
      <c r="D252" s="34">
        <v>84</v>
      </c>
      <c r="E252" s="34"/>
      <c r="F252" s="34"/>
      <c r="G252" s="63">
        <f t="shared" si="4"/>
        <v>4.2857142857142856</v>
      </c>
      <c r="H252" s="63">
        <f t="shared" si="5"/>
        <v>4.2857142857142856</v>
      </c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3">
      <c r="A253" s="172">
        <v>5944317190</v>
      </c>
      <c r="B253" s="61" t="s">
        <v>1088</v>
      </c>
      <c r="C253" s="33">
        <v>4</v>
      </c>
      <c r="D253" s="34">
        <v>14</v>
      </c>
      <c r="E253" s="34"/>
      <c r="F253" s="34"/>
      <c r="G253" s="63">
        <f t="shared" si="4"/>
        <v>25.714285714285715</v>
      </c>
      <c r="H253" s="63">
        <f t="shared" si="5"/>
        <v>25.714285714285715</v>
      </c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3">
      <c r="A254" s="172">
        <v>9370064190</v>
      </c>
      <c r="B254" s="61" t="s">
        <v>1089</v>
      </c>
      <c r="C254" s="33">
        <v>1</v>
      </c>
      <c r="D254" s="34">
        <v>28</v>
      </c>
      <c r="E254" s="34"/>
      <c r="F254" s="34"/>
      <c r="G254" s="63">
        <f t="shared" si="4"/>
        <v>12.857142857142858</v>
      </c>
      <c r="H254" s="63">
        <f t="shared" si="5"/>
        <v>12.857142857142858</v>
      </c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3">
      <c r="A255" s="172">
        <v>9370099190</v>
      </c>
      <c r="B255" s="61" t="s">
        <v>1090</v>
      </c>
      <c r="C255" s="33">
        <v>1</v>
      </c>
      <c r="D255" s="34">
        <v>28</v>
      </c>
      <c r="E255" s="34"/>
      <c r="F255" s="34"/>
      <c r="G255" s="63">
        <f t="shared" si="4"/>
        <v>12.857142857142858</v>
      </c>
      <c r="H255" s="63">
        <f t="shared" si="5"/>
        <v>12.857142857142858</v>
      </c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3">
      <c r="A256" s="172">
        <v>9127127190</v>
      </c>
      <c r="B256" s="61" t="s">
        <v>1091</v>
      </c>
      <c r="C256" s="33">
        <v>2</v>
      </c>
      <c r="D256" s="34">
        <v>56</v>
      </c>
      <c r="E256" s="34"/>
      <c r="F256" s="34"/>
      <c r="G256" s="63">
        <f t="shared" si="4"/>
        <v>6.4285714285714288</v>
      </c>
      <c r="H256" s="63">
        <f t="shared" si="5"/>
        <v>6.4285714285714288</v>
      </c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3">
      <c r="A257" s="38">
        <v>5870020001</v>
      </c>
      <c r="B257" s="38" t="s">
        <v>876</v>
      </c>
      <c r="C257" s="34">
        <v>1</v>
      </c>
      <c r="D257" s="34">
        <v>365</v>
      </c>
      <c r="E257" s="34"/>
      <c r="F257" s="34"/>
      <c r="G257" s="63">
        <f t="shared" si="4"/>
        <v>0.98630136986301364</v>
      </c>
      <c r="H257" s="63">
        <f t="shared" si="5"/>
        <v>0.98630136986301364</v>
      </c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3">
      <c r="A258" s="38">
        <v>4419987001</v>
      </c>
      <c r="B258" s="38" t="s">
        <v>878</v>
      </c>
      <c r="C258" s="34">
        <v>1</v>
      </c>
      <c r="D258" s="34">
        <v>365</v>
      </c>
      <c r="E258" s="34"/>
      <c r="F258" s="34"/>
      <c r="G258" s="63">
        <f t="shared" si="4"/>
        <v>0.98630136986301364</v>
      </c>
      <c r="H258" s="63">
        <f t="shared" si="5"/>
        <v>0.98630136986301364</v>
      </c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3">
      <c r="A259" s="38">
        <v>7485409001</v>
      </c>
      <c r="B259" s="38" t="s">
        <v>1092</v>
      </c>
      <c r="C259" s="34">
        <v>1</v>
      </c>
      <c r="D259" s="34">
        <v>365</v>
      </c>
      <c r="E259" s="34"/>
      <c r="F259" s="34"/>
      <c r="G259" s="63">
        <f t="shared" si="4"/>
        <v>0.98630136986301364</v>
      </c>
      <c r="H259" s="63">
        <f t="shared" si="5"/>
        <v>0.98630136986301364</v>
      </c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3">
      <c r="A260" s="38">
        <v>7485433001</v>
      </c>
      <c r="B260" s="38" t="s">
        <v>1093</v>
      </c>
      <c r="C260" s="34">
        <v>1</v>
      </c>
      <c r="D260" s="34">
        <v>365</v>
      </c>
      <c r="E260" s="34"/>
      <c r="F260" s="34"/>
      <c r="G260" s="63">
        <f t="shared" si="4"/>
        <v>0.98630136986301364</v>
      </c>
      <c r="H260" s="63">
        <f t="shared" si="5"/>
        <v>0.98630136986301364</v>
      </c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3">
      <c r="A261" s="38">
        <v>11298500316</v>
      </c>
      <c r="B261" s="38" t="s">
        <v>1094</v>
      </c>
      <c r="C261" s="34">
        <v>5</v>
      </c>
      <c r="D261" s="34">
        <v>73</v>
      </c>
      <c r="E261" s="34"/>
      <c r="F261" s="34"/>
      <c r="G261" s="63">
        <f t="shared" si="4"/>
        <v>4.9315068493150687</v>
      </c>
      <c r="H261" s="63">
        <f t="shared" si="5"/>
        <v>4.9315068493150687</v>
      </c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3">
      <c r="A262" s="2"/>
      <c r="B262" s="2"/>
      <c r="C262" s="22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3">
      <c r="A263" s="2"/>
      <c r="B263" s="2"/>
      <c r="C263" s="22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3">
      <c r="A264" s="2"/>
      <c r="B264" s="2"/>
      <c r="C264" s="22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3">
      <c r="A265" s="2"/>
      <c r="B265" s="2"/>
      <c r="C265" s="22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3">
      <c r="A266" s="2"/>
      <c r="B266" s="2"/>
      <c r="C266" s="22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3">
      <c r="A267" s="2"/>
      <c r="B267" s="2"/>
      <c r="C267" s="22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3">
      <c r="A268" s="2"/>
      <c r="B268" s="2"/>
      <c r="C268" s="22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3">
      <c r="A269" s="2"/>
      <c r="B269" s="2"/>
      <c r="C269" s="22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3">
      <c r="A270" s="2"/>
      <c r="B270" s="2"/>
      <c r="C270" s="22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3">
      <c r="A271" s="2"/>
      <c r="B271" s="2"/>
      <c r="C271" s="22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3">
      <c r="A272" s="2"/>
      <c r="B272" s="2"/>
      <c r="C272" s="22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3">
      <c r="A273" s="2"/>
      <c r="B273" s="2"/>
      <c r="C273" s="22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3">
      <c r="A274" s="2"/>
      <c r="B274" s="2"/>
      <c r="C274" s="22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3">
      <c r="A275" s="2"/>
      <c r="B275" s="2"/>
      <c r="C275" s="22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3">
      <c r="A276" s="2"/>
      <c r="B276" s="2"/>
      <c r="C276" s="22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3">
      <c r="A277" s="2"/>
      <c r="B277" s="2"/>
      <c r="C277" s="22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3">
      <c r="A278" s="2"/>
      <c r="B278" s="2"/>
      <c r="C278" s="22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3">
      <c r="A279" s="2"/>
      <c r="B279" s="2"/>
      <c r="C279" s="22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3">
      <c r="A280" s="2"/>
      <c r="B280" s="2"/>
      <c r="C280" s="22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3">
      <c r="A281" s="2"/>
      <c r="B281" s="2"/>
      <c r="C281" s="22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3">
      <c r="A282" s="2"/>
      <c r="B282" s="2"/>
      <c r="C282" s="22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3">
      <c r="A283" s="2"/>
      <c r="B283" s="2"/>
      <c r="C283" s="22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3">
      <c r="A284" s="2"/>
      <c r="B284" s="2"/>
      <c r="C284" s="22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3">
      <c r="A285" s="2"/>
      <c r="B285" s="2"/>
      <c r="C285" s="22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3">
      <c r="A286" s="2"/>
      <c r="B286" s="2"/>
      <c r="C286" s="22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3">
      <c r="A287" s="2"/>
      <c r="B287" s="2"/>
      <c r="C287" s="22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3">
      <c r="A288" s="2"/>
      <c r="B288" s="2"/>
      <c r="C288" s="22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3">
      <c r="A289" s="2"/>
      <c r="B289" s="2"/>
      <c r="C289" s="22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3">
      <c r="A290" s="2"/>
      <c r="B290" s="2"/>
      <c r="C290" s="22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3">
      <c r="A291" s="2"/>
      <c r="B291" s="2"/>
      <c r="C291" s="22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3">
      <c r="A292" s="2"/>
      <c r="B292" s="2"/>
      <c r="C292" s="22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3">
      <c r="A293" s="2"/>
      <c r="B293" s="2"/>
      <c r="C293" s="22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3">
      <c r="A294" s="2"/>
      <c r="B294" s="2"/>
      <c r="C294" s="22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3">
      <c r="A295" s="2"/>
      <c r="B295" s="2"/>
      <c r="C295" s="22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3">
      <c r="A296" s="2"/>
      <c r="B296" s="2"/>
      <c r="C296" s="22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3">
      <c r="A297" s="2"/>
      <c r="B297" s="2"/>
      <c r="C297" s="22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3">
      <c r="A298" s="2"/>
      <c r="B298" s="2"/>
      <c r="C298" s="22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3">
      <c r="A299" s="2"/>
      <c r="B299" s="2"/>
      <c r="C299" s="22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3">
      <c r="A300" s="2"/>
      <c r="B300" s="2"/>
      <c r="C300" s="22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3">
      <c r="A301" s="2"/>
      <c r="B301" s="2"/>
      <c r="C301" s="22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3">
      <c r="A302" s="2"/>
      <c r="B302" s="2"/>
      <c r="C302" s="22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3">
      <c r="A303" s="2"/>
      <c r="B303" s="2"/>
      <c r="C303" s="22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3">
      <c r="A304" s="2"/>
      <c r="B304" s="2"/>
      <c r="C304" s="22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3">
      <c r="A305" s="2"/>
      <c r="B305" s="2"/>
      <c r="C305" s="22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3">
      <c r="A306" s="2"/>
      <c r="B306" s="2"/>
      <c r="C306" s="22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3">
      <c r="A307" s="2"/>
      <c r="B307" s="2"/>
      <c r="C307" s="22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3">
      <c r="A308" s="2"/>
      <c r="B308" s="2"/>
      <c r="C308" s="22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3">
      <c r="A309" s="2"/>
      <c r="B309" s="2"/>
      <c r="C309" s="22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3">
      <c r="A310" s="2"/>
      <c r="B310" s="2"/>
      <c r="C310" s="22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3">
      <c r="A311" s="2"/>
      <c r="B311" s="2"/>
      <c r="C311" s="22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3">
      <c r="A312" s="2"/>
      <c r="B312" s="2"/>
      <c r="C312" s="22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3">
      <c r="A313" s="2"/>
      <c r="B313" s="2"/>
      <c r="C313" s="22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3">
      <c r="A314" s="2"/>
      <c r="B314" s="2"/>
      <c r="C314" s="22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3">
      <c r="A315" s="2"/>
      <c r="B315" s="2"/>
      <c r="C315" s="22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3">
      <c r="A316" s="2"/>
      <c r="B316" s="2"/>
      <c r="C316" s="22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3">
      <c r="A317" s="2"/>
      <c r="B317" s="2"/>
      <c r="C317" s="22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3">
      <c r="A318" s="2"/>
      <c r="B318" s="2"/>
      <c r="C318" s="22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3">
      <c r="A319" s="2"/>
      <c r="B319" s="2"/>
      <c r="C319" s="22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3">
      <c r="A320" s="2"/>
      <c r="B320" s="2"/>
      <c r="C320" s="22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3">
      <c r="A321" s="2"/>
      <c r="B321" s="2"/>
      <c r="C321" s="22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3">
      <c r="A322" s="2"/>
      <c r="B322" s="2"/>
      <c r="C322" s="22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3">
      <c r="A323" s="2"/>
      <c r="B323" s="2"/>
      <c r="C323" s="22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3">
      <c r="A324" s="2"/>
      <c r="B324" s="2"/>
      <c r="C324" s="22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3">
      <c r="A325" s="2"/>
      <c r="B325" s="2"/>
      <c r="C325" s="22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3">
      <c r="A326" s="2"/>
      <c r="B326" s="2"/>
      <c r="C326" s="22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3">
      <c r="A327" s="2"/>
      <c r="B327" s="2"/>
      <c r="C327" s="22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3">
      <c r="A328" s="2"/>
      <c r="B328" s="2"/>
      <c r="C328" s="22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3">
      <c r="A329" s="2"/>
      <c r="B329" s="2"/>
      <c r="C329" s="22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3">
      <c r="A330" s="2"/>
      <c r="B330" s="2"/>
      <c r="C330" s="22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3">
      <c r="A331" s="2"/>
      <c r="B331" s="2"/>
      <c r="C331" s="22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3">
      <c r="A332" s="2"/>
      <c r="B332" s="2"/>
      <c r="C332" s="22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3">
      <c r="A333" s="2"/>
      <c r="B333" s="2"/>
      <c r="C333" s="22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3">
      <c r="A334" s="2"/>
      <c r="B334" s="2"/>
      <c r="C334" s="22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3">
      <c r="A335" s="2"/>
      <c r="B335" s="2"/>
      <c r="C335" s="22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3">
      <c r="A336" s="2"/>
      <c r="B336" s="2"/>
      <c r="C336" s="22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3">
      <c r="A337" s="2"/>
      <c r="B337" s="2"/>
      <c r="C337" s="22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3">
      <c r="A338" s="2"/>
      <c r="B338" s="2"/>
      <c r="C338" s="22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3">
      <c r="A339" s="2"/>
      <c r="B339" s="2"/>
      <c r="C339" s="22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3">
      <c r="A340" s="2"/>
      <c r="B340" s="2"/>
      <c r="C340" s="22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3">
      <c r="A341" s="2"/>
      <c r="B341" s="2"/>
      <c r="C341" s="22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3">
      <c r="A342" s="2"/>
      <c r="B342" s="2"/>
      <c r="C342" s="22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3">
      <c r="A343" s="2"/>
      <c r="B343" s="2"/>
      <c r="C343" s="22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3">
      <c r="A344" s="2"/>
      <c r="B344" s="2"/>
      <c r="C344" s="22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3">
      <c r="A345" s="2"/>
      <c r="B345" s="2"/>
      <c r="C345" s="22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3">
      <c r="A346" s="2"/>
      <c r="B346" s="2"/>
      <c r="C346" s="22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3">
      <c r="A347" s="2"/>
      <c r="B347" s="2"/>
      <c r="C347" s="22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3">
      <c r="A348" s="2"/>
      <c r="B348" s="2"/>
      <c r="C348" s="22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3">
      <c r="A349" s="2"/>
      <c r="B349" s="2"/>
      <c r="C349" s="22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3">
      <c r="A350" s="2"/>
      <c r="B350" s="2"/>
      <c r="C350" s="22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3">
      <c r="A351" s="2"/>
      <c r="B351" s="2"/>
      <c r="C351" s="22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3">
      <c r="A352" s="2"/>
      <c r="B352" s="2"/>
      <c r="C352" s="22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3">
      <c r="A353" s="2"/>
      <c r="B353" s="2"/>
      <c r="C353" s="22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3">
      <c r="A354" s="2"/>
      <c r="B354" s="2"/>
      <c r="C354" s="22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3">
      <c r="A355" s="2"/>
      <c r="B355" s="2"/>
      <c r="C355" s="22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3">
      <c r="A356" s="2"/>
      <c r="B356" s="2"/>
      <c r="C356" s="22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3">
      <c r="A357" s="2"/>
      <c r="B357" s="2"/>
      <c r="C357" s="22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3">
      <c r="A358" s="2"/>
      <c r="B358" s="2"/>
      <c r="C358" s="22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3">
      <c r="A359" s="2"/>
      <c r="B359" s="2"/>
      <c r="C359" s="22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3">
      <c r="A360" s="2"/>
      <c r="B360" s="2"/>
      <c r="C360" s="22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3">
      <c r="A361" s="2"/>
      <c r="B361" s="2"/>
      <c r="C361" s="22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3">
      <c r="A362" s="2"/>
      <c r="B362" s="2"/>
      <c r="C362" s="22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3">
      <c r="A363" s="2"/>
      <c r="B363" s="2"/>
      <c r="C363" s="22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3">
      <c r="A364" s="2"/>
      <c r="B364" s="2"/>
      <c r="C364" s="22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3">
      <c r="A365" s="2"/>
      <c r="B365" s="2"/>
      <c r="C365" s="22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3">
      <c r="A366" s="2"/>
      <c r="B366" s="2"/>
      <c r="C366" s="22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3">
      <c r="A367" s="2"/>
      <c r="B367" s="2"/>
      <c r="C367" s="22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3">
      <c r="A368" s="2"/>
      <c r="B368" s="2"/>
      <c r="C368" s="22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3">
      <c r="A369" s="2"/>
      <c r="B369" s="2"/>
      <c r="C369" s="22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3">
      <c r="A370" s="2"/>
      <c r="B370" s="2"/>
      <c r="C370" s="22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3">
      <c r="A371" s="2"/>
      <c r="B371" s="2"/>
      <c r="C371" s="22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3">
      <c r="A372" s="2"/>
      <c r="B372" s="2"/>
      <c r="C372" s="22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3">
      <c r="A373" s="2"/>
      <c r="B373" s="2"/>
      <c r="C373" s="22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3">
      <c r="A374" s="2"/>
      <c r="B374" s="2"/>
      <c r="C374" s="22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3">
      <c r="A375" s="2"/>
      <c r="B375" s="2"/>
      <c r="C375" s="22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3">
      <c r="A376" s="2"/>
      <c r="B376" s="2"/>
      <c r="C376" s="22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3">
      <c r="A377" s="2"/>
      <c r="B377" s="2"/>
      <c r="C377" s="22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3">
      <c r="A378" s="2"/>
      <c r="B378" s="2"/>
      <c r="C378" s="22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3">
      <c r="A379" s="2"/>
      <c r="B379" s="2"/>
      <c r="C379" s="22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3">
      <c r="A380" s="2"/>
      <c r="B380" s="2"/>
      <c r="C380" s="22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3">
      <c r="A381" s="2"/>
      <c r="B381" s="2"/>
      <c r="C381" s="22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3">
      <c r="A382" s="2"/>
      <c r="B382" s="2"/>
      <c r="C382" s="22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3">
      <c r="A383" s="2"/>
      <c r="B383" s="2"/>
      <c r="C383" s="22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3">
      <c r="A384" s="2"/>
      <c r="B384" s="2"/>
      <c r="C384" s="22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3">
      <c r="A385" s="2"/>
      <c r="B385" s="2"/>
      <c r="C385" s="22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3">
      <c r="A386" s="2"/>
      <c r="B386" s="2"/>
      <c r="C386" s="22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3">
      <c r="A387" s="2"/>
      <c r="B387" s="2"/>
      <c r="C387" s="22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3">
      <c r="A388" s="2"/>
      <c r="B388" s="2"/>
      <c r="C388" s="22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3">
      <c r="A389" s="2"/>
      <c r="B389" s="2"/>
      <c r="C389" s="22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3">
      <c r="A390" s="2"/>
      <c r="B390" s="2"/>
      <c r="C390" s="22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3">
      <c r="A391" s="2"/>
      <c r="B391" s="2"/>
      <c r="C391" s="22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3">
      <c r="A392" s="2"/>
      <c r="B392" s="2"/>
      <c r="C392" s="22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3">
      <c r="A393" s="2"/>
      <c r="B393" s="2"/>
      <c r="C393" s="22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3">
      <c r="A394" s="2"/>
      <c r="B394" s="2"/>
      <c r="C394" s="22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3">
      <c r="A395" s="2"/>
      <c r="B395" s="2"/>
      <c r="C395" s="22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3">
      <c r="A396" s="2"/>
      <c r="B396" s="2"/>
      <c r="C396" s="22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3">
      <c r="A397" s="2"/>
      <c r="B397" s="2"/>
      <c r="C397" s="22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3">
      <c r="A398" s="2"/>
      <c r="B398" s="2"/>
      <c r="C398" s="22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3">
      <c r="A399" s="2"/>
      <c r="B399" s="2"/>
      <c r="C399" s="22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3">
      <c r="A400" s="2"/>
      <c r="B400" s="2"/>
      <c r="C400" s="22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3">
      <c r="A401" s="2"/>
      <c r="B401" s="2"/>
      <c r="C401" s="22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3">
      <c r="A402" s="2"/>
      <c r="B402" s="2"/>
      <c r="C402" s="22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3">
      <c r="A403" s="2"/>
      <c r="B403" s="2"/>
      <c r="C403" s="22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3">
      <c r="A404" s="2"/>
      <c r="B404" s="2"/>
      <c r="C404" s="22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3">
      <c r="A405" s="2"/>
      <c r="B405" s="2"/>
      <c r="C405" s="22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3">
      <c r="A406" s="2"/>
      <c r="B406" s="2"/>
      <c r="C406" s="22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3">
      <c r="A407" s="2"/>
      <c r="B407" s="2"/>
      <c r="C407" s="22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3">
      <c r="A408" s="2"/>
      <c r="B408" s="2"/>
      <c r="C408" s="22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3">
      <c r="A409" s="2"/>
      <c r="B409" s="2"/>
      <c r="C409" s="22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3">
      <c r="A410" s="2"/>
      <c r="B410" s="2"/>
      <c r="C410" s="22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3">
      <c r="A411" s="2"/>
      <c r="B411" s="2"/>
      <c r="C411" s="22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3">
      <c r="A412" s="2"/>
      <c r="B412" s="2"/>
      <c r="C412" s="22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3">
      <c r="A413" s="2"/>
      <c r="B413" s="2"/>
      <c r="C413" s="22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3">
      <c r="A414" s="2"/>
      <c r="B414" s="2"/>
      <c r="C414" s="22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3">
      <c r="A415" s="2"/>
      <c r="B415" s="2"/>
      <c r="C415" s="22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3">
      <c r="A416" s="2"/>
      <c r="B416" s="2"/>
      <c r="C416" s="22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3">
      <c r="A417" s="2"/>
      <c r="B417" s="2"/>
      <c r="C417" s="22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3">
      <c r="A418" s="2"/>
      <c r="B418" s="2"/>
      <c r="C418" s="22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3">
      <c r="A419" s="2"/>
      <c r="B419" s="2"/>
      <c r="C419" s="22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3">
      <c r="A420" s="2"/>
      <c r="B420" s="2"/>
      <c r="C420" s="22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3">
      <c r="A421" s="2"/>
      <c r="B421" s="2"/>
      <c r="C421" s="22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3">
      <c r="A422" s="2"/>
      <c r="B422" s="2"/>
      <c r="C422" s="22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3">
      <c r="A423" s="2"/>
      <c r="B423" s="2"/>
      <c r="C423" s="22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3">
      <c r="A424" s="2"/>
      <c r="B424" s="2"/>
      <c r="C424" s="22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3">
      <c r="A425" s="2"/>
      <c r="B425" s="2"/>
      <c r="C425" s="22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3">
      <c r="A426" s="2"/>
      <c r="B426" s="2"/>
      <c r="C426" s="22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3">
      <c r="A427" s="2"/>
      <c r="B427" s="2"/>
      <c r="C427" s="22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3">
      <c r="A428" s="2"/>
      <c r="B428" s="2"/>
      <c r="C428" s="22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3">
      <c r="A429" s="2"/>
      <c r="B429" s="2"/>
      <c r="C429" s="22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3">
      <c r="A430" s="2"/>
      <c r="B430" s="2"/>
      <c r="C430" s="22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3">
      <c r="A431" s="2"/>
      <c r="B431" s="2"/>
      <c r="C431" s="22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3">
      <c r="A432" s="2"/>
      <c r="B432" s="2"/>
      <c r="C432" s="22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3">
      <c r="A433" s="2"/>
      <c r="B433" s="2"/>
      <c r="C433" s="22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3">
      <c r="A434" s="2"/>
      <c r="B434" s="2"/>
      <c r="C434" s="22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3">
      <c r="A435" s="2"/>
      <c r="B435" s="2"/>
      <c r="C435" s="22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3">
      <c r="A436" s="2"/>
      <c r="B436" s="2"/>
      <c r="C436" s="22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3">
      <c r="A437" s="2"/>
      <c r="B437" s="2"/>
      <c r="C437" s="22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3">
      <c r="A438" s="2"/>
      <c r="B438" s="2"/>
      <c r="C438" s="22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3">
      <c r="A439" s="2"/>
      <c r="B439" s="2"/>
      <c r="C439" s="22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3">
      <c r="A440" s="2"/>
      <c r="B440" s="2"/>
      <c r="C440" s="22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3">
      <c r="A441" s="2"/>
      <c r="B441" s="2"/>
      <c r="C441" s="22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3">
      <c r="A442" s="2"/>
      <c r="B442" s="2"/>
      <c r="C442" s="22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3">
      <c r="A443" s="2"/>
      <c r="B443" s="2"/>
      <c r="C443" s="22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3">
      <c r="A444" s="2"/>
      <c r="B444" s="2"/>
      <c r="C444" s="22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3">
      <c r="A445" s="2"/>
      <c r="B445" s="2"/>
      <c r="C445" s="22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3">
      <c r="A446" s="2"/>
      <c r="B446" s="2"/>
      <c r="C446" s="22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3">
      <c r="A447" s="2"/>
      <c r="B447" s="2"/>
      <c r="C447" s="22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3">
      <c r="A448" s="2"/>
      <c r="B448" s="2"/>
      <c r="C448" s="22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3">
      <c r="A449" s="2"/>
      <c r="B449" s="2"/>
      <c r="C449" s="22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3">
      <c r="A450" s="2"/>
      <c r="B450" s="2"/>
      <c r="C450" s="22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3">
      <c r="A451" s="2"/>
      <c r="B451" s="2"/>
      <c r="C451" s="22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3">
      <c r="A452" s="2"/>
      <c r="B452" s="2"/>
      <c r="C452" s="22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3">
      <c r="A453" s="2"/>
      <c r="B453" s="2"/>
      <c r="C453" s="22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3">
      <c r="A454" s="2"/>
      <c r="B454" s="2"/>
      <c r="C454" s="22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3">
      <c r="A455" s="2"/>
      <c r="B455" s="2"/>
      <c r="C455" s="22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3">
      <c r="A456" s="2"/>
      <c r="B456" s="2"/>
      <c r="C456" s="22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3">
      <c r="A457" s="2"/>
      <c r="B457" s="2"/>
      <c r="C457" s="22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3">
      <c r="A458" s="2"/>
      <c r="B458" s="2"/>
      <c r="C458" s="22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3">
      <c r="A459" s="2"/>
      <c r="B459" s="2"/>
      <c r="C459" s="22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3">
      <c r="A460" s="2"/>
      <c r="B460" s="2"/>
      <c r="C460" s="22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3">
      <c r="A461" s="2"/>
      <c r="B461" s="2"/>
      <c r="C461" s="22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3"/>
    <row r="463" spans="1:17" ht="15.75" customHeight="1" x14ac:dyDescent="0.3"/>
    <row r="464" spans="1:17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0"/>
  <sheetViews>
    <sheetView workbookViewId="0">
      <selection activeCell="E31" sqref="E31"/>
    </sheetView>
  </sheetViews>
  <sheetFormatPr baseColWidth="10" defaultColWidth="14.44140625" defaultRowHeight="15" customHeight="1" x14ac:dyDescent="0.3"/>
  <cols>
    <col min="1" max="1" width="8.109375" customWidth="1"/>
    <col min="2" max="2" width="28.109375" customWidth="1"/>
    <col min="3" max="3" width="21.109375" customWidth="1"/>
    <col min="4" max="4" width="13.6640625" customWidth="1"/>
    <col min="5" max="5" width="12.109375" customWidth="1"/>
    <col min="6" max="6" width="7.6640625" customWidth="1"/>
    <col min="7" max="7" width="9.109375" customWidth="1"/>
    <col min="8" max="8" width="13.33203125" customWidth="1"/>
    <col min="9" max="20" width="10.6640625" customWidth="1"/>
  </cols>
  <sheetData>
    <row r="1" spans="1:20" ht="11.25" customHeight="1" x14ac:dyDescent="0.3">
      <c r="A1" s="50" t="s">
        <v>5</v>
      </c>
      <c r="B1" s="50"/>
      <c r="C1" s="2"/>
      <c r="D1" s="2"/>
      <c r="E1" s="2"/>
      <c r="F1" s="2"/>
      <c r="G1" s="5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1.25" customHeight="1" x14ac:dyDescent="0.3">
      <c r="A2" s="53" t="s">
        <v>124</v>
      </c>
      <c r="B2" s="50"/>
      <c r="C2" s="2"/>
      <c r="D2" s="2"/>
      <c r="E2" s="2"/>
      <c r="F2" s="2"/>
      <c r="G2" s="5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1.25" customHeight="1" x14ac:dyDescent="0.3">
      <c r="A3" s="53" t="s">
        <v>125</v>
      </c>
      <c r="C3" s="2" t="s">
        <v>126</v>
      </c>
      <c r="D3" s="2"/>
      <c r="E3" s="2"/>
      <c r="F3" s="2"/>
      <c r="G3" s="5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1.25" customHeight="1" x14ac:dyDescent="0.3">
      <c r="A4" s="53" t="s">
        <v>127</v>
      </c>
      <c r="B4" s="50"/>
      <c r="C4" s="2" t="s">
        <v>128</v>
      </c>
      <c r="D4" s="2"/>
      <c r="E4" s="2"/>
      <c r="F4" s="2"/>
      <c r="G4" s="5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1.25" customHeight="1" x14ac:dyDescent="0.3">
      <c r="A5" s="53" t="s">
        <v>129</v>
      </c>
      <c r="B5" s="50"/>
      <c r="C5" s="2" t="s">
        <v>128</v>
      </c>
      <c r="D5" s="2"/>
      <c r="E5" s="2"/>
      <c r="F5" s="2"/>
      <c r="G5" s="5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1.25" customHeight="1" x14ac:dyDescent="0.3">
      <c r="A6" s="53"/>
      <c r="B6" s="50"/>
      <c r="C6" s="2"/>
      <c r="D6" s="2"/>
      <c r="E6" s="2"/>
      <c r="F6" s="2"/>
      <c r="G6" s="5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1.25" customHeight="1" x14ac:dyDescent="0.3">
      <c r="A7" s="221" t="s">
        <v>130</v>
      </c>
      <c r="B7" s="222" t="s">
        <v>1095</v>
      </c>
      <c r="C7" s="223"/>
      <c r="D7" s="223"/>
      <c r="E7" s="223"/>
      <c r="F7" s="223"/>
      <c r="G7" s="224"/>
      <c r="H7" s="22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1.25" customHeight="1" x14ac:dyDescent="0.3">
      <c r="A8" s="51"/>
      <c r="B8" s="225"/>
      <c r="C8" s="52"/>
      <c r="D8" s="52"/>
      <c r="E8" s="5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31.8" x14ac:dyDescent="0.3">
      <c r="A9" s="188" t="s">
        <v>235</v>
      </c>
      <c r="B9" s="188" t="s">
        <v>178</v>
      </c>
      <c r="C9" s="190" t="s">
        <v>135</v>
      </c>
      <c r="D9" s="190" t="s">
        <v>136</v>
      </c>
      <c r="E9" s="190" t="s">
        <v>237</v>
      </c>
      <c r="F9" s="190" t="s">
        <v>138</v>
      </c>
      <c r="G9" s="226" t="s">
        <v>139</v>
      </c>
      <c r="H9" s="190" t="s">
        <v>693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1.25" customHeight="1" x14ac:dyDescent="0.3">
      <c r="A10" s="227">
        <v>7103352190</v>
      </c>
      <c r="B10" s="227" t="s">
        <v>1096</v>
      </c>
      <c r="C10" s="228">
        <v>700</v>
      </c>
      <c r="D10" s="227">
        <v>50</v>
      </c>
      <c r="E10" s="34">
        <v>0</v>
      </c>
      <c r="F10" s="229">
        <f>E10/C10</f>
        <v>0</v>
      </c>
      <c r="G10" s="230">
        <f>365/D10</f>
        <v>7.3</v>
      </c>
      <c r="H10" s="15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1.25" customHeight="1" x14ac:dyDescent="0.3">
      <c r="A11" s="227">
        <v>7103425190</v>
      </c>
      <c r="B11" s="227" t="s">
        <v>1097</v>
      </c>
      <c r="C11" s="227">
        <v>1300</v>
      </c>
      <c r="D11" s="227">
        <v>140</v>
      </c>
      <c r="E11" s="34">
        <v>0</v>
      </c>
      <c r="F11" s="231">
        <f>E11/C11</f>
        <v>0</v>
      </c>
      <c r="G11" s="230">
        <f>365/D11</f>
        <v>2.6071428571428572</v>
      </c>
      <c r="H11" s="23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1.25" customHeight="1" x14ac:dyDescent="0.3">
      <c r="A12" s="34">
        <v>7103433190</v>
      </c>
      <c r="B12" s="34" t="s">
        <v>1098</v>
      </c>
      <c r="C12" s="34">
        <v>1300</v>
      </c>
      <c r="D12" s="34">
        <v>70</v>
      </c>
      <c r="E12" s="34">
        <f>$E$11</f>
        <v>0</v>
      </c>
      <c r="F12" s="63">
        <f>E12/C12</f>
        <v>0</v>
      </c>
      <c r="G12" s="233">
        <f>365/D12</f>
        <v>5.2142857142857144</v>
      </c>
      <c r="H12" s="23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1.25" customHeight="1" x14ac:dyDescent="0.3">
      <c r="A13" s="34">
        <v>7142056190</v>
      </c>
      <c r="B13" s="34" t="s">
        <v>1099</v>
      </c>
      <c r="C13" s="110">
        <v>14</v>
      </c>
      <c r="D13" s="34">
        <v>140</v>
      </c>
      <c r="E13" s="34">
        <f>$E$10</f>
        <v>0</v>
      </c>
      <c r="F13" s="63">
        <f>336/C13</f>
        <v>24</v>
      </c>
      <c r="G13" s="233">
        <f>365/D13</f>
        <v>2.6071428571428572</v>
      </c>
      <c r="H13" s="23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1.25" customHeight="1" x14ac:dyDescent="0.3">
      <c r="A14" s="34">
        <v>7105100190</v>
      </c>
      <c r="B14" s="34" t="s">
        <v>1100</v>
      </c>
      <c r="C14" s="110">
        <v>10</v>
      </c>
      <c r="D14" s="34">
        <v>20</v>
      </c>
      <c r="E14" s="34">
        <f>$E$11</f>
        <v>0</v>
      </c>
      <c r="F14" s="63">
        <f>365/C14</f>
        <v>36.5</v>
      </c>
      <c r="G14" s="233"/>
      <c r="H14" s="15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1.25" customHeight="1" x14ac:dyDescent="0.3">
      <c r="A15" s="34">
        <v>7105339190</v>
      </c>
      <c r="B15" s="34" t="s">
        <v>1101</v>
      </c>
      <c r="C15" s="110">
        <v>10</v>
      </c>
      <c r="D15" s="34">
        <v>20</v>
      </c>
      <c r="E15" s="34">
        <f>$E$11</f>
        <v>0</v>
      </c>
      <c r="F15" s="63">
        <f>365/C15</f>
        <v>36.5</v>
      </c>
      <c r="G15" s="233"/>
      <c r="H15" s="15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1.25" customHeight="1" x14ac:dyDescent="0.3">
      <c r="A16" s="34">
        <v>7106912190</v>
      </c>
      <c r="B16" s="34" t="s">
        <v>1102</v>
      </c>
      <c r="C16" s="110">
        <v>10</v>
      </c>
      <c r="D16" s="34">
        <v>20</v>
      </c>
      <c r="E16" s="34">
        <f>$E$11</f>
        <v>0</v>
      </c>
      <c r="F16" s="63">
        <f>365/C16</f>
        <v>36.5</v>
      </c>
      <c r="G16" s="233"/>
      <c r="H16" s="15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1.25" customHeight="1" x14ac:dyDescent="0.3">
      <c r="A17" s="227">
        <v>6589367190</v>
      </c>
      <c r="B17" s="227" t="s">
        <v>1103</v>
      </c>
      <c r="C17" s="227">
        <v>215</v>
      </c>
      <c r="D17" s="227">
        <v>140</v>
      </c>
      <c r="E17" s="110">
        <v>0</v>
      </c>
      <c r="F17" s="229">
        <f>E17/C17</f>
        <v>0</v>
      </c>
      <c r="G17" s="234">
        <f>365/D17</f>
        <v>2.6071428571428572</v>
      </c>
      <c r="H17" s="23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1.25" customHeight="1" x14ac:dyDescent="0.3">
      <c r="A18" s="34">
        <v>7310498190</v>
      </c>
      <c r="B18" s="34" t="s">
        <v>1104</v>
      </c>
      <c r="C18" s="34">
        <v>2</v>
      </c>
      <c r="D18" s="34">
        <v>112</v>
      </c>
      <c r="E18" s="110">
        <f>$E$17</f>
        <v>0</v>
      </c>
      <c r="F18" s="63">
        <f>(E17/(0.0006*300)/3000)</f>
        <v>0</v>
      </c>
      <c r="G18" s="233">
        <f>365/D18</f>
        <v>3.2589285714285716</v>
      </c>
      <c r="H18" s="2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1.25" customHeight="1" x14ac:dyDescent="0.3">
      <c r="A19" s="34">
        <v>7311320190</v>
      </c>
      <c r="B19" s="34" t="s">
        <v>1105</v>
      </c>
      <c r="C19" s="34">
        <v>1</v>
      </c>
      <c r="D19" s="34">
        <v>1</v>
      </c>
      <c r="E19" s="110">
        <f>$E$17</f>
        <v>0</v>
      </c>
      <c r="F19" s="63">
        <f>(E17/(0.0001*300)/3000)</f>
        <v>0</v>
      </c>
      <c r="G19" s="233"/>
      <c r="H19" s="15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1.25" customHeight="1" x14ac:dyDescent="0.3">
      <c r="A20" s="34"/>
      <c r="B20" s="34"/>
      <c r="C20" s="34"/>
      <c r="D20" s="34"/>
      <c r="E20" s="236"/>
      <c r="F20" s="63"/>
      <c r="G20" s="233"/>
      <c r="H20" s="15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1.25" customHeight="1" x14ac:dyDescent="0.3">
      <c r="A21" s="34">
        <v>7103484190</v>
      </c>
      <c r="B21" s="34" t="s">
        <v>1106</v>
      </c>
      <c r="C21" s="34">
        <v>1900</v>
      </c>
      <c r="D21" s="34">
        <v>365</v>
      </c>
      <c r="E21" s="34">
        <f>E10+E11</f>
        <v>0</v>
      </c>
      <c r="F21" s="63">
        <f>E21/C21</f>
        <v>0</v>
      </c>
      <c r="G21" s="233">
        <f t="shared" ref="G21:G26" si="0">365/D21</f>
        <v>1</v>
      </c>
      <c r="H21" s="23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1.25" customHeight="1" x14ac:dyDescent="0.3">
      <c r="A22" s="34">
        <v>7204736190</v>
      </c>
      <c r="B22" s="34" t="s">
        <v>1107</v>
      </c>
      <c r="C22" s="110">
        <v>10</v>
      </c>
      <c r="D22" s="34">
        <v>24</v>
      </c>
      <c r="E22" s="34">
        <f>E10+E11</f>
        <v>0</v>
      </c>
      <c r="F22" s="63">
        <f>365/C22</f>
        <v>36.5</v>
      </c>
      <c r="G22" s="233">
        <f t="shared" si="0"/>
        <v>15.208333333333334</v>
      </c>
      <c r="H22" s="23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1.25" customHeight="1" x14ac:dyDescent="0.3">
      <c r="A23" s="34">
        <v>7255926190</v>
      </c>
      <c r="B23" s="34" t="s">
        <v>1108</v>
      </c>
      <c r="C23" s="110">
        <v>60</v>
      </c>
      <c r="D23" s="34">
        <v>336</v>
      </c>
      <c r="E23" s="34">
        <f>E10+E11</f>
        <v>0</v>
      </c>
      <c r="F23" s="63">
        <f>240/C23</f>
        <v>4</v>
      </c>
      <c r="G23" s="233">
        <f t="shared" si="0"/>
        <v>1.0863095238095237</v>
      </c>
      <c r="H23" s="23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1.25" customHeight="1" x14ac:dyDescent="0.3">
      <c r="A24" s="34">
        <v>5064210001</v>
      </c>
      <c r="B24" s="34" t="s">
        <v>1109</v>
      </c>
      <c r="C24" s="34">
        <v>2320</v>
      </c>
      <c r="D24" s="34">
        <v>365</v>
      </c>
      <c r="E24" s="34">
        <f>E10+E11</f>
        <v>0</v>
      </c>
      <c r="F24" s="63">
        <f>((E17/C24)+(E10/C24)+(E11/C24))*1.2</f>
        <v>0</v>
      </c>
      <c r="G24" s="233">
        <f t="shared" si="0"/>
        <v>1</v>
      </c>
      <c r="H24" s="23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1.25" customHeight="1" x14ac:dyDescent="0.3">
      <c r="A25" s="34">
        <v>4444191001</v>
      </c>
      <c r="B25" s="34" t="s">
        <v>1110</v>
      </c>
      <c r="C25" s="34">
        <v>1</v>
      </c>
      <c r="D25" s="34">
        <v>365</v>
      </c>
      <c r="E25" s="34">
        <f>E10+E11</f>
        <v>0</v>
      </c>
      <c r="F25" s="63">
        <f>(((E10+E11+E17)-((E10+E11+E17)*0.9))/D25)</f>
        <v>0</v>
      </c>
      <c r="G25" s="233">
        <f t="shared" si="0"/>
        <v>1</v>
      </c>
      <c r="H25" s="15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1.25" customHeight="1" x14ac:dyDescent="0.3">
      <c r="A26" s="34" t="s">
        <v>1111</v>
      </c>
      <c r="B26" s="34" t="s">
        <v>1112</v>
      </c>
      <c r="C26" s="110">
        <v>13</v>
      </c>
      <c r="D26" s="34">
        <v>2</v>
      </c>
      <c r="E26" s="34">
        <f>E10+E11</f>
        <v>0</v>
      </c>
      <c r="F26" s="63">
        <f>(0.002*(E26/C26))*365</f>
        <v>0</v>
      </c>
      <c r="G26" s="233">
        <f t="shared" si="0"/>
        <v>182.5</v>
      </c>
      <c r="H26" s="15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1.25" customHeight="1" x14ac:dyDescent="0.3">
      <c r="A27" s="34"/>
      <c r="B27" s="34" t="s">
        <v>1113</v>
      </c>
      <c r="C27" s="34">
        <v>1</v>
      </c>
      <c r="D27" s="34"/>
      <c r="E27" s="34">
        <f>E10+E11</f>
        <v>0</v>
      </c>
      <c r="F27" s="63"/>
      <c r="G27" s="233"/>
      <c r="H27" s="15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1.25" customHeight="1" x14ac:dyDescent="0.3">
      <c r="A28" s="52"/>
      <c r="B28" s="52"/>
      <c r="C28" s="52"/>
      <c r="D28" s="52"/>
      <c r="E28" s="52"/>
      <c r="F28" s="52"/>
      <c r="G28" s="52"/>
      <c r="H28" s="5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1.25" customHeight="1" x14ac:dyDescent="0.3">
      <c r="A29" s="52"/>
      <c r="B29" s="52"/>
      <c r="C29" s="52"/>
      <c r="D29" s="52"/>
      <c r="E29" s="52"/>
      <c r="F29" s="52"/>
      <c r="G29" s="52"/>
      <c r="H29" s="5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1.25" customHeight="1" x14ac:dyDescent="0.3">
      <c r="A30" s="52"/>
      <c r="B30" s="52"/>
      <c r="C30" s="52"/>
      <c r="D30" s="52"/>
      <c r="E30" s="52"/>
      <c r="F30" s="52"/>
      <c r="G30" s="52"/>
      <c r="H30" s="5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75" customHeight="1" x14ac:dyDescent="0.3">
      <c r="A31" s="237" t="s">
        <v>130</v>
      </c>
      <c r="B31" s="237" t="s">
        <v>1114</v>
      </c>
      <c r="C31" s="238"/>
      <c r="D31" s="238"/>
      <c r="E31" s="238"/>
      <c r="F31" s="238"/>
      <c r="G31" s="238"/>
      <c r="H31" s="23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75" customHeight="1" x14ac:dyDescent="0.3">
      <c r="A32" s="239"/>
      <c r="B32" s="239"/>
      <c r="C32" s="52"/>
      <c r="D32" s="52"/>
      <c r="E32" s="52"/>
      <c r="F32" s="52"/>
      <c r="G32" s="52"/>
      <c r="H32" s="5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.75" customHeight="1" x14ac:dyDescent="0.3">
      <c r="A33" s="187" t="s">
        <v>235</v>
      </c>
      <c r="B33" s="187" t="s">
        <v>178</v>
      </c>
      <c r="C33" s="190" t="s">
        <v>135</v>
      </c>
      <c r="D33" s="190" t="s">
        <v>136</v>
      </c>
      <c r="E33" s="190" t="s">
        <v>237</v>
      </c>
      <c r="F33" s="190" t="s">
        <v>138</v>
      </c>
      <c r="G33" s="226" t="s">
        <v>139</v>
      </c>
      <c r="H33" s="190" t="s">
        <v>693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1.25" customHeight="1" x14ac:dyDescent="0.3">
      <c r="A34" s="240">
        <v>4877802190</v>
      </c>
      <c r="B34" s="240" t="s">
        <v>1115</v>
      </c>
      <c r="C34" s="34">
        <v>10</v>
      </c>
      <c r="D34" s="34"/>
      <c r="E34" s="34">
        <v>0</v>
      </c>
      <c r="F34" s="34">
        <f>E34/C34</f>
        <v>0</v>
      </c>
      <c r="G34" s="34"/>
      <c r="H34" s="34">
        <f>IF(G34&gt;F34,G34,F34)</f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 x14ac:dyDescent="0.3">
      <c r="A35" s="34">
        <v>4877900190</v>
      </c>
      <c r="B35" s="34" t="s">
        <v>1116</v>
      </c>
      <c r="C35" s="34">
        <v>10</v>
      </c>
      <c r="D35" s="34"/>
      <c r="E35" s="34">
        <v>0</v>
      </c>
      <c r="F35" s="34">
        <f>E35/C35</f>
        <v>0</v>
      </c>
      <c r="G35" s="34"/>
      <c r="H35" s="34">
        <f>IF(G35&gt;F35,G35,F35)</f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1.25" customHeight="1" x14ac:dyDescent="0.3">
      <c r="A36" s="34">
        <v>5533643190</v>
      </c>
      <c r="B36" s="34" t="s">
        <v>1117</v>
      </c>
      <c r="C36" s="34">
        <v>10</v>
      </c>
      <c r="D36" s="34"/>
      <c r="E36" s="34">
        <v>0</v>
      </c>
      <c r="F36" s="34">
        <f>E36/C36</f>
        <v>0</v>
      </c>
      <c r="G36" s="34"/>
      <c r="H36" s="34">
        <f>IF(G36&gt;F36,G36,F36)</f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1.25" customHeight="1" x14ac:dyDescent="0.3">
      <c r="A37" s="34">
        <v>7007302190</v>
      </c>
      <c r="B37" s="34" t="s">
        <v>1118</v>
      </c>
      <c r="C37" s="34">
        <v>10</v>
      </c>
      <c r="D37" s="34"/>
      <c r="E37" s="34">
        <v>0</v>
      </c>
      <c r="F37" s="34">
        <f>E37/C37</f>
        <v>0</v>
      </c>
      <c r="G37" s="34"/>
      <c r="H37" s="34">
        <f>IF(G37&gt;F37,G37,F37)</f>
        <v>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1.25" customHeight="1" x14ac:dyDescent="0.3">
      <c r="A38" s="240"/>
      <c r="B38" s="240" t="s">
        <v>1119</v>
      </c>
      <c r="C38" s="34">
        <v>100</v>
      </c>
      <c r="D38" s="34"/>
      <c r="E38" s="241"/>
      <c r="F38" s="34">
        <f>E39/C38</f>
        <v>0</v>
      </c>
      <c r="G38" s="34"/>
      <c r="H38" s="3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1.25" customHeight="1" x14ac:dyDescent="0.3">
      <c r="A39" s="52"/>
      <c r="B39" s="52"/>
      <c r="C39" s="52"/>
      <c r="D39" s="52"/>
      <c r="E39" s="52"/>
      <c r="F39" s="52"/>
      <c r="G39" s="52"/>
      <c r="H39" s="5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1.25" customHeight="1" x14ac:dyDescent="0.3">
      <c r="A40" s="52"/>
      <c r="B40" s="52"/>
      <c r="C40" s="52"/>
      <c r="D40" s="52"/>
      <c r="E40" s="52"/>
      <c r="F40" s="52"/>
      <c r="G40" s="52"/>
      <c r="H40" s="5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1.25" customHeight="1" x14ac:dyDescent="0.3">
      <c r="A41" s="52"/>
      <c r="B41" s="52"/>
      <c r="C41" s="52"/>
      <c r="D41" s="52"/>
      <c r="E41" s="52"/>
      <c r="F41" s="52"/>
      <c r="G41" s="52"/>
      <c r="H41" s="5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1.25" customHeight="1" x14ac:dyDescent="0.3">
      <c r="A42" s="52"/>
      <c r="B42" s="52"/>
      <c r="C42" s="52"/>
      <c r="D42" s="52"/>
      <c r="E42" s="52"/>
      <c r="F42" s="52"/>
      <c r="G42" s="52"/>
      <c r="H42" s="5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1.25" customHeight="1" x14ac:dyDescent="0.3">
      <c r="A43" s="52"/>
      <c r="B43" s="52"/>
      <c r="C43" s="52"/>
      <c r="D43" s="52"/>
      <c r="E43" s="52"/>
      <c r="F43" s="52"/>
      <c r="G43" s="52"/>
      <c r="H43" s="5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1.25" customHeight="1" x14ac:dyDescent="0.3">
      <c r="A44" s="52"/>
      <c r="B44" s="52"/>
      <c r="C44" s="52"/>
      <c r="D44" s="52"/>
      <c r="E44" s="52"/>
      <c r="F44" s="52"/>
      <c r="G44" s="52"/>
      <c r="H44" s="5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1.25" customHeight="1" x14ac:dyDescent="0.3">
      <c r="A45" s="52"/>
      <c r="B45" s="52"/>
      <c r="C45" s="52"/>
      <c r="D45" s="52"/>
      <c r="E45" s="52"/>
      <c r="F45" s="52"/>
      <c r="G45" s="52"/>
      <c r="H45" s="5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1.25" customHeight="1" x14ac:dyDescent="0.3">
      <c r="A46" s="52"/>
      <c r="B46" s="52"/>
      <c r="C46" s="52"/>
      <c r="D46" s="52"/>
      <c r="E46" s="52"/>
      <c r="F46" s="52"/>
      <c r="G46" s="52"/>
      <c r="H46" s="5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1.25" customHeight="1" x14ac:dyDescent="0.3">
      <c r="A47" s="52"/>
      <c r="B47" s="52"/>
      <c r="C47" s="52"/>
      <c r="D47" s="52"/>
      <c r="E47" s="52"/>
      <c r="F47" s="52"/>
      <c r="G47" s="52"/>
      <c r="H47" s="5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1.25" customHeight="1" x14ac:dyDescent="0.3">
      <c r="A48" s="52"/>
      <c r="B48" s="52"/>
      <c r="C48" s="52"/>
      <c r="D48" s="52"/>
      <c r="E48" s="52"/>
      <c r="F48" s="52"/>
      <c r="G48" s="52"/>
      <c r="H48" s="5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1.25" customHeight="1" x14ac:dyDescent="0.3">
      <c r="A49" s="52"/>
      <c r="B49" s="52"/>
      <c r="C49" s="52"/>
      <c r="D49" s="52"/>
      <c r="E49" s="52"/>
      <c r="F49" s="52"/>
      <c r="G49" s="52"/>
      <c r="H49" s="5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1.25" customHeight="1" x14ac:dyDescent="0.3">
      <c r="A50" s="52"/>
      <c r="B50" s="52"/>
      <c r="C50" s="52"/>
      <c r="D50" s="52"/>
      <c r="E50" s="52"/>
      <c r="F50" s="52"/>
      <c r="G50" s="52"/>
      <c r="H50" s="5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1.25" customHeight="1" x14ac:dyDescent="0.3">
      <c r="A51" s="52"/>
      <c r="B51" s="52"/>
      <c r="C51" s="52"/>
      <c r="D51" s="52"/>
      <c r="E51" s="52"/>
      <c r="F51" s="52"/>
      <c r="G51" s="52"/>
      <c r="H51" s="5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1.25" customHeight="1" x14ac:dyDescent="0.3">
      <c r="A52" s="52"/>
      <c r="B52" s="52"/>
      <c r="C52" s="52"/>
      <c r="D52" s="52"/>
      <c r="E52" s="52"/>
      <c r="F52" s="52"/>
      <c r="G52" s="52"/>
      <c r="H52" s="5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1.25" customHeight="1" x14ac:dyDescent="0.3">
      <c r="A53" s="52"/>
      <c r="B53" s="52"/>
      <c r="C53" s="52"/>
      <c r="D53" s="52"/>
      <c r="E53" s="52"/>
      <c r="F53" s="52"/>
      <c r="G53" s="52"/>
      <c r="H53" s="5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1.25" customHeight="1" x14ac:dyDescent="0.3">
      <c r="A54" s="52"/>
      <c r="B54" s="52"/>
      <c r="C54" s="52"/>
      <c r="D54" s="52"/>
      <c r="E54" s="52"/>
      <c r="F54" s="52"/>
      <c r="G54" s="52"/>
      <c r="H54" s="5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1.25" customHeight="1" x14ac:dyDescent="0.3">
      <c r="A55" s="52"/>
      <c r="B55" s="52"/>
      <c r="C55" s="52"/>
      <c r="D55" s="52"/>
      <c r="E55" s="52"/>
      <c r="F55" s="52"/>
      <c r="G55" s="52"/>
      <c r="H55" s="5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1.25" customHeight="1" x14ac:dyDescent="0.3">
      <c r="A56" s="52"/>
      <c r="B56" s="52"/>
      <c r="C56" s="52"/>
      <c r="D56" s="52"/>
      <c r="E56" s="52"/>
      <c r="F56" s="52"/>
      <c r="G56" s="52"/>
      <c r="H56" s="5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1.25" customHeight="1" x14ac:dyDescent="0.3">
      <c r="A57" s="52"/>
      <c r="B57" s="52"/>
      <c r="C57" s="52"/>
      <c r="D57" s="52"/>
      <c r="E57" s="52"/>
      <c r="F57" s="52"/>
      <c r="G57" s="52"/>
      <c r="H57" s="5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1.25" customHeight="1" x14ac:dyDescent="0.3">
      <c r="A58" s="52"/>
      <c r="B58" s="52"/>
      <c r="C58" s="52"/>
      <c r="D58" s="52"/>
      <c r="E58" s="52"/>
      <c r="F58" s="52"/>
      <c r="G58" s="52"/>
      <c r="H58" s="5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1.25" customHeight="1" x14ac:dyDescent="0.3">
      <c r="A59" s="52"/>
      <c r="B59" s="52"/>
      <c r="C59" s="52"/>
      <c r="D59" s="52"/>
      <c r="E59" s="52"/>
      <c r="F59" s="52"/>
      <c r="G59" s="52"/>
      <c r="H59" s="5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1.25" customHeight="1" x14ac:dyDescent="0.3">
      <c r="A60" s="52"/>
      <c r="B60" s="52"/>
      <c r="C60" s="52"/>
      <c r="D60" s="52"/>
      <c r="E60" s="52"/>
      <c r="F60" s="52"/>
      <c r="G60" s="52"/>
      <c r="H60" s="5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1.25" customHeight="1" x14ac:dyDescent="0.3">
      <c r="A61" s="52"/>
      <c r="B61" s="52"/>
      <c r="C61" s="52"/>
      <c r="D61" s="52"/>
      <c r="E61" s="52"/>
      <c r="F61" s="52"/>
      <c r="G61" s="52"/>
      <c r="H61" s="5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1.25" customHeight="1" x14ac:dyDescent="0.3">
      <c r="A62" s="52"/>
      <c r="B62" s="52"/>
      <c r="C62" s="52"/>
      <c r="D62" s="52"/>
      <c r="E62" s="52"/>
      <c r="F62" s="52"/>
      <c r="G62" s="52"/>
      <c r="H62" s="5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1.25" customHeight="1" x14ac:dyDescent="0.3">
      <c r="A63" s="52"/>
      <c r="B63" s="52"/>
      <c r="C63" s="52"/>
      <c r="D63" s="52"/>
      <c r="E63" s="52"/>
      <c r="F63" s="52"/>
      <c r="G63" s="52"/>
      <c r="H63" s="5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1.25" customHeight="1" x14ac:dyDescent="0.3">
      <c r="A64" s="52"/>
      <c r="B64" s="52"/>
      <c r="C64" s="52"/>
      <c r="D64" s="52"/>
      <c r="E64" s="52"/>
      <c r="F64" s="52"/>
      <c r="G64" s="52"/>
      <c r="H64" s="5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1.25" customHeight="1" x14ac:dyDescent="0.3">
      <c r="A65" s="52"/>
      <c r="B65" s="52"/>
      <c r="C65" s="52"/>
      <c r="D65" s="52"/>
      <c r="E65" s="52"/>
      <c r="F65" s="52"/>
      <c r="G65" s="52"/>
      <c r="H65" s="5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1.25" customHeight="1" x14ac:dyDescent="0.3">
      <c r="A66" s="52"/>
      <c r="B66" s="52"/>
      <c r="C66" s="52"/>
      <c r="D66" s="52"/>
      <c r="E66" s="52"/>
      <c r="F66" s="52"/>
      <c r="G66" s="52"/>
      <c r="H66" s="5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1.25" customHeight="1" x14ac:dyDescent="0.3">
      <c r="A67" s="52"/>
      <c r="B67" s="52"/>
      <c r="C67" s="52"/>
      <c r="D67" s="52"/>
      <c r="E67" s="52"/>
      <c r="F67" s="52"/>
      <c r="G67" s="52"/>
      <c r="H67" s="5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1.25" customHeight="1" x14ac:dyDescent="0.3">
      <c r="A68" s="52"/>
      <c r="B68" s="52"/>
      <c r="C68" s="52"/>
      <c r="D68" s="52"/>
      <c r="E68" s="52"/>
      <c r="F68" s="52"/>
      <c r="G68" s="52"/>
      <c r="H68" s="5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1.25" customHeight="1" x14ac:dyDescent="0.3">
      <c r="A69" s="52"/>
      <c r="B69" s="52"/>
      <c r="C69" s="52"/>
      <c r="D69" s="52"/>
      <c r="E69" s="52"/>
      <c r="F69" s="52"/>
      <c r="G69" s="52"/>
      <c r="H69" s="5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1.25" customHeight="1" x14ac:dyDescent="0.3">
      <c r="A70" s="52"/>
      <c r="B70" s="52"/>
      <c r="C70" s="52"/>
      <c r="D70" s="52"/>
      <c r="E70" s="52"/>
      <c r="F70" s="52"/>
      <c r="G70" s="52"/>
      <c r="H70" s="5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1.25" customHeight="1" x14ac:dyDescent="0.3">
      <c r="A71" s="52"/>
      <c r="B71" s="52"/>
      <c r="C71" s="52"/>
      <c r="D71" s="52"/>
      <c r="E71" s="52"/>
      <c r="F71" s="52"/>
      <c r="G71" s="52"/>
      <c r="H71" s="5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1.25" customHeight="1" x14ac:dyDescent="0.3">
      <c r="A72" s="52"/>
      <c r="B72" s="52"/>
      <c r="C72" s="52"/>
      <c r="D72" s="52"/>
      <c r="E72" s="52"/>
      <c r="F72" s="52"/>
      <c r="G72" s="52"/>
      <c r="H72" s="5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1.25" customHeight="1" x14ac:dyDescent="0.3">
      <c r="A73" s="52"/>
      <c r="B73" s="52"/>
      <c r="C73" s="52"/>
      <c r="D73" s="52"/>
      <c r="E73" s="52"/>
      <c r="F73" s="52"/>
      <c r="G73" s="52"/>
      <c r="H73" s="5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1.25" customHeight="1" x14ac:dyDescent="0.3">
      <c r="A74" s="52"/>
      <c r="B74" s="52"/>
      <c r="C74" s="52"/>
      <c r="D74" s="52"/>
      <c r="E74" s="52"/>
      <c r="F74" s="52"/>
      <c r="G74" s="52"/>
      <c r="H74" s="5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1.25" customHeight="1" x14ac:dyDescent="0.3">
      <c r="A75" s="52"/>
      <c r="B75" s="52"/>
      <c r="C75" s="52"/>
      <c r="D75" s="52"/>
      <c r="E75" s="52"/>
      <c r="F75" s="52"/>
      <c r="G75" s="52"/>
      <c r="H75" s="5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1.25" customHeight="1" x14ac:dyDescent="0.3">
      <c r="A76" s="52"/>
      <c r="B76" s="52"/>
      <c r="C76" s="52"/>
      <c r="D76" s="52"/>
      <c r="E76" s="52"/>
      <c r="F76" s="52"/>
      <c r="G76" s="52"/>
      <c r="H76" s="5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1.25" customHeight="1" x14ac:dyDescent="0.3">
      <c r="A77" s="52"/>
      <c r="B77" s="52"/>
      <c r="C77" s="52"/>
      <c r="D77" s="52"/>
      <c r="E77" s="52"/>
      <c r="F77" s="52"/>
      <c r="G77" s="52"/>
      <c r="H77" s="5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1.25" customHeight="1" x14ac:dyDescent="0.3">
      <c r="A78" s="52"/>
      <c r="B78" s="52"/>
      <c r="C78" s="52"/>
      <c r="D78" s="52"/>
      <c r="E78" s="52"/>
      <c r="F78" s="52"/>
      <c r="G78" s="52"/>
      <c r="H78" s="5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1.25" customHeight="1" x14ac:dyDescent="0.3">
      <c r="A79" s="52"/>
      <c r="B79" s="52"/>
      <c r="C79" s="52"/>
      <c r="D79" s="52"/>
      <c r="E79" s="52"/>
      <c r="F79" s="52"/>
      <c r="G79" s="52"/>
      <c r="H79" s="5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1.25" customHeight="1" x14ac:dyDescent="0.3">
      <c r="A80" s="52"/>
      <c r="B80" s="52"/>
      <c r="C80" s="52"/>
      <c r="D80" s="52"/>
      <c r="E80" s="52"/>
      <c r="F80" s="52"/>
      <c r="G80" s="52"/>
      <c r="H80" s="5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1.25" customHeight="1" x14ac:dyDescent="0.3">
      <c r="A81" s="52"/>
      <c r="B81" s="52"/>
      <c r="C81" s="52"/>
      <c r="D81" s="52"/>
      <c r="E81" s="52"/>
      <c r="F81" s="52"/>
      <c r="G81" s="52"/>
      <c r="H81" s="5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1.25" customHeight="1" x14ac:dyDescent="0.3">
      <c r="A82" s="52"/>
      <c r="B82" s="52"/>
      <c r="C82" s="52"/>
      <c r="D82" s="52"/>
      <c r="E82" s="52"/>
      <c r="F82" s="52"/>
      <c r="G82" s="52"/>
      <c r="H82" s="5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1.25" customHeight="1" x14ac:dyDescent="0.3">
      <c r="A83" s="52"/>
      <c r="B83" s="52"/>
      <c r="C83" s="52"/>
      <c r="D83" s="52"/>
      <c r="E83" s="52"/>
      <c r="F83" s="52"/>
      <c r="G83" s="52"/>
      <c r="H83" s="5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1.25" customHeight="1" x14ac:dyDescent="0.3">
      <c r="A84" s="52"/>
      <c r="B84" s="52"/>
      <c r="C84" s="52"/>
      <c r="D84" s="52"/>
      <c r="E84" s="52"/>
      <c r="F84" s="52"/>
      <c r="G84" s="52"/>
      <c r="H84" s="5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1.25" customHeight="1" x14ac:dyDescent="0.3">
      <c r="A85" s="52"/>
      <c r="B85" s="52"/>
      <c r="C85" s="52"/>
      <c r="D85" s="52"/>
      <c r="E85" s="52"/>
      <c r="F85" s="52"/>
      <c r="G85" s="52"/>
      <c r="H85" s="5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1.25" customHeight="1" x14ac:dyDescent="0.3">
      <c r="A86" s="52"/>
      <c r="B86" s="52"/>
      <c r="C86" s="52"/>
      <c r="D86" s="52"/>
      <c r="E86" s="52"/>
      <c r="F86" s="52"/>
      <c r="G86" s="52"/>
      <c r="H86" s="5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1.25" customHeight="1" x14ac:dyDescent="0.3">
      <c r="A87" s="52"/>
      <c r="B87" s="52"/>
      <c r="C87" s="52"/>
      <c r="D87" s="52"/>
      <c r="E87" s="52"/>
      <c r="F87" s="52"/>
      <c r="G87" s="52"/>
      <c r="H87" s="5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1.25" customHeight="1" x14ac:dyDescent="0.3">
      <c r="A88" s="52"/>
      <c r="B88" s="52"/>
      <c r="C88" s="52"/>
      <c r="D88" s="52"/>
      <c r="E88" s="52"/>
      <c r="F88" s="52"/>
      <c r="G88" s="52"/>
      <c r="H88" s="5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1.25" customHeight="1" x14ac:dyDescent="0.3">
      <c r="A89" s="52"/>
      <c r="B89" s="52"/>
      <c r="C89" s="52"/>
      <c r="D89" s="52"/>
      <c r="E89" s="52"/>
      <c r="F89" s="52"/>
      <c r="G89" s="52"/>
      <c r="H89" s="5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1.25" customHeight="1" x14ac:dyDescent="0.3">
      <c r="A90" s="52"/>
      <c r="B90" s="52"/>
      <c r="C90" s="52"/>
      <c r="D90" s="52"/>
      <c r="E90" s="52"/>
      <c r="F90" s="52"/>
      <c r="G90" s="52"/>
      <c r="H90" s="5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1.25" customHeight="1" x14ac:dyDescent="0.3">
      <c r="A91" s="52"/>
      <c r="B91" s="52"/>
      <c r="C91" s="52"/>
      <c r="D91" s="52"/>
      <c r="E91" s="52"/>
      <c r="F91" s="52"/>
      <c r="G91" s="52"/>
      <c r="H91" s="5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1.25" customHeight="1" x14ac:dyDescent="0.3">
      <c r="A92" s="52"/>
      <c r="B92" s="52"/>
      <c r="C92" s="52"/>
      <c r="D92" s="52"/>
      <c r="E92" s="52"/>
      <c r="F92" s="52"/>
      <c r="G92" s="52"/>
      <c r="H92" s="5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1.25" customHeight="1" x14ac:dyDescent="0.3">
      <c r="A93" s="52"/>
      <c r="B93" s="52"/>
      <c r="C93" s="52"/>
      <c r="D93" s="52"/>
      <c r="E93" s="52"/>
      <c r="F93" s="52"/>
      <c r="G93" s="52"/>
      <c r="H93" s="5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1.25" customHeight="1" x14ac:dyDescent="0.3">
      <c r="A94" s="52"/>
      <c r="B94" s="52"/>
      <c r="C94" s="52"/>
      <c r="D94" s="52"/>
      <c r="E94" s="52"/>
      <c r="F94" s="52"/>
      <c r="G94" s="52"/>
      <c r="H94" s="5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1.25" customHeight="1" x14ac:dyDescent="0.3">
      <c r="A95" s="52"/>
      <c r="B95" s="52"/>
      <c r="C95" s="52"/>
      <c r="D95" s="52"/>
      <c r="E95" s="52"/>
      <c r="F95" s="52"/>
      <c r="G95" s="52"/>
      <c r="H95" s="5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1.25" customHeight="1" x14ac:dyDescent="0.3">
      <c r="A96" s="52"/>
      <c r="B96" s="52"/>
      <c r="C96" s="52"/>
      <c r="D96" s="52"/>
      <c r="E96" s="52"/>
      <c r="F96" s="52"/>
      <c r="G96" s="52"/>
      <c r="H96" s="5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1.25" customHeight="1" x14ac:dyDescent="0.3">
      <c r="A97" s="52"/>
      <c r="B97" s="52"/>
      <c r="C97" s="52"/>
      <c r="D97" s="52"/>
      <c r="E97" s="52"/>
      <c r="F97" s="52"/>
      <c r="G97" s="52"/>
      <c r="H97" s="5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1.25" customHeight="1" x14ac:dyDescent="0.3">
      <c r="A98" s="52"/>
      <c r="B98" s="52"/>
      <c r="C98" s="52"/>
      <c r="D98" s="52"/>
      <c r="E98" s="52"/>
      <c r="F98" s="52"/>
      <c r="G98" s="52"/>
      <c r="H98" s="5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1.25" customHeight="1" x14ac:dyDescent="0.3">
      <c r="A99" s="52"/>
      <c r="B99" s="52"/>
      <c r="C99" s="52"/>
      <c r="D99" s="52"/>
      <c r="E99" s="52"/>
      <c r="F99" s="52"/>
      <c r="G99" s="52"/>
      <c r="H99" s="5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1.25" customHeight="1" x14ac:dyDescent="0.3">
      <c r="A100" s="52"/>
      <c r="B100" s="52"/>
      <c r="C100" s="52"/>
      <c r="D100" s="52"/>
      <c r="E100" s="52"/>
      <c r="F100" s="52"/>
      <c r="G100" s="52"/>
      <c r="H100" s="5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1.25" customHeight="1" x14ac:dyDescent="0.3">
      <c r="A101" s="52"/>
      <c r="B101" s="52"/>
      <c r="C101" s="52"/>
      <c r="D101" s="52"/>
      <c r="E101" s="52"/>
      <c r="F101" s="52"/>
      <c r="G101" s="52"/>
      <c r="H101" s="5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1.25" customHeight="1" x14ac:dyDescent="0.3">
      <c r="A102" s="52"/>
      <c r="B102" s="52"/>
      <c r="C102" s="52"/>
      <c r="D102" s="52"/>
      <c r="E102" s="52"/>
      <c r="F102" s="52"/>
      <c r="G102" s="52"/>
      <c r="H102" s="5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1.25" customHeight="1" x14ac:dyDescent="0.3">
      <c r="A103" s="52"/>
      <c r="B103" s="52"/>
      <c r="C103" s="52"/>
      <c r="D103" s="52"/>
      <c r="E103" s="52"/>
      <c r="F103" s="52"/>
      <c r="G103" s="52"/>
      <c r="H103" s="5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1.25" customHeight="1" x14ac:dyDescent="0.3">
      <c r="A104" s="52"/>
      <c r="B104" s="52"/>
      <c r="C104" s="52"/>
      <c r="D104" s="52"/>
      <c r="E104" s="52"/>
      <c r="F104" s="52"/>
      <c r="G104" s="52"/>
      <c r="H104" s="5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1.25" customHeight="1" x14ac:dyDescent="0.3">
      <c r="A105" s="52"/>
      <c r="B105" s="52"/>
      <c r="C105" s="52"/>
      <c r="D105" s="52"/>
      <c r="E105" s="52"/>
      <c r="F105" s="52"/>
      <c r="G105" s="52"/>
      <c r="H105" s="5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1.25" customHeight="1" x14ac:dyDescent="0.3">
      <c r="A106" s="52"/>
      <c r="B106" s="52"/>
      <c r="C106" s="52"/>
      <c r="D106" s="52"/>
      <c r="E106" s="52"/>
      <c r="F106" s="52"/>
      <c r="G106" s="52"/>
      <c r="H106" s="5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1.25" customHeight="1" x14ac:dyDescent="0.3">
      <c r="A107" s="52"/>
      <c r="B107" s="52"/>
      <c r="C107" s="52"/>
      <c r="D107" s="52"/>
      <c r="E107" s="52"/>
      <c r="F107" s="52"/>
      <c r="G107" s="52"/>
      <c r="H107" s="5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1.25" customHeight="1" x14ac:dyDescent="0.3">
      <c r="A108" s="52"/>
      <c r="B108" s="52"/>
      <c r="C108" s="52"/>
      <c r="D108" s="52"/>
      <c r="E108" s="52"/>
      <c r="F108" s="52"/>
      <c r="G108" s="52"/>
      <c r="H108" s="5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1.25" customHeight="1" x14ac:dyDescent="0.3">
      <c r="A109" s="52"/>
      <c r="B109" s="52"/>
      <c r="C109" s="52"/>
      <c r="D109" s="52"/>
      <c r="E109" s="52"/>
      <c r="F109" s="52"/>
      <c r="G109" s="52"/>
      <c r="H109" s="5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1.25" customHeight="1" x14ac:dyDescent="0.3">
      <c r="A110" s="52"/>
      <c r="B110" s="52"/>
      <c r="C110" s="52"/>
      <c r="D110" s="52"/>
      <c r="E110" s="52"/>
      <c r="F110" s="52"/>
      <c r="G110" s="52"/>
      <c r="H110" s="5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1.25" customHeight="1" x14ac:dyDescent="0.3">
      <c r="A111" s="52"/>
      <c r="B111" s="52"/>
      <c r="C111" s="52"/>
      <c r="D111" s="52"/>
      <c r="E111" s="52"/>
      <c r="F111" s="52"/>
      <c r="G111" s="52"/>
      <c r="H111" s="5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1.25" customHeight="1" x14ac:dyDescent="0.3">
      <c r="A112" s="52"/>
      <c r="B112" s="52"/>
      <c r="C112" s="52"/>
      <c r="D112" s="52"/>
      <c r="E112" s="52"/>
      <c r="F112" s="52"/>
      <c r="G112" s="52"/>
      <c r="H112" s="5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1.25" customHeight="1" x14ac:dyDescent="0.3">
      <c r="A113" s="52"/>
      <c r="B113" s="52"/>
      <c r="C113" s="52"/>
      <c r="D113" s="52"/>
      <c r="E113" s="52"/>
      <c r="F113" s="52"/>
      <c r="G113" s="52"/>
      <c r="H113" s="5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1.25" customHeight="1" x14ac:dyDescent="0.3">
      <c r="A114" s="52"/>
      <c r="B114" s="52"/>
      <c r="C114" s="52"/>
      <c r="D114" s="52"/>
      <c r="E114" s="52"/>
      <c r="F114" s="52"/>
      <c r="G114" s="52"/>
      <c r="H114" s="5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1.25" customHeight="1" x14ac:dyDescent="0.3">
      <c r="A115" s="52"/>
      <c r="B115" s="52"/>
      <c r="C115" s="52"/>
      <c r="D115" s="52"/>
      <c r="E115" s="52"/>
      <c r="F115" s="52"/>
      <c r="G115" s="52"/>
      <c r="H115" s="5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1.25" customHeight="1" x14ac:dyDescent="0.3">
      <c r="A116" s="52"/>
      <c r="B116" s="52"/>
      <c r="C116" s="52"/>
      <c r="D116" s="52"/>
      <c r="E116" s="52"/>
      <c r="F116" s="52"/>
      <c r="G116" s="52"/>
      <c r="H116" s="5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1.25" customHeight="1" x14ac:dyDescent="0.3">
      <c r="A117" s="52"/>
      <c r="B117" s="52"/>
      <c r="C117" s="52"/>
      <c r="D117" s="52"/>
      <c r="E117" s="52"/>
      <c r="F117" s="52"/>
      <c r="G117" s="52"/>
      <c r="H117" s="5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1.25" customHeight="1" x14ac:dyDescent="0.3">
      <c r="A118" s="52"/>
      <c r="B118" s="52"/>
      <c r="C118" s="52"/>
      <c r="D118" s="52"/>
      <c r="E118" s="52"/>
      <c r="F118" s="52"/>
      <c r="G118" s="52"/>
      <c r="H118" s="5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1.25" customHeight="1" x14ac:dyDescent="0.3">
      <c r="A119" s="52"/>
      <c r="B119" s="52"/>
      <c r="C119" s="52"/>
      <c r="D119" s="52"/>
      <c r="E119" s="52"/>
      <c r="F119" s="52"/>
      <c r="G119" s="52"/>
      <c r="H119" s="5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1.25" customHeight="1" x14ac:dyDescent="0.3">
      <c r="A120" s="52"/>
      <c r="B120" s="52"/>
      <c r="C120" s="52"/>
      <c r="D120" s="52"/>
      <c r="E120" s="52"/>
      <c r="F120" s="52"/>
      <c r="G120" s="52"/>
      <c r="H120" s="5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1.25" customHeight="1" x14ac:dyDescent="0.3">
      <c r="A121" s="52"/>
      <c r="B121" s="52"/>
      <c r="C121" s="52"/>
      <c r="D121" s="52"/>
      <c r="E121" s="52"/>
      <c r="F121" s="52"/>
      <c r="G121" s="52"/>
      <c r="H121" s="5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1.25" customHeight="1" x14ac:dyDescent="0.3">
      <c r="A122" s="52"/>
      <c r="B122" s="52"/>
      <c r="C122" s="52"/>
      <c r="D122" s="52"/>
      <c r="E122" s="52"/>
      <c r="F122" s="52"/>
      <c r="G122" s="52"/>
      <c r="H122" s="5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1.25" customHeight="1" x14ac:dyDescent="0.3">
      <c r="A123" s="52"/>
      <c r="B123" s="52"/>
      <c r="C123" s="52"/>
      <c r="D123" s="52"/>
      <c r="E123" s="52"/>
      <c r="F123" s="52"/>
      <c r="G123" s="52"/>
      <c r="H123" s="5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1.25" customHeight="1" x14ac:dyDescent="0.3">
      <c r="A124" s="52"/>
      <c r="B124" s="52"/>
      <c r="C124" s="52"/>
      <c r="D124" s="52"/>
      <c r="E124" s="52"/>
      <c r="F124" s="52"/>
      <c r="G124" s="52"/>
      <c r="H124" s="5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1.25" customHeight="1" x14ac:dyDescent="0.3">
      <c r="A125" s="52"/>
      <c r="B125" s="52"/>
      <c r="C125" s="52"/>
      <c r="D125" s="52"/>
      <c r="E125" s="52"/>
      <c r="F125" s="52"/>
      <c r="G125" s="52"/>
      <c r="H125" s="5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1.25" customHeight="1" x14ac:dyDescent="0.3">
      <c r="A126" s="52"/>
      <c r="B126" s="52"/>
      <c r="C126" s="52"/>
      <c r="D126" s="52"/>
      <c r="E126" s="52"/>
      <c r="F126" s="52"/>
      <c r="G126" s="52"/>
      <c r="H126" s="5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1.25" customHeight="1" x14ac:dyDescent="0.3">
      <c r="A127" s="52"/>
      <c r="B127" s="52"/>
      <c r="C127" s="52"/>
      <c r="D127" s="52"/>
      <c r="E127" s="52"/>
      <c r="F127" s="52"/>
      <c r="G127" s="52"/>
      <c r="H127" s="5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1.25" customHeight="1" x14ac:dyDescent="0.3">
      <c r="A128" s="52"/>
      <c r="B128" s="52"/>
      <c r="C128" s="52"/>
      <c r="D128" s="52"/>
      <c r="E128" s="52"/>
      <c r="F128" s="52"/>
      <c r="G128" s="52"/>
      <c r="H128" s="5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1.25" customHeight="1" x14ac:dyDescent="0.3">
      <c r="A129" s="52"/>
      <c r="B129" s="52"/>
      <c r="C129" s="52"/>
      <c r="D129" s="52"/>
      <c r="E129" s="52"/>
      <c r="F129" s="52"/>
      <c r="G129" s="52"/>
      <c r="H129" s="5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1.25" customHeight="1" x14ac:dyDescent="0.3">
      <c r="A130" s="52"/>
      <c r="B130" s="52"/>
      <c r="C130" s="52"/>
      <c r="D130" s="52"/>
      <c r="E130" s="52"/>
      <c r="F130" s="52"/>
      <c r="G130" s="52"/>
      <c r="H130" s="5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1.25" customHeight="1" x14ac:dyDescent="0.3">
      <c r="A131" s="52"/>
      <c r="B131" s="52"/>
      <c r="C131" s="52"/>
      <c r="D131" s="52"/>
      <c r="E131" s="52"/>
      <c r="F131" s="52"/>
      <c r="G131" s="52"/>
      <c r="H131" s="5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1.25" customHeight="1" x14ac:dyDescent="0.3">
      <c r="A132" s="52"/>
      <c r="B132" s="52"/>
      <c r="C132" s="52"/>
      <c r="D132" s="52"/>
      <c r="E132" s="52"/>
      <c r="F132" s="52"/>
      <c r="G132" s="52"/>
      <c r="H132" s="5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1.25" customHeight="1" x14ac:dyDescent="0.3">
      <c r="A133" s="52"/>
      <c r="B133" s="52"/>
      <c r="C133" s="52"/>
      <c r="D133" s="52"/>
      <c r="E133" s="52"/>
      <c r="F133" s="52"/>
      <c r="G133" s="52"/>
      <c r="H133" s="5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1.25" customHeight="1" x14ac:dyDescent="0.3">
      <c r="A134" s="52"/>
      <c r="B134" s="52"/>
      <c r="C134" s="52"/>
      <c r="D134" s="52"/>
      <c r="E134" s="52"/>
      <c r="F134" s="52"/>
      <c r="G134" s="52"/>
      <c r="H134" s="5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1.25" customHeight="1" x14ac:dyDescent="0.3">
      <c r="A135" s="52"/>
      <c r="B135" s="52"/>
      <c r="C135" s="52"/>
      <c r="D135" s="52"/>
      <c r="E135" s="52"/>
      <c r="F135" s="52"/>
      <c r="G135" s="52"/>
      <c r="H135" s="5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1.25" customHeight="1" x14ac:dyDescent="0.3">
      <c r="A136" s="52"/>
      <c r="B136" s="52"/>
      <c r="C136" s="52"/>
      <c r="D136" s="52"/>
      <c r="E136" s="52"/>
      <c r="F136" s="52"/>
      <c r="G136" s="52"/>
      <c r="H136" s="5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1.25" customHeight="1" x14ac:dyDescent="0.3">
      <c r="A137" s="52"/>
      <c r="B137" s="52"/>
      <c r="C137" s="52"/>
      <c r="D137" s="52"/>
      <c r="E137" s="52"/>
      <c r="F137" s="52"/>
      <c r="G137" s="52"/>
      <c r="H137" s="5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1.25" customHeight="1" x14ac:dyDescent="0.3">
      <c r="A138" s="52"/>
      <c r="B138" s="52"/>
      <c r="C138" s="52"/>
      <c r="D138" s="52"/>
      <c r="E138" s="52"/>
      <c r="F138" s="52"/>
      <c r="G138" s="52"/>
      <c r="H138" s="5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1.25" customHeight="1" x14ac:dyDescent="0.3">
      <c r="A139" s="52"/>
      <c r="B139" s="52"/>
      <c r="C139" s="52"/>
      <c r="D139" s="52"/>
      <c r="E139" s="52"/>
      <c r="F139" s="52"/>
      <c r="G139" s="52"/>
      <c r="H139" s="5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1.25" customHeight="1" x14ac:dyDescent="0.3">
      <c r="A140" s="52"/>
      <c r="B140" s="52"/>
      <c r="C140" s="52"/>
      <c r="D140" s="52"/>
      <c r="E140" s="52"/>
      <c r="F140" s="52"/>
      <c r="G140" s="52"/>
      <c r="H140" s="5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1.25" customHeight="1" x14ac:dyDescent="0.3">
      <c r="A141" s="52"/>
      <c r="B141" s="52"/>
      <c r="C141" s="52"/>
      <c r="D141" s="52"/>
      <c r="E141" s="52"/>
      <c r="F141" s="52"/>
      <c r="G141" s="52"/>
      <c r="H141" s="5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1.25" customHeight="1" x14ac:dyDescent="0.3">
      <c r="A142" s="52"/>
      <c r="B142" s="52"/>
      <c r="C142" s="52"/>
      <c r="D142" s="52"/>
      <c r="E142" s="52"/>
      <c r="F142" s="52"/>
      <c r="G142" s="52"/>
      <c r="H142" s="5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1.25" customHeight="1" x14ac:dyDescent="0.3">
      <c r="A143" s="52"/>
      <c r="B143" s="52"/>
      <c r="C143" s="52"/>
      <c r="D143" s="52"/>
      <c r="E143" s="52"/>
      <c r="F143" s="52"/>
      <c r="G143" s="52"/>
      <c r="H143" s="5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1.25" customHeight="1" x14ac:dyDescent="0.3">
      <c r="A144" s="52"/>
      <c r="B144" s="52"/>
      <c r="C144" s="52"/>
      <c r="D144" s="52"/>
      <c r="E144" s="52"/>
      <c r="F144" s="52"/>
      <c r="G144" s="52"/>
      <c r="H144" s="5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1.25" customHeight="1" x14ac:dyDescent="0.3">
      <c r="A145" s="52"/>
      <c r="B145" s="52"/>
      <c r="C145" s="52"/>
      <c r="D145" s="52"/>
      <c r="E145" s="52"/>
      <c r="F145" s="52"/>
      <c r="G145" s="52"/>
      <c r="H145" s="5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1.25" customHeight="1" x14ac:dyDescent="0.3">
      <c r="A146" s="52"/>
      <c r="B146" s="52"/>
      <c r="C146" s="52"/>
      <c r="D146" s="52"/>
      <c r="E146" s="52"/>
      <c r="F146" s="52"/>
      <c r="G146" s="52"/>
      <c r="H146" s="5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1.25" customHeight="1" x14ac:dyDescent="0.3">
      <c r="A147" s="52"/>
      <c r="B147" s="52"/>
      <c r="C147" s="52"/>
      <c r="D147" s="52"/>
      <c r="E147" s="52"/>
      <c r="F147" s="52"/>
      <c r="G147" s="52"/>
      <c r="H147" s="5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1.25" customHeight="1" x14ac:dyDescent="0.3">
      <c r="A148" s="52"/>
      <c r="B148" s="52"/>
      <c r="C148" s="52"/>
      <c r="D148" s="52"/>
      <c r="E148" s="52"/>
      <c r="F148" s="52"/>
      <c r="G148" s="52"/>
      <c r="H148" s="5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1.25" customHeight="1" x14ac:dyDescent="0.3">
      <c r="A149" s="52"/>
      <c r="B149" s="52"/>
      <c r="C149" s="52"/>
      <c r="D149" s="52"/>
      <c r="E149" s="52"/>
      <c r="F149" s="52"/>
      <c r="G149" s="52"/>
      <c r="H149" s="5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1.25" customHeight="1" x14ac:dyDescent="0.3">
      <c r="A150" s="52"/>
      <c r="B150" s="52"/>
      <c r="C150" s="52"/>
      <c r="D150" s="52"/>
      <c r="E150" s="52"/>
      <c r="F150" s="52"/>
      <c r="G150" s="52"/>
      <c r="H150" s="5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1.25" customHeight="1" x14ac:dyDescent="0.3">
      <c r="A151" s="52"/>
      <c r="B151" s="52"/>
      <c r="C151" s="52"/>
      <c r="D151" s="52"/>
      <c r="E151" s="52"/>
      <c r="F151" s="52"/>
      <c r="G151" s="52"/>
      <c r="H151" s="5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1.25" customHeight="1" x14ac:dyDescent="0.3">
      <c r="A152" s="52"/>
      <c r="B152" s="52"/>
      <c r="C152" s="52"/>
      <c r="D152" s="52"/>
      <c r="E152" s="52"/>
      <c r="F152" s="52"/>
      <c r="G152" s="52"/>
      <c r="H152" s="5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1.25" customHeight="1" x14ac:dyDescent="0.3">
      <c r="A153" s="52"/>
      <c r="B153" s="52"/>
      <c r="C153" s="52"/>
      <c r="D153" s="52"/>
      <c r="E153" s="52"/>
      <c r="F153" s="52"/>
      <c r="G153" s="52"/>
      <c r="H153" s="5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1.25" customHeight="1" x14ac:dyDescent="0.3">
      <c r="A154" s="52"/>
      <c r="B154" s="52"/>
      <c r="C154" s="52"/>
      <c r="D154" s="52"/>
      <c r="E154" s="52"/>
      <c r="F154" s="52"/>
      <c r="G154" s="52"/>
      <c r="H154" s="5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1.25" customHeight="1" x14ac:dyDescent="0.3">
      <c r="A155" s="52"/>
      <c r="B155" s="52"/>
      <c r="C155" s="52"/>
      <c r="D155" s="52"/>
      <c r="E155" s="52"/>
      <c r="F155" s="52"/>
      <c r="G155" s="52"/>
      <c r="H155" s="5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1.25" customHeight="1" x14ac:dyDescent="0.3">
      <c r="A156" s="52"/>
      <c r="B156" s="52"/>
      <c r="C156" s="52"/>
      <c r="D156" s="52"/>
      <c r="E156" s="52"/>
      <c r="F156" s="52"/>
      <c r="G156" s="52"/>
      <c r="H156" s="5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1.25" customHeight="1" x14ac:dyDescent="0.3">
      <c r="A157" s="52"/>
      <c r="B157" s="52"/>
      <c r="C157" s="52"/>
      <c r="D157" s="52"/>
      <c r="E157" s="52"/>
      <c r="F157" s="52"/>
      <c r="G157" s="52"/>
      <c r="H157" s="5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1.25" customHeight="1" x14ac:dyDescent="0.3">
      <c r="A158" s="52"/>
      <c r="B158" s="52"/>
      <c r="C158" s="52"/>
      <c r="D158" s="52"/>
      <c r="E158" s="52"/>
      <c r="F158" s="52"/>
      <c r="G158" s="52"/>
      <c r="H158" s="5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1.25" customHeight="1" x14ac:dyDescent="0.3">
      <c r="A159" s="52"/>
      <c r="B159" s="52"/>
      <c r="C159" s="52"/>
      <c r="D159" s="52"/>
      <c r="E159" s="52"/>
      <c r="F159" s="52"/>
      <c r="G159" s="52"/>
      <c r="H159" s="5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1.25" customHeight="1" x14ac:dyDescent="0.3">
      <c r="A160" s="52"/>
      <c r="B160" s="52"/>
      <c r="C160" s="52"/>
      <c r="D160" s="52"/>
      <c r="E160" s="52"/>
      <c r="F160" s="52"/>
      <c r="G160" s="52"/>
      <c r="H160" s="5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1.25" customHeight="1" x14ac:dyDescent="0.3">
      <c r="A161" s="52"/>
      <c r="B161" s="52"/>
      <c r="C161" s="52"/>
      <c r="D161" s="52"/>
      <c r="E161" s="52"/>
      <c r="F161" s="52"/>
      <c r="G161" s="52"/>
      <c r="H161" s="5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1.25" customHeight="1" x14ac:dyDescent="0.3">
      <c r="A162" s="52"/>
      <c r="B162" s="52"/>
      <c r="C162" s="52"/>
      <c r="D162" s="52"/>
      <c r="E162" s="52"/>
      <c r="F162" s="52"/>
      <c r="G162" s="52"/>
      <c r="H162" s="5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1.25" customHeight="1" x14ac:dyDescent="0.3">
      <c r="A163" s="52"/>
      <c r="B163" s="52"/>
      <c r="C163" s="52"/>
      <c r="D163" s="52"/>
      <c r="E163" s="52"/>
      <c r="F163" s="52"/>
      <c r="G163" s="52"/>
      <c r="H163" s="5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1.25" customHeight="1" x14ac:dyDescent="0.3">
      <c r="A164" s="52"/>
      <c r="B164" s="52"/>
      <c r="C164" s="52"/>
      <c r="D164" s="52"/>
      <c r="E164" s="52"/>
      <c r="F164" s="52"/>
      <c r="G164" s="52"/>
      <c r="H164" s="5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1.25" customHeight="1" x14ac:dyDescent="0.3">
      <c r="A165" s="52"/>
      <c r="B165" s="52"/>
      <c r="C165" s="52"/>
      <c r="D165" s="52"/>
      <c r="E165" s="52"/>
      <c r="F165" s="52"/>
      <c r="G165" s="52"/>
      <c r="H165" s="5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1.25" customHeight="1" x14ac:dyDescent="0.3">
      <c r="A166" s="52"/>
      <c r="B166" s="52"/>
      <c r="C166" s="52"/>
      <c r="D166" s="52"/>
      <c r="E166" s="52"/>
      <c r="F166" s="52"/>
      <c r="G166" s="52"/>
      <c r="H166" s="5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1.25" customHeight="1" x14ac:dyDescent="0.3">
      <c r="A167" s="52"/>
      <c r="B167" s="52"/>
      <c r="C167" s="52"/>
      <c r="D167" s="52"/>
      <c r="E167" s="52"/>
      <c r="F167" s="52"/>
      <c r="G167" s="52"/>
      <c r="H167" s="5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1.25" customHeight="1" x14ac:dyDescent="0.3">
      <c r="A168" s="52"/>
      <c r="B168" s="52"/>
      <c r="C168" s="52"/>
      <c r="D168" s="52"/>
      <c r="E168" s="52"/>
      <c r="F168" s="52"/>
      <c r="G168" s="52"/>
      <c r="H168" s="5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1.25" customHeight="1" x14ac:dyDescent="0.3">
      <c r="A169" s="52"/>
      <c r="B169" s="52"/>
      <c r="C169" s="52"/>
      <c r="D169" s="52"/>
      <c r="E169" s="52"/>
      <c r="F169" s="52"/>
      <c r="G169" s="52"/>
      <c r="H169" s="5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1.25" customHeight="1" x14ac:dyDescent="0.3">
      <c r="A170" s="52"/>
      <c r="B170" s="52"/>
      <c r="C170" s="52"/>
      <c r="D170" s="52"/>
      <c r="E170" s="52"/>
      <c r="F170" s="52"/>
      <c r="G170" s="52"/>
      <c r="H170" s="5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1.25" customHeight="1" x14ac:dyDescent="0.3">
      <c r="A171" s="52"/>
      <c r="B171" s="52"/>
      <c r="C171" s="52"/>
      <c r="D171" s="52"/>
      <c r="E171" s="52"/>
      <c r="F171" s="52"/>
      <c r="G171" s="52"/>
      <c r="H171" s="5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1.25" customHeight="1" x14ac:dyDescent="0.3">
      <c r="A172" s="52"/>
      <c r="B172" s="52"/>
      <c r="C172" s="52"/>
      <c r="D172" s="52"/>
      <c r="E172" s="52"/>
      <c r="F172" s="52"/>
      <c r="G172" s="52"/>
      <c r="H172" s="5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1.25" customHeight="1" x14ac:dyDescent="0.3">
      <c r="A173" s="52"/>
      <c r="B173" s="52"/>
      <c r="C173" s="52"/>
      <c r="D173" s="52"/>
      <c r="E173" s="52"/>
      <c r="F173" s="52"/>
      <c r="G173" s="52"/>
      <c r="H173" s="5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1.25" customHeight="1" x14ac:dyDescent="0.3">
      <c r="A174" s="52"/>
      <c r="B174" s="52"/>
      <c r="C174" s="52"/>
      <c r="D174" s="52"/>
      <c r="E174" s="52"/>
      <c r="F174" s="52"/>
      <c r="G174" s="52"/>
      <c r="H174" s="5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1.25" customHeight="1" x14ac:dyDescent="0.3">
      <c r="A175" s="52"/>
      <c r="B175" s="52"/>
      <c r="C175" s="52"/>
      <c r="D175" s="52"/>
      <c r="E175" s="52"/>
      <c r="F175" s="52"/>
      <c r="G175" s="52"/>
      <c r="H175" s="5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1.25" customHeight="1" x14ac:dyDescent="0.3">
      <c r="A176" s="52"/>
      <c r="B176" s="52"/>
      <c r="C176" s="52"/>
      <c r="D176" s="52"/>
      <c r="E176" s="52"/>
      <c r="F176" s="52"/>
      <c r="G176" s="52"/>
      <c r="H176" s="5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1.25" customHeight="1" x14ac:dyDescent="0.3">
      <c r="A177" s="52"/>
      <c r="B177" s="52"/>
      <c r="C177" s="52"/>
      <c r="D177" s="52"/>
      <c r="E177" s="52"/>
      <c r="F177" s="52"/>
      <c r="G177" s="52"/>
      <c r="H177" s="5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1.25" customHeight="1" x14ac:dyDescent="0.3">
      <c r="A178" s="52"/>
      <c r="B178" s="52"/>
      <c r="C178" s="52"/>
      <c r="D178" s="52"/>
      <c r="E178" s="52"/>
      <c r="F178" s="52"/>
      <c r="G178" s="52"/>
      <c r="H178" s="5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1.25" customHeight="1" x14ac:dyDescent="0.3">
      <c r="A179" s="52"/>
      <c r="B179" s="52"/>
      <c r="C179" s="52"/>
      <c r="D179" s="52"/>
      <c r="E179" s="52"/>
      <c r="F179" s="52"/>
      <c r="G179" s="52"/>
      <c r="H179" s="5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1.25" customHeight="1" x14ac:dyDescent="0.3">
      <c r="A180" s="52"/>
      <c r="B180" s="52"/>
      <c r="C180" s="52"/>
      <c r="D180" s="52"/>
      <c r="E180" s="52"/>
      <c r="F180" s="52"/>
      <c r="G180" s="52"/>
      <c r="H180" s="5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1.25" customHeight="1" x14ac:dyDescent="0.3">
      <c r="A181" s="52"/>
      <c r="B181" s="52"/>
      <c r="C181" s="52"/>
      <c r="D181" s="52"/>
      <c r="E181" s="52"/>
      <c r="F181" s="52"/>
      <c r="G181" s="52"/>
      <c r="H181" s="5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1.25" customHeight="1" x14ac:dyDescent="0.3">
      <c r="A182" s="52"/>
      <c r="B182" s="52"/>
      <c r="C182" s="52"/>
      <c r="D182" s="52"/>
      <c r="E182" s="52"/>
      <c r="F182" s="52"/>
      <c r="G182" s="52"/>
      <c r="H182" s="5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1.25" customHeight="1" x14ac:dyDescent="0.3">
      <c r="A183" s="52"/>
      <c r="B183" s="52"/>
      <c r="C183" s="52"/>
      <c r="D183" s="52"/>
      <c r="E183" s="52"/>
      <c r="F183" s="52"/>
      <c r="G183" s="52"/>
      <c r="H183" s="5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1.25" customHeight="1" x14ac:dyDescent="0.3">
      <c r="A184" s="52"/>
      <c r="B184" s="52"/>
      <c r="C184" s="52"/>
      <c r="D184" s="52"/>
      <c r="E184" s="52"/>
      <c r="F184" s="52"/>
      <c r="G184" s="52"/>
      <c r="H184" s="5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1.25" customHeight="1" x14ac:dyDescent="0.3">
      <c r="A185" s="52"/>
      <c r="B185" s="52"/>
      <c r="C185" s="52"/>
      <c r="D185" s="52"/>
      <c r="E185" s="52"/>
      <c r="F185" s="52"/>
      <c r="G185" s="52"/>
      <c r="H185" s="5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1.25" customHeight="1" x14ac:dyDescent="0.3">
      <c r="A186" s="52"/>
      <c r="B186" s="52"/>
      <c r="C186" s="52"/>
      <c r="D186" s="52"/>
      <c r="E186" s="52"/>
      <c r="F186" s="52"/>
      <c r="G186" s="52"/>
      <c r="H186" s="5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1.25" customHeight="1" x14ac:dyDescent="0.3">
      <c r="A187" s="52"/>
      <c r="B187" s="52"/>
      <c r="C187" s="52"/>
      <c r="D187" s="52"/>
      <c r="E187" s="52"/>
      <c r="F187" s="52"/>
      <c r="G187" s="52"/>
      <c r="H187" s="5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1.25" customHeight="1" x14ac:dyDescent="0.3">
      <c r="A188" s="52"/>
      <c r="B188" s="52"/>
      <c r="C188" s="52"/>
      <c r="D188" s="52"/>
      <c r="E188" s="52"/>
      <c r="F188" s="52"/>
      <c r="G188" s="52"/>
      <c r="H188" s="5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1.25" customHeight="1" x14ac:dyDescent="0.3">
      <c r="A189" s="52"/>
      <c r="B189" s="52"/>
      <c r="C189" s="52"/>
      <c r="D189" s="52"/>
      <c r="E189" s="52"/>
      <c r="F189" s="52"/>
      <c r="G189" s="52"/>
      <c r="H189" s="5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1.25" customHeight="1" x14ac:dyDescent="0.3">
      <c r="A190" s="52"/>
      <c r="B190" s="52"/>
      <c r="C190" s="52"/>
      <c r="D190" s="52"/>
      <c r="E190" s="52"/>
      <c r="F190" s="52"/>
      <c r="G190" s="52"/>
      <c r="H190" s="5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1.25" customHeight="1" x14ac:dyDescent="0.3">
      <c r="A191" s="52"/>
      <c r="B191" s="52"/>
      <c r="C191" s="52"/>
      <c r="D191" s="52"/>
      <c r="E191" s="52"/>
      <c r="F191" s="52"/>
      <c r="G191" s="52"/>
      <c r="H191" s="5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1.25" customHeight="1" x14ac:dyDescent="0.3">
      <c r="A192" s="52"/>
      <c r="B192" s="52"/>
      <c r="C192" s="52"/>
      <c r="D192" s="52"/>
      <c r="E192" s="52"/>
      <c r="F192" s="52"/>
      <c r="G192" s="52"/>
      <c r="H192" s="5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1.25" customHeight="1" x14ac:dyDescent="0.3">
      <c r="A193" s="52"/>
      <c r="B193" s="52"/>
      <c r="C193" s="52"/>
      <c r="D193" s="52"/>
      <c r="E193" s="52"/>
      <c r="F193" s="52"/>
      <c r="G193" s="52"/>
      <c r="H193" s="5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1.25" customHeight="1" x14ac:dyDescent="0.3">
      <c r="A194" s="52"/>
      <c r="B194" s="52"/>
      <c r="C194" s="52"/>
      <c r="D194" s="52"/>
      <c r="E194" s="52"/>
      <c r="F194" s="52"/>
      <c r="G194" s="52"/>
      <c r="H194" s="5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1.25" customHeight="1" x14ac:dyDescent="0.3">
      <c r="A195" s="52"/>
      <c r="B195" s="52"/>
      <c r="C195" s="52"/>
      <c r="D195" s="52"/>
      <c r="E195" s="52"/>
      <c r="F195" s="52"/>
      <c r="G195" s="52"/>
      <c r="H195" s="5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1.25" customHeight="1" x14ac:dyDescent="0.3">
      <c r="A196" s="52"/>
      <c r="B196" s="52"/>
      <c r="C196" s="52"/>
      <c r="D196" s="52"/>
      <c r="E196" s="52"/>
      <c r="F196" s="52"/>
      <c r="G196" s="52"/>
      <c r="H196" s="5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1.25" customHeight="1" x14ac:dyDescent="0.3">
      <c r="A197" s="52"/>
      <c r="B197" s="52"/>
      <c r="C197" s="52"/>
      <c r="D197" s="52"/>
      <c r="E197" s="52"/>
      <c r="F197" s="52"/>
      <c r="G197" s="52"/>
      <c r="H197" s="5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1.25" customHeight="1" x14ac:dyDescent="0.3">
      <c r="A198" s="52"/>
      <c r="B198" s="52"/>
      <c r="C198" s="52"/>
      <c r="D198" s="52"/>
      <c r="E198" s="52"/>
      <c r="F198" s="52"/>
      <c r="G198" s="52"/>
      <c r="H198" s="5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1.25" customHeight="1" x14ac:dyDescent="0.3">
      <c r="A199" s="52"/>
      <c r="B199" s="52"/>
      <c r="C199" s="52"/>
      <c r="D199" s="52"/>
      <c r="E199" s="52"/>
      <c r="F199" s="52"/>
      <c r="G199" s="52"/>
      <c r="H199" s="5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1.25" customHeight="1" x14ac:dyDescent="0.3">
      <c r="A200" s="52"/>
      <c r="B200" s="52"/>
      <c r="C200" s="52"/>
      <c r="D200" s="52"/>
      <c r="E200" s="52"/>
      <c r="F200" s="52"/>
      <c r="G200" s="52"/>
      <c r="H200" s="5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1.25" customHeight="1" x14ac:dyDescent="0.3">
      <c r="A201" s="52"/>
      <c r="B201" s="52"/>
      <c r="C201" s="52"/>
      <c r="D201" s="52"/>
      <c r="E201" s="52"/>
      <c r="F201" s="52"/>
      <c r="G201" s="52"/>
      <c r="H201" s="5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1.25" customHeight="1" x14ac:dyDescent="0.3">
      <c r="A202" s="52"/>
      <c r="B202" s="52"/>
      <c r="C202" s="52"/>
      <c r="D202" s="52"/>
      <c r="E202" s="52"/>
      <c r="F202" s="52"/>
      <c r="G202" s="52"/>
      <c r="H202" s="5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1.25" customHeight="1" x14ac:dyDescent="0.3">
      <c r="A203" s="52"/>
      <c r="B203" s="52"/>
      <c r="C203" s="52"/>
      <c r="D203" s="52"/>
      <c r="E203" s="52"/>
      <c r="F203" s="52"/>
      <c r="G203" s="52"/>
      <c r="H203" s="5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1.25" customHeight="1" x14ac:dyDescent="0.3">
      <c r="A204" s="52"/>
      <c r="B204" s="52"/>
      <c r="C204" s="52"/>
      <c r="D204" s="52"/>
      <c r="E204" s="52"/>
      <c r="F204" s="52"/>
      <c r="G204" s="52"/>
      <c r="H204" s="5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1.25" customHeight="1" x14ac:dyDescent="0.3">
      <c r="A205" s="52"/>
      <c r="B205" s="52"/>
      <c r="C205" s="52"/>
      <c r="D205" s="52"/>
      <c r="E205" s="52"/>
      <c r="F205" s="52"/>
      <c r="G205" s="52"/>
      <c r="H205" s="5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1.25" customHeight="1" x14ac:dyDescent="0.3">
      <c r="A206" s="52"/>
      <c r="B206" s="52"/>
      <c r="C206" s="52"/>
      <c r="D206" s="52"/>
      <c r="E206" s="52"/>
      <c r="F206" s="52"/>
      <c r="G206" s="52"/>
      <c r="H206" s="5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1.25" customHeight="1" x14ac:dyDescent="0.3">
      <c r="A207" s="52"/>
      <c r="B207" s="52"/>
      <c r="C207" s="52"/>
      <c r="D207" s="52"/>
      <c r="E207" s="52"/>
      <c r="F207" s="52"/>
      <c r="G207" s="52"/>
      <c r="H207" s="5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1.25" customHeight="1" x14ac:dyDescent="0.3">
      <c r="A208" s="52"/>
      <c r="B208" s="52"/>
      <c r="C208" s="52"/>
      <c r="D208" s="52"/>
      <c r="E208" s="52"/>
      <c r="F208" s="52"/>
      <c r="G208" s="52"/>
      <c r="H208" s="5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1.25" customHeight="1" x14ac:dyDescent="0.3">
      <c r="A209" s="52"/>
      <c r="B209" s="52"/>
      <c r="C209" s="52"/>
      <c r="D209" s="52"/>
      <c r="E209" s="52"/>
      <c r="F209" s="52"/>
      <c r="G209" s="52"/>
      <c r="H209" s="5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1.25" customHeight="1" x14ac:dyDescent="0.3">
      <c r="A210" s="52"/>
      <c r="B210" s="52"/>
      <c r="C210" s="52"/>
      <c r="D210" s="52"/>
      <c r="E210" s="52"/>
      <c r="F210" s="52"/>
      <c r="G210" s="52"/>
      <c r="H210" s="5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1.25" customHeight="1" x14ac:dyDescent="0.3">
      <c r="A211" s="52"/>
      <c r="B211" s="52"/>
      <c r="C211" s="52"/>
      <c r="D211" s="52"/>
      <c r="E211" s="52"/>
      <c r="F211" s="52"/>
      <c r="G211" s="52"/>
      <c r="H211" s="5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1.25" customHeight="1" x14ac:dyDescent="0.3">
      <c r="A212" s="52"/>
      <c r="B212" s="52"/>
      <c r="C212" s="52"/>
      <c r="D212" s="52"/>
      <c r="E212" s="52"/>
      <c r="F212" s="52"/>
      <c r="G212" s="52"/>
      <c r="H212" s="5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1.25" customHeight="1" x14ac:dyDescent="0.3">
      <c r="A213" s="52"/>
      <c r="B213" s="52"/>
      <c r="C213" s="52"/>
      <c r="D213" s="52"/>
      <c r="E213" s="52"/>
      <c r="F213" s="52"/>
      <c r="G213" s="52"/>
      <c r="H213" s="5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1.25" customHeight="1" x14ac:dyDescent="0.3">
      <c r="A214" s="52"/>
      <c r="B214" s="52"/>
      <c r="C214" s="52"/>
      <c r="D214" s="52"/>
      <c r="E214" s="52"/>
      <c r="F214" s="52"/>
      <c r="G214" s="52"/>
      <c r="H214" s="5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1.25" customHeight="1" x14ac:dyDescent="0.3">
      <c r="A215" s="52"/>
      <c r="B215" s="52"/>
      <c r="C215" s="52"/>
      <c r="D215" s="52"/>
      <c r="E215" s="52"/>
      <c r="F215" s="52"/>
      <c r="G215" s="52"/>
      <c r="H215" s="5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1.25" customHeight="1" x14ac:dyDescent="0.3">
      <c r="A216" s="52"/>
      <c r="B216" s="52"/>
      <c r="C216" s="52"/>
      <c r="D216" s="52"/>
      <c r="E216" s="52"/>
      <c r="F216" s="52"/>
      <c r="G216" s="52"/>
      <c r="H216" s="5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1.25" customHeight="1" x14ac:dyDescent="0.3">
      <c r="A217" s="52"/>
      <c r="B217" s="52"/>
      <c r="C217" s="52"/>
      <c r="D217" s="52"/>
      <c r="E217" s="52"/>
      <c r="F217" s="52"/>
      <c r="G217" s="52"/>
      <c r="H217" s="5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1.25" customHeight="1" x14ac:dyDescent="0.3">
      <c r="A218" s="52"/>
      <c r="B218" s="52"/>
      <c r="C218" s="52"/>
      <c r="D218" s="52"/>
      <c r="E218" s="52"/>
      <c r="F218" s="52"/>
      <c r="G218" s="52"/>
      <c r="H218" s="5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1.25" customHeight="1" x14ac:dyDescent="0.3">
      <c r="A219" s="52"/>
      <c r="B219" s="52"/>
      <c r="C219" s="52"/>
      <c r="D219" s="52"/>
      <c r="E219" s="52"/>
      <c r="F219" s="52"/>
      <c r="G219" s="52"/>
      <c r="H219" s="5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1.25" customHeight="1" x14ac:dyDescent="0.3">
      <c r="A220" s="52"/>
      <c r="B220" s="52"/>
      <c r="C220" s="52"/>
      <c r="D220" s="52"/>
      <c r="E220" s="52"/>
      <c r="F220" s="52"/>
      <c r="G220" s="52"/>
      <c r="H220" s="5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1.25" customHeight="1" x14ac:dyDescent="0.3">
      <c r="A221" s="52"/>
      <c r="B221" s="52"/>
      <c r="C221" s="52"/>
      <c r="D221" s="52"/>
      <c r="E221" s="52"/>
      <c r="F221" s="52"/>
      <c r="G221" s="52"/>
      <c r="H221" s="5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1.25" customHeight="1" x14ac:dyDescent="0.3">
      <c r="A222" s="52"/>
      <c r="B222" s="52"/>
      <c r="C222" s="52"/>
      <c r="D222" s="52"/>
      <c r="E222" s="52"/>
      <c r="F222" s="52"/>
      <c r="G222" s="52"/>
      <c r="H222" s="5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1.25" customHeight="1" x14ac:dyDescent="0.3">
      <c r="A223" s="52"/>
      <c r="B223" s="52"/>
      <c r="C223" s="52"/>
      <c r="D223" s="52"/>
      <c r="E223" s="52"/>
      <c r="F223" s="52"/>
      <c r="G223" s="52"/>
      <c r="H223" s="5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1.25" customHeight="1" x14ac:dyDescent="0.3">
      <c r="A224" s="52"/>
      <c r="B224" s="52"/>
      <c r="C224" s="52"/>
      <c r="D224" s="52"/>
      <c r="E224" s="52"/>
      <c r="F224" s="52"/>
      <c r="G224" s="52"/>
      <c r="H224" s="5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1.25" customHeight="1" x14ac:dyDescent="0.3">
      <c r="A225" s="52"/>
      <c r="B225" s="52"/>
      <c r="C225" s="52"/>
      <c r="D225" s="52"/>
      <c r="E225" s="52"/>
      <c r="F225" s="52"/>
      <c r="G225" s="52"/>
      <c r="H225" s="5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1.25" customHeight="1" x14ac:dyDescent="0.3">
      <c r="A226" s="52"/>
      <c r="B226" s="52"/>
      <c r="C226" s="52"/>
      <c r="D226" s="52"/>
      <c r="E226" s="52"/>
      <c r="F226" s="52"/>
      <c r="G226" s="52"/>
      <c r="H226" s="5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1.25" customHeight="1" x14ac:dyDescent="0.3">
      <c r="A227" s="52"/>
      <c r="B227" s="52"/>
      <c r="C227" s="52"/>
      <c r="D227" s="52"/>
      <c r="E227" s="52"/>
      <c r="F227" s="52"/>
      <c r="G227" s="52"/>
      <c r="H227" s="5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1.25" customHeight="1" x14ac:dyDescent="0.3">
      <c r="A228" s="52"/>
      <c r="B228" s="52"/>
      <c r="C228" s="52"/>
      <c r="D228" s="52"/>
      <c r="E228" s="52"/>
      <c r="F228" s="52"/>
      <c r="G228" s="52"/>
      <c r="H228" s="5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1.25" customHeight="1" x14ac:dyDescent="0.3">
      <c r="A229" s="52"/>
      <c r="B229" s="52"/>
      <c r="C229" s="52"/>
      <c r="D229" s="52"/>
      <c r="E229" s="52"/>
      <c r="F229" s="52"/>
      <c r="G229" s="52"/>
      <c r="H229" s="5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1.25" customHeight="1" x14ac:dyDescent="0.3">
      <c r="A230" s="52"/>
      <c r="B230" s="52"/>
      <c r="C230" s="52"/>
      <c r="D230" s="52"/>
      <c r="E230" s="52"/>
      <c r="F230" s="52"/>
      <c r="G230" s="52"/>
      <c r="H230" s="5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1.25" customHeight="1" x14ac:dyDescent="0.3">
      <c r="A231" s="52"/>
      <c r="B231" s="52"/>
      <c r="C231" s="52"/>
      <c r="D231" s="52"/>
      <c r="E231" s="52"/>
      <c r="F231" s="52"/>
      <c r="G231" s="52"/>
      <c r="H231" s="5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1.25" customHeight="1" x14ac:dyDescent="0.3">
      <c r="A232" s="52"/>
      <c r="B232" s="52"/>
      <c r="C232" s="52"/>
      <c r="D232" s="52"/>
      <c r="E232" s="52"/>
      <c r="F232" s="52"/>
      <c r="G232" s="52"/>
      <c r="H232" s="5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1.25" customHeight="1" x14ac:dyDescent="0.3">
      <c r="A233" s="52"/>
      <c r="B233" s="52"/>
      <c r="C233" s="52"/>
      <c r="D233" s="52"/>
      <c r="E233" s="52"/>
      <c r="F233" s="52"/>
      <c r="G233" s="52"/>
      <c r="H233" s="5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1.25" customHeight="1" x14ac:dyDescent="0.3">
      <c r="A234" s="52"/>
      <c r="B234" s="52"/>
      <c r="C234" s="52"/>
      <c r="D234" s="52"/>
      <c r="E234" s="52"/>
      <c r="F234" s="52"/>
      <c r="G234" s="52"/>
      <c r="H234" s="5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1.25" customHeight="1" x14ac:dyDescent="0.3">
      <c r="A235" s="52"/>
      <c r="B235" s="52"/>
      <c r="C235" s="52"/>
      <c r="D235" s="52"/>
      <c r="E235" s="52"/>
      <c r="F235" s="52"/>
      <c r="G235" s="52"/>
      <c r="H235" s="5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1.25" customHeight="1" x14ac:dyDescent="0.3">
      <c r="A236" s="52"/>
      <c r="B236" s="52"/>
      <c r="C236" s="52"/>
      <c r="D236" s="52"/>
      <c r="E236" s="52"/>
      <c r="F236" s="52"/>
      <c r="G236" s="52"/>
      <c r="H236" s="5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1.25" customHeight="1" x14ac:dyDescent="0.3">
      <c r="A237" s="52"/>
      <c r="B237" s="52"/>
      <c r="C237" s="52"/>
      <c r="D237" s="52"/>
      <c r="E237" s="52"/>
      <c r="F237" s="52"/>
      <c r="G237" s="52"/>
      <c r="H237" s="5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1.25" customHeight="1" x14ac:dyDescent="0.3">
      <c r="A238" s="52"/>
      <c r="B238" s="52"/>
      <c r="C238" s="52"/>
      <c r="D238" s="52"/>
      <c r="E238" s="52"/>
      <c r="F238" s="52"/>
      <c r="G238" s="52"/>
      <c r="H238" s="5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5.75" customHeight="1" x14ac:dyDescent="0.3"/>
    <row r="240" spans="1:2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7" customWidth="1"/>
    <col min="3" max="6" width="10.6640625" customWidth="1"/>
    <col min="7" max="7" width="13.6640625" customWidth="1"/>
    <col min="8" max="8" width="10.6640625" customWidth="1"/>
  </cols>
  <sheetData>
    <row r="1" spans="1:8" ht="14.4" x14ac:dyDescent="0.3">
      <c r="A1" s="50" t="s">
        <v>5</v>
      </c>
      <c r="B1" s="50"/>
      <c r="C1" s="242"/>
      <c r="D1" s="242"/>
      <c r="E1" s="242"/>
      <c r="F1" s="242"/>
      <c r="G1" s="242"/>
      <c r="H1" s="242"/>
    </row>
    <row r="2" spans="1:8" ht="14.4" x14ac:dyDescent="0.3">
      <c r="A2" s="53" t="s">
        <v>124</v>
      </c>
      <c r="B2" s="50"/>
      <c r="C2" s="242"/>
      <c r="D2" s="242"/>
      <c r="E2" s="242"/>
      <c r="F2" s="242"/>
      <c r="G2" s="242"/>
      <c r="H2" s="242"/>
    </row>
    <row r="3" spans="1:8" ht="14.4" x14ac:dyDescent="0.3">
      <c r="A3" s="53" t="s">
        <v>125</v>
      </c>
      <c r="C3" s="242" t="s">
        <v>126</v>
      </c>
      <c r="D3" s="242"/>
      <c r="E3" s="242"/>
      <c r="F3" s="242"/>
      <c r="G3" s="242"/>
      <c r="H3" s="242"/>
    </row>
    <row r="4" spans="1:8" ht="14.4" x14ac:dyDescent="0.3">
      <c r="A4" s="53" t="s">
        <v>127</v>
      </c>
      <c r="B4" s="50"/>
      <c r="C4" s="242" t="s">
        <v>128</v>
      </c>
      <c r="D4" s="242"/>
      <c r="E4" s="242"/>
      <c r="F4" s="242"/>
      <c r="G4" s="242"/>
      <c r="H4" s="242"/>
    </row>
    <row r="5" spans="1:8" ht="14.4" x14ac:dyDescent="0.3">
      <c r="A5" s="53" t="s">
        <v>129</v>
      </c>
      <c r="B5" s="50"/>
      <c r="C5" s="242" t="s">
        <v>128</v>
      </c>
      <c r="D5" s="242"/>
      <c r="E5" s="242"/>
      <c r="F5" s="242"/>
      <c r="G5" s="242"/>
      <c r="H5" s="242"/>
    </row>
    <row r="6" spans="1:8" ht="14.4" x14ac:dyDescent="0.3">
      <c r="A6" s="243" t="s">
        <v>130</v>
      </c>
      <c r="B6" s="244" t="s">
        <v>1120</v>
      </c>
      <c r="C6" s="245"/>
      <c r="D6" s="245"/>
      <c r="E6" s="245"/>
      <c r="F6" s="245"/>
      <c r="G6" s="245"/>
      <c r="H6" s="245"/>
    </row>
    <row r="7" spans="1:8" ht="14.4" x14ac:dyDescent="0.3">
      <c r="A7" s="51"/>
      <c r="B7" s="225"/>
      <c r="C7" s="242"/>
      <c r="D7" s="242"/>
      <c r="E7" s="242"/>
      <c r="F7" s="242"/>
      <c r="G7" s="242"/>
      <c r="H7" s="242"/>
    </row>
    <row r="8" spans="1:8" ht="20.399999999999999" x14ac:dyDescent="0.3">
      <c r="A8" s="202" t="s">
        <v>235</v>
      </c>
      <c r="B8" s="202" t="s">
        <v>178</v>
      </c>
      <c r="C8" s="188" t="s">
        <v>135</v>
      </c>
      <c r="D8" s="189" t="s">
        <v>136</v>
      </c>
      <c r="E8" s="189" t="s">
        <v>237</v>
      </c>
      <c r="F8" s="189" t="s">
        <v>138</v>
      </c>
      <c r="G8" s="189" t="s">
        <v>139</v>
      </c>
      <c r="H8" s="189" t="s">
        <v>693</v>
      </c>
    </row>
    <row r="9" spans="1:8" ht="14.4" x14ac:dyDescent="0.3">
      <c r="A9" s="38">
        <v>3112349180</v>
      </c>
      <c r="B9" s="38" t="s">
        <v>1121</v>
      </c>
      <c r="C9" s="246">
        <v>250</v>
      </c>
      <c r="D9" s="206">
        <v>112</v>
      </c>
      <c r="E9" s="247" t="s">
        <v>1156</v>
      </c>
      <c r="F9" s="206" t="e">
        <f>E9/C9</f>
        <v>#VALUE!</v>
      </c>
      <c r="G9" s="248">
        <f t="shared" ref="G9:G15" si="0">(360/D9)</f>
        <v>3.2142857142857144</v>
      </c>
      <c r="H9" s="248"/>
    </row>
    <row r="10" spans="1:8" ht="14.4" x14ac:dyDescent="0.3">
      <c r="A10" s="38">
        <v>3110435180</v>
      </c>
      <c r="B10" s="38" t="s">
        <v>1122</v>
      </c>
      <c r="C10" s="246">
        <v>1</v>
      </c>
      <c r="D10" s="246">
        <v>365</v>
      </c>
      <c r="E10" s="246"/>
      <c r="F10" s="206" t="e">
        <f>(E9/(0.009*450)/2500)</f>
        <v>#VALUE!</v>
      </c>
      <c r="G10" s="248">
        <f t="shared" si="0"/>
        <v>0.98630136986301364</v>
      </c>
      <c r="H10" s="248"/>
    </row>
    <row r="11" spans="1:8" ht="14.4" x14ac:dyDescent="0.3">
      <c r="A11" s="38">
        <v>3111555180</v>
      </c>
      <c r="B11" s="38" t="s">
        <v>1123</v>
      </c>
      <c r="C11" s="246">
        <v>1</v>
      </c>
      <c r="D11" s="246">
        <v>365</v>
      </c>
      <c r="E11" s="246"/>
      <c r="F11" s="206" t="e">
        <f>(E9/(0.009*450)/1250)</f>
        <v>#VALUE!</v>
      </c>
      <c r="G11" s="248">
        <f t="shared" si="0"/>
        <v>0.98630136986301364</v>
      </c>
      <c r="H11" s="248"/>
    </row>
    <row r="12" spans="1:8" ht="14.4" x14ac:dyDescent="0.3">
      <c r="A12" s="38">
        <v>3110362180</v>
      </c>
      <c r="B12" s="38" t="s">
        <v>1124</v>
      </c>
      <c r="C12" s="246">
        <v>1</v>
      </c>
      <c r="D12" s="246">
        <v>365</v>
      </c>
      <c r="E12" s="246"/>
      <c r="F12" s="206" t="e">
        <f>(E9/(0.009*450)/1250)</f>
        <v>#VALUE!</v>
      </c>
      <c r="G12" s="248">
        <f t="shared" si="0"/>
        <v>0.98630136986301364</v>
      </c>
      <c r="H12" s="248"/>
    </row>
    <row r="13" spans="1:8" ht="20.399999999999999" x14ac:dyDescent="0.3">
      <c r="A13" s="11">
        <v>3110249180</v>
      </c>
      <c r="B13" s="11" t="s">
        <v>1125</v>
      </c>
      <c r="C13" s="246">
        <v>1</v>
      </c>
      <c r="D13" s="246">
        <v>365</v>
      </c>
      <c r="E13" s="246"/>
      <c r="F13" s="206" t="e">
        <f>(E9/(0.009*300)/2500)</f>
        <v>#VALUE!</v>
      </c>
      <c r="G13" s="248">
        <f t="shared" si="0"/>
        <v>0.98630136986301364</v>
      </c>
      <c r="H13" s="248"/>
    </row>
    <row r="14" spans="1:8" ht="14.4" x14ac:dyDescent="0.3">
      <c r="A14" s="38">
        <v>3112888180</v>
      </c>
      <c r="B14" s="38" t="s">
        <v>1126</v>
      </c>
      <c r="C14" s="246">
        <v>30</v>
      </c>
      <c r="D14" s="246">
        <v>12</v>
      </c>
      <c r="E14" s="246"/>
      <c r="F14" s="206" t="e">
        <f>(E9/(0.008*450)/1250)</f>
        <v>#VALUE!</v>
      </c>
      <c r="G14" s="248">
        <f t="shared" si="0"/>
        <v>30</v>
      </c>
      <c r="H14" s="248"/>
    </row>
    <row r="15" spans="1:8" ht="14.4" x14ac:dyDescent="0.3">
      <c r="A15" s="38">
        <v>3112292018</v>
      </c>
      <c r="B15" s="38" t="s">
        <v>1127</v>
      </c>
      <c r="C15" s="246">
        <v>5</v>
      </c>
      <c r="D15" s="246">
        <v>73</v>
      </c>
      <c r="E15" s="246"/>
      <c r="F15" s="206" t="e">
        <f>(E9/(0.001*300)/1250)</f>
        <v>#VALUE!</v>
      </c>
      <c r="G15" s="248">
        <f t="shared" si="0"/>
        <v>4.9315068493150687</v>
      </c>
      <c r="H15" s="248"/>
    </row>
    <row r="16" spans="1:8" ht="14.4" x14ac:dyDescent="0.3">
      <c r="A16" s="38">
        <v>3110419180</v>
      </c>
      <c r="B16" s="38" t="s">
        <v>1128</v>
      </c>
      <c r="C16" s="246">
        <v>1</v>
      </c>
      <c r="D16" s="246">
        <v>196</v>
      </c>
      <c r="E16" s="246"/>
      <c r="F16" s="206" t="s">
        <v>1157</v>
      </c>
      <c r="G16" s="248">
        <f t="shared" ref="G16:G21" si="1">(360/(D16))</f>
        <v>1.8367346938775511</v>
      </c>
      <c r="H16" s="248"/>
    </row>
    <row r="17" spans="1:8" ht="14.4" x14ac:dyDescent="0.3">
      <c r="A17" s="38">
        <v>3110338180</v>
      </c>
      <c r="B17" s="38" t="s">
        <v>1129</v>
      </c>
      <c r="C17" s="246">
        <v>1</v>
      </c>
      <c r="D17" s="246">
        <v>140</v>
      </c>
      <c r="E17" s="246"/>
      <c r="F17" s="206" t="s">
        <v>1157</v>
      </c>
      <c r="G17" s="248">
        <f t="shared" si="1"/>
        <v>2.5714285714285716</v>
      </c>
      <c r="H17" s="248"/>
    </row>
    <row r="18" spans="1:8" ht="14.4" x14ac:dyDescent="0.3">
      <c r="A18" s="61">
        <v>3110354180</v>
      </c>
      <c r="B18" s="38" t="s">
        <v>1130</v>
      </c>
      <c r="C18" s="246">
        <v>1</v>
      </c>
      <c r="D18" s="246">
        <v>84</v>
      </c>
      <c r="E18" s="246"/>
      <c r="F18" s="206" t="s">
        <v>1157</v>
      </c>
      <c r="G18" s="248">
        <f t="shared" si="1"/>
        <v>4.2857142857142856</v>
      </c>
      <c r="H18" s="248"/>
    </row>
    <row r="19" spans="1:8" ht="14.4" x14ac:dyDescent="0.3">
      <c r="A19" s="38">
        <v>3110451180</v>
      </c>
      <c r="B19" s="38" t="s">
        <v>1131</v>
      </c>
      <c r="C19" s="246">
        <v>1</v>
      </c>
      <c r="D19" s="246">
        <v>84</v>
      </c>
      <c r="E19" s="246"/>
      <c r="F19" s="206" t="s">
        <v>1157</v>
      </c>
      <c r="G19" s="248">
        <f t="shared" si="1"/>
        <v>4.2857142857142856</v>
      </c>
      <c r="H19" s="248"/>
    </row>
    <row r="20" spans="1:8" ht="14.4" x14ac:dyDescent="0.3">
      <c r="A20" s="38">
        <v>3112306180</v>
      </c>
      <c r="B20" s="38" t="s">
        <v>1132</v>
      </c>
      <c r="C20" s="246">
        <v>1</v>
      </c>
      <c r="D20" s="246">
        <v>308</v>
      </c>
      <c r="E20" s="246"/>
      <c r="F20" s="206" t="s">
        <v>1157</v>
      </c>
      <c r="G20" s="248">
        <f t="shared" si="1"/>
        <v>1.1688311688311688</v>
      </c>
      <c r="H20" s="248"/>
    </row>
    <row r="21" spans="1:8" ht="15.75" customHeight="1" x14ac:dyDescent="0.3">
      <c r="A21" s="181">
        <v>3112284180</v>
      </c>
      <c r="B21" s="38" t="s">
        <v>1133</v>
      </c>
      <c r="C21" s="246">
        <v>1</v>
      </c>
      <c r="D21" s="246">
        <v>308</v>
      </c>
      <c r="E21" s="246"/>
      <c r="F21" s="206" t="s">
        <v>1157</v>
      </c>
      <c r="G21" s="248">
        <f t="shared" si="1"/>
        <v>1.1688311688311688</v>
      </c>
      <c r="H21" s="248"/>
    </row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9.5546875" customWidth="1"/>
    <col min="3" max="7" width="10.6640625" customWidth="1"/>
    <col min="8" max="8" width="13.109375" customWidth="1"/>
  </cols>
  <sheetData>
    <row r="1" spans="1:8" ht="14.4" x14ac:dyDescent="0.3">
      <c r="A1" s="50" t="s">
        <v>5</v>
      </c>
      <c r="B1" s="50"/>
      <c r="C1" s="2"/>
      <c r="D1" s="2"/>
      <c r="E1" s="2"/>
      <c r="F1" s="52"/>
      <c r="G1" s="2"/>
      <c r="H1" s="2"/>
    </row>
    <row r="2" spans="1:8" ht="14.4" x14ac:dyDescent="0.3">
      <c r="A2" s="53" t="s">
        <v>124</v>
      </c>
      <c r="B2" s="50"/>
      <c r="C2" s="2"/>
      <c r="D2" s="2"/>
      <c r="E2" s="2"/>
      <c r="F2" s="52"/>
      <c r="G2" s="2"/>
      <c r="H2" s="2"/>
    </row>
    <row r="3" spans="1:8" ht="14.4" x14ac:dyDescent="0.3">
      <c r="A3" s="53" t="s">
        <v>125</v>
      </c>
      <c r="C3" s="2" t="s">
        <v>126</v>
      </c>
      <c r="D3" s="2"/>
      <c r="E3" s="2"/>
      <c r="F3" s="52"/>
      <c r="G3" s="2"/>
      <c r="H3" s="2"/>
    </row>
    <row r="4" spans="1:8" ht="14.4" x14ac:dyDescent="0.3">
      <c r="A4" s="53" t="s">
        <v>127</v>
      </c>
      <c r="B4" s="50"/>
      <c r="C4" s="2" t="s">
        <v>128</v>
      </c>
      <c r="D4" s="2"/>
      <c r="E4" s="2"/>
      <c r="F4" s="52"/>
      <c r="G4" s="2"/>
      <c r="H4" s="2"/>
    </row>
    <row r="5" spans="1:8" ht="14.4" x14ac:dyDescent="0.3">
      <c r="A5" s="53" t="s">
        <v>129</v>
      </c>
      <c r="B5" s="50"/>
      <c r="C5" s="2" t="s">
        <v>128</v>
      </c>
      <c r="D5" s="2"/>
      <c r="E5" s="2"/>
      <c r="F5" s="52"/>
      <c r="G5" s="2"/>
      <c r="H5" s="2"/>
    </row>
    <row r="6" spans="1:8" ht="14.4" x14ac:dyDescent="0.3">
      <c r="A6" s="249" t="s">
        <v>130</v>
      </c>
      <c r="B6" s="237"/>
      <c r="C6" s="250" t="s">
        <v>1134</v>
      </c>
      <c r="D6" s="251"/>
      <c r="E6" s="251"/>
      <c r="F6" s="238"/>
      <c r="G6" s="251"/>
      <c r="H6" s="251"/>
    </row>
    <row r="8" spans="1:8" ht="20.399999999999999" x14ac:dyDescent="0.3">
      <c r="A8" s="187" t="s">
        <v>235</v>
      </c>
      <c r="B8" s="187" t="s">
        <v>178</v>
      </c>
      <c r="C8" s="187" t="s">
        <v>135</v>
      </c>
      <c r="D8" s="190" t="s">
        <v>1135</v>
      </c>
      <c r="E8" s="190" t="s">
        <v>237</v>
      </c>
      <c r="F8" s="190" t="s">
        <v>138</v>
      </c>
      <c r="G8" s="190" t="s">
        <v>139</v>
      </c>
      <c r="H8" s="252" t="s">
        <v>693</v>
      </c>
    </row>
    <row r="9" spans="1:8" ht="14.4" x14ac:dyDescent="0.3">
      <c r="A9" s="34">
        <v>5169992001</v>
      </c>
      <c r="B9" s="38" t="s">
        <v>1136</v>
      </c>
      <c r="C9" s="34">
        <v>200</v>
      </c>
      <c r="D9" s="246">
        <v>42</v>
      </c>
      <c r="E9" s="34"/>
      <c r="F9" s="34">
        <f>E9/C9</f>
        <v>0</v>
      </c>
      <c r="G9" s="63">
        <f>(360/D9)</f>
        <v>8.5714285714285712</v>
      </c>
      <c r="H9" s="111"/>
    </row>
    <row r="10" spans="1:8" ht="14.4" x14ac:dyDescent="0.3">
      <c r="A10" s="246">
        <v>3321207001</v>
      </c>
      <c r="B10" s="146" t="s">
        <v>1137</v>
      </c>
      <c r="C10" s="34">
        <v>30</v>
      </c>
      <c r="D10" s="246">
        <v>30</v>
      </c>
      <c r="E10" s="34"/>
      <c r="F10" s="34">
        <f>360/C10</f>
        <v>12</v>
      </c>
      <c r="G10" s="63">
        <f>(360/D10)</f>
        <v>12</v>
      </c>
      <c r="H10" s="111"/>
    </row>
    <row r="11" spans="1:8" ht="14.4" x14ac:dyDescent="0.3">
      <c r="A11" s="34">
        <v>3321193001</v>
      </c>
      <c r="B11" s="38" t="s">
        <v>1138</v>
      </c>
      <c r="C11" s="34">
        <v>30</v>
      </c>
      <c r="D11" s="34">
        <v>30</v>
      </c>
      <c r="E11" s="34"/>
      <c r="F11" s="34">
        <f>360/C11</f>
        <v>12</v>
      </c>
      <c r="G11" s="63">
        <f>(360/D11)</f>
        <v>12</v>
      </c>
      <c r="H11" s="111"/>
    </row>
    <row r="12" spans="1:8" ht="14.4" x14ac:dyDescent="0.3">
      <c r="A12" s="34">
        <v>3321215001</v>
      </c>
      <c r="B12" s="38" t="s">
        <v>1139</v>
      </c>
      <c r="C12" s="34">
        <v>30</v>
      </c>
      <c r="D12" s="34">
        <v>30</v>
      </c>
      <c r="E12" s="34"/>
      <c r="F12" s="34">
        <f>360/C12</f>
        <v>12</v>
      </c>
      <c r="G12" s="63">
        <f>(360/D12)</f>
        <v>12</v>
      </c>
      <c r="H12" s="111"/>
    </row>
    <row r="13" spans="1:8" ht="14.4" x14ac:dyDescent="0.3">
      <c r="A13" s="246">
        <v>5170478001</v>
      </c>
      <c r="B13" s="146" t="s">
        <v>1140</v>
      </c>
      <c r="C13" s="34">
        <v>1</v>
      </c>
      <c r="D13" s="246">
        <v>21</v>
      </c>
      <c r="E13" s="34"/>
      <c r="F13" s="34">
        <f>(360/D13)</f>
        <v>17.142857142857142</v>
      </c>
      <c r="G13" s="63">
        <f>(360/D13)</f>
        <v>17.142857142857142</v>
      </c>
      <c r="H13" s="111"/>
    </row>
    <row r="14" spans="1:8" ht="15" customHeight="1" x14ac:dyDescent="0.3">
      <c r="A14" s="246">
        <v>5082595001</v>
      </c>
      <c r="B14" s="146" t="s">
        <v>1141</v>
      </c>
      <c r="C14" s="34">
        <v>1</v>
      </c>
      <c r="D14" s="34">
        <v>365</v>
      </c>
      <c r="E14" s="34"/>
      <c r="F14" s="34">
        <f>(E9/(0.001*200)/1250)</f>
        <v>0</v>
      </c>
      <c r="G14" s="63">
        <f>(365/D14)</f>
        <v>1</v>
      </c>
      <c r="H14" s="111"/>
    </row>
    <row r="15" spans="1:8" ht="15" customHeight="1" x14ac:dyDescent="0.3">
      <c r="A15" s="34">
        <v>5689856001</v>
      </c>
      <c r="B15" s="38" t="s">
        <v>1142</v>
      </c>
      <c r="C15" s="34">
        <v>100</v>
      </c>
      <c r="D15" s="34">
        <v>365</v>
      </c>
      <c r="E15" s="34"/>
      <c r="F15" s="34">
        <f>E9/C15</f>
        <v>0</v>
      </c>
      <c r="G15" s="63">
        <f>(365/D15)</f>
        <v>1</v>
      </c>
      <c r="H15" s="111"/>
    </row>
    <row r="16" spans="1:8" ht="15" customHeight="1" x14ac:dyDescent="0.3">
      <c r="A16" s="34">
        <v>3066762001</v>
      </c>
      <c r="B16" s="38" t="s">
        <v>1143</v>
      </c>
      <c r="C16" s="34">
        <v>150</v>
      </c>
      <c r="D16" s="34">
        <v>365</v>
      </c>
      <c r="E16" s="34"/>
      <c r="F16" s="34">
        <f>((F10*D10)+(F11*D11)+(F12*D12))/C16</f>
        <v>7.2</v>
      </c>
      <c r="G16" s="63">
        <f>365/D16</f>
        <v>1</v>
      </c>
      <c r="H16" s="111"/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48.44140625" customWidth="1"/>
    <col min="3" max="8" width="10.6640625" customWidth="1"/>
  </cols>
  <sheetData>
    <row r="1" spans="1:8" ht="13.5" customHeight="1" x14ac:dyDescent="0.3">
      <c r="A1" s="53" t="s">
        <v>127</v>
      </c>
      <c r="B1" s="50"/>
      <c r="C1" s="2" t="s">
        <v>128</v>
      </c>
      <c r="D1" s="2"/>
      <c r="E1" s="52"/>
      <c r="F1" s="2"/>
      <c r="G1" s="2"/>
      <c r="H1" s="2"/>
    </row>
    <row r="2" spans="1:8" ht="13.5" customHeight="1" x14ac:dyDescent="0.3">
      <c r="A2" s="53" t="s">
        <v>129</v>
      </c>
      <c r="B2" s="50"/>
      <c r="C2" s="2" t="s">
        <v>128</v>
      </c>
      <c r="D2" s="2"/>
      <c r="E2" s="52"/>
      <c r="F2" s="2"/>
      <c r="G2" s="2"/>
      <c r="H2" s="2"/>
    </row>
    <row r="3" spans="1:8" ht="13.5" customHeight="1" x14ac:dyDescent="0.3">
      <c r="A3" s="249" t="s">
        <v>130</v>
      </c>
      <c r="B3" s="237"/>
      <c r="C3" s="250" t="s">
        <v>1134</v>
      </c>
      <c r="D3" s="251"/>
      <c r="E3" s="238"/>
      <c r="F3" s="251"/>
      <c r="G3" s="251"/>
      <c r="H3" s="251"/>
    </row>
    <row r="4" spans="1:8" ht="13.5" customHeight="1" x14ac:dyDescent="0.3"/>
    <row r="5" spans="1:8" ht="13.5" customHeight="1" x14ac:dyDescent="0.3">
      <c r="A5" s="187" t="s">
        <v>235</v>
      </c>
      <c r="B5" s="187" t="s">
        <v>178</v>
      </c>
      <c r="C5" s="187" t="s">
        <v>135</v>
      </c>
      <c r="D5" s="190" t="s">
        <v>1135</v>
      </c>
      <c r="E5" s="190" t="s">
        <v>237</v>
      </c>
      <c r="F5" s="190" t="s">
        <v>138</v>
      </c>
      <c r="G5" s="190" t="s">
        <v>139</v>
      </c>
      <c r="H5" s="190" t="s">
        <v>693</v>
      </c>
    </row>
    <row r="6" spans="1:8" ht="13.5" customHeight="1" x14ac:dyDescent="0.3">
      <c r="A6" s="253">
        <v>8038694190</v>
      </c>
      <c r="B6" s="253" t="s">
        <v>1144</v>
      </c>
      <c r="C6" s="254">
        <v>10</v>
      </c>
      <c r="D6" s="254"/>
      <c r="E6" s="254"/>
      <c r="F6" s="254">
        <f>E6/C6</f>
        <v>0</v>
      </c>
      <c r="G6" s="254"/>
      <c r="H6" s="254"/>
    </row>
    <row r="7" spans="1:8" ht="13.5" customHeight="1" x14ac:dyDescent="0.3">
      <c r="A7" s="254">
        <v>6380115190</v>
      </c>
      <c r="B7" s="254" t="s">
        <v>1145</v>
      </c>
      <c r="C7" s="254">
        <v>10</v>
      </c>
      <c r="D7" s="254"/>
      <c r="E7" s="254"/>
      <c r="F7" s="254">
        <f>E7/C7</f>
        <v>0</v>
      </c>
      <c r="G7" s="254"/>
      <c r="H7" s="254"/>
    </row>
    <row r="8" spans="1:8" ht="13.5" customHeight="1" x14ac:dyDescent="0.3"/>
    <row r="9" spans="1:8" ht="13.5" customHeight="1" x14ac:dyDescent="0.3"/>
    <row r="10" spans="1:8" ht="13.5" customHeight="1" x14ac:dyDescent="0.3"/>
    <row r="11" spans="1:8" ht="13.5" customHeight="1" x14ac:dyDescent="0.3"/>
    <row r="12" spans="1:8" ht="13.5" customHeight="1" x14ac:dyDescent="0.3"/>
    <row r="13" spans="1:8" ht="13.5" customHeight="1" x14ac:dyDescent="0.3"/>
    <row r="14" spans="1:8" ht="13.5" customHeight="1" x14ac:dyDescent="0.3"/>
    <row r="15" spans="1:8" ht="13.5" customHeight="1" x14ac:dyDescent="0.3"/>
    <row r="16" spans="1:8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29.5546875" customWidth="1"/>
    <col min="3" max="7" width="11.44140625" customWidth="1"/>
    <col min="8" max="8" width="2" customWidth="1"/>
    <col min="9" max="24" width="10.6640625" customWidth="1"/>
  </cols>
  <sheetData>
    <row r="1" spans="1:24" ht="11.25" customHeight="1" x14ac:dyDescent="0.3">
      <c r="A1" s="50" t="s">
        <v>5</v>
      </c>
      <c r="B1" s="50"/>
      <c r="C1" s="2"/>
      <c r="D1" s="2"/>
      <c r="E1" s="2"/>
      <c r="F1" s="5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1.25" customHeight="1" x14ac:dyDescent="0.3">
      <c r="A2" s="53" t="s">
        <v>124</v>
      </c>
      <c r="B2" s="50"/>
      <c r="C2" s="2"/>
      <c r="D2" s="2"/>
      <c r="E2" s="2"/>
      <c r="F2" s="5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1.25" customHeight="1" x14ac:dyDescent="0.3">
      <c r="A3" s="53" t="s">
        <v>125</v>
      </c>
      <c r="B3" s="2"/>
      <c r="C3" s="2" t="s">
        <v>126</v>
      </c>
      <c r="D3" s="2"/>
      <c r="E3" s="2"/>
      <c r="F3" s="5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1.25" customHeight="1" x14ac:dyDescent="0.3">
      <c r="A4" s="53" t="s">
        <v>127</v>
      </c>
      <c r="B4" s="50"/>
      <c r="C4" s="2" t="s">
        <v>128</v>
      </c>
      <c r="D4" s="2"/>
      <c r="E4" s="2"/>
      <c r="F4" s="5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1.25" customHeight="1" x14ac:dyDescent="0.3">
      <c r="A5" s="53" t="s">
        <v>129</v>
      </c>
      <c r="B5" s="50"/>
      <c r="C5" s="2" t="s">
        <v>128</v>
      </c>
      <c r="D5" s="2"/>
      <c r="E5" s="2"/>
      <c r="F5" s="5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1.25" customHeight="1" x14ac:dyDescent="0.3">
      <c r="A6" s="249" t="s">
        <v>130</v>
      </c>
      <c r="B6" s="237"/>
      <c r="C6" s="250" t="s">
        <v>1146</v>
      </c>
      <c r="D6" s="251"/>
      <c r="E6" s="251"/>
      <c r="F6" s="238"/>
      <c r="G6" s="251"/>
      <c r="H6" s="25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1.2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0.399999999999999" x14ac:dyDescent="0.3">
      <c r="A8" s="188" t="s">
        <v>235</v>
      </c>
      <c r="B8" s="188" t="s">
        <v>178</v>
      </c>
      <c r="C8" s="188" t="s">
        <v>135</v>
      </c>
      <c r="D8" s="189" t="s">
        <v>1135</v>
      </c>
      <c r="E8" s="189" t="s">
        <v>1147</v>
      </c>
      <c r="F8" s="189" t="s">
        <v>138</v>
      </c>
      <c r="G8" s="255" t="s">
        <v>140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1.25" customHeight="1" x14ac:dyDescent="0.3">
      <c r="A9" s="256">
        <v>6390552001</v>
      </c>
      <c r="B9" s="146" t="s">
        <v>1148</v>
      </c>
      <c r="C9" s="34">
        <v>400</v>
      </c>
      <c r="D9" s="236"/>
      <c r="E9" s="236"/>
      <c r="F9" s="38"/>
      <c r="G9" s="2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1.25" customHeight="1" x14ac:dyDescent="0.3">
      <c r="A10" s="256">
        <v>6334601001</v>
      </c>
      <c r="B10" s="146" t="s">
        <v>1149</v>
      </c>
      <c r="C10" s="34">
        <v>400</v>
      </c>
      <c r="D10" s="236"/>
      <c r="E10" s="236"/>
      <c r="F10" s="38"/>
      <c r="G10" s="2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1.25" customHeight="1" x14ac:dyDescent="0.3">
      <c r="A11" s="280" t="s">
        <v>224</v>
      </c>
      <c r="B11" s="277"/>
      <c r="C11" s="257"/>
      <c r="D11" s="258"/>
      <c r="E11" s="258"/>
      <c r="F11" s="218"/>
      <c r="G11" s="25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1.25" customHeight="1" x14ac:dyDescent="0.3">
      <c r="A12" s="256">
        <v>6390579001</v>
      </c>
      <c r="B12" s="146" t="s">
        <v>1150</v>
      </c>
      <c r="C12" s="34" t="s">
        <v>1151</v>
      </c>
      <c r="D12" s="34" t="s">
        <v>1152</v>
      </c>
      <c r="E12" s="38"/>
      <c r="F12" s="38"/>
      <c r="G12" s="2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1.25" customHeight="1" x14ac:dyDescent="0.3">
      <c r="A13" s="172">
        <v>8181004001</v>
      </c>
      <c r="B13" s="38" t="s">
        <v>1153</v>
      </c>
      <c r="C13" s="34">
        <v>1</v>
      </c>
      <c r="D13" s="236" t="s">
        <v>1154</v>
      </c>
      <c r="E13" s="38"/>
      <c r="F13" s="38"/>
      <c r="G13" s="2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1.25" customHeight="1" x14ac:dyDescent="0.3">
      <c r="A14" s="38">
        <v>6390544001</v>
      </c>
      <c r="B14" s="38" t="s">
        <v>1155</v>
      </c>
      <c r="C14" s="34"/>
      <c r="D14" s="34"/>
      <c r="E14" s="34"/>
      <c r="F14" s="38"/>
      <c r="G14" s="2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1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1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1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1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1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1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1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1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1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1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1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1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1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1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1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1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1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1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1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1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1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1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1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1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1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1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1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1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1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1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1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1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1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1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1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1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1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1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1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1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1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1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1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1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1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1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1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1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1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1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1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1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1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1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1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1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1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1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1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1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1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1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1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1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1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1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1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1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1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1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1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1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1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1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1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1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1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1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1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1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1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1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1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1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1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1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1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1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1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1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1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1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1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1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1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1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1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1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1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1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1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1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1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1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1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1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1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1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1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1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1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1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1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1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1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1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1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1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1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1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1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1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1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1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1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1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1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1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1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1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1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1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1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1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1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1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1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1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1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1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1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1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1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1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1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1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1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1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1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1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1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1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1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1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1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1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1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1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1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1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1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1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1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1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1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1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1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1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1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1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1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1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1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1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1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1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1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1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1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1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1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1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1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1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1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1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1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1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1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1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1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1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1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1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1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1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1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1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1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1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1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1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1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1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1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1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3"/>
    <row r="222" spans="1:24" ht="15.75" customHeight="1" x14ac:dyDescent="0.3"/>
    <row r="223" spans="1:24" ht="15.75" customHeight="1" x14ac:dyDescent="0.3"/>
    <row r="224" spans="1: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1:B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BC</vt:lpstr>
      <vt:lpstr>XP 300</vt:lpstr>
      <vt:lpstr>XN-L</vt:lpstr>
      <vt:lpstr>XN 1000</vt:lpstr>
      <vt:lpstr>c111</vt:lpstr>
      <vt:lpstr>c311</vt:lpstr>
      <vt:lpstr>e411</vt:lpstr>
      <vt:lpstr>c303 c503</vt:lpstr>
      <vt:lpstr> e402 e801</vt:lpstr>
      <vt:lpstr>t411 h232</vt:lpstr>
      <vt:lpstr>AVL 9180</vt:lpstr>
      <vt:lpstr>b123</vt:lpstr>
      <vt:lpstr>b101</vt:lpstr>
      <vt:lpstr>u6500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Departamento de TI</cp:lastModifiedBy>
  <dcterms:created xsi:type="dcterms:W3CDTF">2026-03-17T14:09:03Z</dcterms:created>
  <dcterms:modified xsi:type="dcterms:W3CDTF">2026-03-17T14:09:03Z</dcterms:modified>
</cp:coreProperties>
</file>